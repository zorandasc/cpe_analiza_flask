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ran.dasic\Desktop\"/>
    </mc:Choice>
  </mc:AlternateContent>
  <xr:revisionPtr revIDLastSave="0" documentId="13_ncr:1_{265A1A83-ADEF-4384-8838-1BDCAC64CC28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07.02.2025." sheetId="1" r:id="rId1"/>
    <sheet name="14.02.2025." sheetId="2" r:id="rId2"/>
    <sheet name="21.02.2025." sheetId="3" r:id="rId3"/>
    <sheet name="28.02.2025." sheetId="4" r:id="rId4"/>
    <sheet name="07.03.2025" sheetId="5" r:id="rId5"/>
    <sheet name="14.03.2025." sheetId="6" r:id="rId6"/>
    <sheet name="21.03.2025." sheetId="7" r:id="rId7"/>
    <sheet name="09.05.2025." sheetId="8" r:id="rId8"/>
    <sheet name="16.05.2025." sheetId="10" r:id="rId9"/>
    <sheet name="23.05.2025" sheetId="11" r:id="rId10"/>
    <sheet name="30.05.2025." sheetId="12" r:id="rId11"/>
    <sheet name="06.06.2025" sheetId="13" r:id="rId12"/>
    <sheet name="13.06.2025" sheetId="15" r:id="rId13"/>
    <sheet name="20.06.2025" sheetId="16" r:id="rId14"/>
    <sheet name="27.06.2025" sheetId="17" r:id="rId15"/>
    <sheet name="11.07.2025." sheetId="18" r:id="rId16"/>
    <sheet name="18.07.2025." sheetId="21" r:id="rId17"/>
    <sheet name="25.07.2025." sheetId="22" r:id="rId18"/>
    <sheet name="01.08.2025." sheetId="23" r:id="rId19"/>
    <sheet name="08.08.2025." sheetId="24" r:id="rId20"/>
    <sheet name="15.08.2025." sheetId="25" r:id="rId21"/>
    <sheet name="22.08.2025." sheetId="26" r:id="rId22"/>
    <sheet name="29.08.2025" sheetId="27" r:id="rId23"/>
    <sheet name="05.09.2025" sheetId="28" r:id="rId24"/>
    <sheet name="12.09.2025" sheetId="29" r:id="rId25"/>
    <sheet name="19.09.2025." sheetId="30" r:id="rId26"/>
    <sheet name="26.09.2025." sheetId="32" r:id="rId27"/>
    <sheet name="10.10.2025." sheetId="33" r:id="rId28"/>
    <sheet name="17.10.2025." sheetId="34" r:id="rId29"/>
    <sheet name="24.10.2025." sheetId="35" r:id="rId30"/>
    <sheet name="31.10.2025" sheetId="36" r:id="rId31"/>
    <sheet name="07.11.2025." sheetId="37" r:id="rId32"/>
    <sheet name="14.11.2025" sheetId="38" r:id="rId33"/>
    <sheet name="28.11.2025" sheetId="40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0" l="1"/>
  <c r="C16" i="40" s="1"/>
  <c r="I81" i="40"/>
  <c r="G81" i="40"/>
  <c r="C81" i="40"/>
  <c r="E61" i="40"/>
  <c r="R16" i="40"/>
  <c r="Q16" i="40"/>
  <c r="P16" i="40"/>
  <c r="O16" i="40"/>
  <c r="N16" i="40"/>
  <c r="M16" i="40"/>
  <c r="K16" i="40"/>
  <c r="I16" i="40"/>
  <c r="G16" i="40"/>
  <c r="E16" i="40"/>
  <c r="E61" i="38" l="1"/>
  <c r="I81" i="38"/>
  <c r="G81" i="38"/>
  <c r="C81" i="38"/>
  <c r="R16" i="38"/>
  <c r="Q16" i="38"/>
  <c r="P16" i="38"/>
  <c r="O16" i="38"/>
  <c r="N16" i="38"/>
  <c r="M16" i="38"/>
  <c r="K16" i="38"/>
  <c r="I16" i="38"/>
  <c r="G16" i="38"/>
  <c r="E16" i="38"/>
  <c r="C16" i="38"/>
  <c r="G61" i="37" l="1"/>
  <c r="C61" i="37"/>
  <c r="G81" i="37"/>
  <c r="C81" i="37"/>
  <c r="I81" i="37"/>
  <c r="R16" i="37"/>
  <c r="Q16" i="37"/>
  <c r="P16" i="37"/>
  <c r="O16" i="37"/>
  <c r="M16" i="37"/>
  <c r="K16" i="37"/>
  <c r="I16" i="37"/>
  <c r="G16" i="37"/>
  <c r="C16" i="37"/>
  <c r="N16" i="37"/>
  <c r="E16" i="37"/>
  <c r="C6" i="36"/>
  <c r="N5" i="36" l="1"/>
  <c r="E5" i="36"/>
  <c r="E16" i="36" s="1"/>
  <c r="I81" i="36"/>
  <c r="E81" i="36"/>
  <c r="C81" i="36"/>
  <c r="G61" i="36"/>
  <c r="C61" i="36"/>
  <c r="R16" i="36"/>
  <c r="Q16" i="36"/>
  <c r="P16" i="36"/>
  <c r="O16" i="36"/>
  <c r="N16" i="36"/>
  <c r="M16" i="36"/>
  <c r="K16" i="36"/>
  <c r="I16" i="36"/>
  <c r="G16" i="36"/>
  <c r="C16" i="36"/>
  <c r="G61" i="35"/>
  <c r="C61" i="35"/>
  <c r="I81" i="35"/>
  <c r="E81" i="35"/>
  <c r="C81" i="35"/>
  <c r="R16" i="35"/>
  <c r="Q16" i="35"/>
  <c r="P16" i="35"/>
  <c r="O16" i="35"/>
  <c r="N16" i="35"/>
  <c r="M16" i="35"/>
  <c r="K16" i="35"/>
  <c r="I16" i="35"/>
  <c r="G16" i="35"/>
  <c r="E16" i="35"/>
  <c r="C16" i="35"/>
  <c r="C13" i="34"/>
  <c r="C16" i="34" s="1"/>
  <c r="R16" i="34"/>
  <c r="Q16" i="34"/>
  <c r="P16" i="34"/>
  <c r="O16" i="34"/>
  <c r="N16" i="34"/>
  <c r="M16" i="34"/>
  <c r="M16" i="33"/>
  <c r="K16" i="34"/>
  <c r="I16" i="34"/>
  <c r="G16" i="34"/>
  <c r="E16" i="34"/>
  <c r="C16" i="33"/>
  <c r="G61" i="34"/>
  <c r="E61" i="34"/>
  <c r="C61" i="34"/>
  <c r="I81" i="34"/>
  <c r="E81" i="34"/>
  <c r="C81" i="34"/>
  <c r="G61" i="33" l="1"/>
  <c r="E61" i="33"/>
  <c r="I81" i="33"/>
  <c r="E81" i="33"/>
  <c r="C81" i="33"/>
  <c r="I61" i="33"/>
  <c r="R16" i="33"/>
  <c r="Q16" i="33"/>
  <c r="P16" i="33"/>
  <c r="O16" i="33"/>
  <c r="N16" i="33"/>
  <c r="K16" i="33"/>
  <c r="I16" i="33"/>
  <c r="G16" i="33"/>
  <c r="E16" i="33"/>
  <c r="I61" i="32"/>
  <c r="G81" i="32"/>
  <c r="E81" i="32"/>
  <c r="R16" i="32"/>
  <c r="Q16" i="32"/>
  <c r="P16" i="32"/>
  <c r="O16" i="32"/>
  <c r="N16" i="32"/>
  <c r="M16" i="32"/>
  <c r="K16" i="32"/>
  <c r="I16" i="32"/>
  <c r="G16" i="32"/>
  <c r="E16" i="32"/>
  <c r="C16" i="32"/>
  <c r="C61" i="30" l="1"/>
  <c r="G81" i="30"/>
  <c r="E81" i="30"/>
  <c r="R16" i="30"/>
  <c r="Q16" i="30"/>
  <c r="P16" i="30"/>
  <c r="O16" i="30"/>
  <c r="N16" i="30"/>
  <c r="M16" i="30"/>
  <c r="K16" i="30"/>
  <c r="I16" i="30"/>
  <c r="G16" i="30"/>
  <c r="E16" i="30"/>
  <c r="C16" i="30"/>
  <c r="E61" i="29"/>
  <c r="C61" i="29"/>
  <c r="G81" i="29"/>
  <c r="E81" i="29"/>
  <c r="R16" i="29"/>
  <c r="Q16" i="29"/>
  <c r="P16" i="29"/>
  <c r="O16" i="29"/>
  <c r="N16" i="29"/>
  <c r="M16" i="29"/>
  <c r="K16" i="29"/>
  <c r="I16" i="29"/>
  <c r="G16" i="29"/>
  <c r="E16" i="29"/>
  <c r="C16" i="29"/>
  <c r="G81" i="28"/>
  <c r="E81" i="28"/>
  <c r="G61" i="28"/>
  <c r="E61" i="28"/>
  <c r="C61" i="28"/>
  <c r="R16" i="28"/>
  <c r="Q16" i="28"/>
  <c r="P16" i="28"/>
  <c r="O16" i="28"/>
  <c r="N16" i="28"/>
  <c r="M16" i="28"/>
  <c r="K16" i="28"/>
  <c r="I16" i="28"/>
  <c r="G16" i="28"/>
  <c r="E16" i="28"/>
  <c r="C16" i="28"/>
  <c r="G61" i="26"/>
  <c r="E61" i="26"/>
  <c r="I81" i="26"/>
  <c r="G81" i="26"/>
  <c r="C81" i="26"/>
  <c r="I61" i="26"/>
  <c r="R16" i="26"/>
  <c r="Q16" i="26"/>
  <c r="P16" i="26"/>
  <c r="O16" i="26"/>
  <c r="N16" i="26"/>
  <c r="M16" i="26"/>
  <c r="K16" i="26"/>
  <c r="I16" i="26"/>
  <c r="G16" i="26"/>
  <c r="E16" i="26"/>
  <c r="C16" i="26"/>
  <c r="G61" i="25" l="1"/>
  <c r="C61" i="25"/>
  <c r="I81" i="25"/>
  <c r="G81" i="25"/>
  <c r="C81" i="25"/>
  <c r="I61" i="25"/>
  <c r="R16" i="25"/>
  <c r="Q16" i="25"/>
  <c r="P16" i="25"/>
  <c r="O16" i="25"/>
  <c r="N16" i="25"/>
  <c r="M16" i="25"/>
  <c r="K16" i="25"/>
  <c r="I16" i="25"/>
  <c r="G16" i="25"/>
  <c r="E16" i="25"/>
  <c r="C16" i="25"/>
  <c r="I81" i="23"/>
  <c r="G81" i="23"/>
  <c r="C81" i="23"/>
  <c r="I61" i="23"/>
  <c r="E61" i="23"/>
  <c r="C61" i="23"/>
  <c r="R16" i="23"/>
  <c r="Q16" i="23"/>
  <c r="P16" i="23"/>
  <c r="O16" i="23"/>
  <c r="N16" i="23"/>
  <c r="M16" i="23"/>
  <c r="K16" i="23"/>
  <c r="I16" i="23"/>
  <c r="G16" i="23"/>
  <c r="E16" i="23"/>
  <c r="C16" i="23"/>
  <c r="C16" i="21"/>
  <c r="E16" i="22"/>
  <c r="E16" i="21"/>
  <c r="G16" i="22"/>
  <c r="I16" i="22"/>
  <c r="K16" i="22"/>
  <c r="G61" i="22"/>
  <c r="E61" i="22"/>
  <c r="I81" i="22"/>
  <c r="E81" i="22"/>
  <c r="C81" i="22"/>
  <c r="R16" i="22"/>
  <c r="Q16" i="22"/>
  <c r="P16" i="22"/>
  <c r="O16" i="22"/>
  <c r="N16" i="22"/>
  <c r="M16" i="22"/>
  <c r="I81" i="21"/>
  <c r="E81" i="21"/>
  <c r="C81" i="21"/>
  <c r="G61" i="21" l="1"/>
  <c r="C61" i="21"/>
  <c r="I61" i="21"/>
  <c r="R16" i="21"/>
  <c r="Q16" i="21"/>
  <c r="P16" i="21"/>
  <c r="O16" i="21"/>
  <c r="N16" i="21"/>
  <c r="M16" i="21"/>
  <c r="K16" i="21"/>
  <c r="I16" i="21"/>
  <c r="G16" i="21"/>
  <c r="E61" i="18"/>
  <c r="G81" i="18"/>
  <c r="E81" i="18"/>
  <c r="C81" i="18"/>
  <c r="I61" i="18"/>
  <c r="R16" i="18"/>
  <c r="Q16" i="18"/>
  <c r="P16" i="18"/>
  <c r="O16" i="18"/>
  <c r="N16" i="18"/>
  <c r="M16" i="18"/>
  <c r="K16" i="18"/>
  <c r="I16" i="18"/>
  <c r="G16" i="18"/>
  <c r="E16" i="18"/>
  <c r="C16" i="18"/>
  <c r="I61" i="17"/>
  <c r="C81" i="17"/>
  <c r="E81" i="17"/>
  <c r="G81" i="17"/>
  <c r="R16" i="17"/>
  <c r="Q16" i="17"/>
  <c r="P16" i="17"/>
  <c r="O16" i="17"/>
  <c r="N16" i="17"/>
  <c r="M16" i="17"/>
  <c r="K16" i="17"/>
  <c r="I16" i="17"/>
  <c r="G16" i="17"/>
  <c r="E16" i="17"/>
  <c r="C16" i="17"/>
  <c r="C61" i="16"/>
  <c r="C81" i="16"/>
  <c r="E81" i="16"/>
  <c r="G81" i="16"/>
  <c r="R16" i="16"/>
  <c r="Q16" i="16"/>
  <c r="P16" i="16"/>
  <c r="O16" i="16"/>
  <c r="N16" i="16"/>
  <c r="M16" i="16"/>
  <c r="K16" i="16"/>
  <c r="I16" i="16"/>
  <c r="G16" i="16"/>
  <c r="E16" i="16"/>
  <c r="C16" i="16"/>
  <c r="E61" i="15"/>
  <c r="G81" i="15"/>
  <c r="E81" i="15"/>
  <c r="C81" i="15"/>
  <c r="R16" i="15"/>
  <c r="Q16" i="15"/>
  <c r="P16" i="15"/>
  <c r="O16" i="15"/>
  <c r="N16" i="15"/>
  <c r="M16" i="15"/>
  <c r="K16" i="15"/>
  <c r="I16" i="15"/>
  <c r="G16" i="15"/>
  <c r="E16" i="15"/>
  <c r="C16" i="15"/>
  <c r="C13" i="13"/>
  <c r="G81" i="13"/>
  <c r="E81" i="13"/>
  <c r="C81" i="13"/>
  <c r="G61" i="13"/>
  <c r="C61" i="13"/>
  <c r="R16" i="13"/>
  <c r="Q16" i="13"/>
  <c r="P16" i="13"/>
  <c r="O16" i="13"/>
  <c r="N16" i="13"/>
  <c r="M16" i="13"/>
  <c r="K16" i="13"/>
  <c r="I16" i="13"/>
  <c r="G16" i="13"/>
  <c r="E16" i="13"/>
  <c r="C16" i="13"/>
  <c r="G57" i="11" l="1"/>
  <c r="E55" i="11"/>
  <c r="C55" i="11"/>
  <c r="I77" i="11"/>
  <c r="G77" i="11"/>
  <c r="E77" i="11"/>
  <c r="C77" i="11"/>
  <c r="R15" i="11"/>
  <c r="Q15" i="11"/>
  <c r="P15" i="11"/>
  <c r="O15" i="11"/>
  <c r="N15" i="11"/>
  <c r="M15" i="11"/>
  <c r="K15" i="11"/>
  <c r="I15" i="11"/>
  <c r="G15" i="11"/>
  <c r="E15" i="11"/>
  <c r="C15" i="11"/>
  <c r="C15" i="10"/>
  <c r="I57" i="10"/>
  <c r="P15" i="10"/>
  <c r="G55" i="10"/>
  <c r="E55" i="10"/>
  <c r="C57" i="10"/>
  <c r="I77" i="10"/>
  <c r="G77" i="10"/>
  <c r="E77" i="10"/>
  <c r="C77" i="10"/>
  <c r="R15" i="10"/>
  <c r="Q15" i="10"/>
  <c r="O15" i="10"/>
  <c r="N15" i="10"/>
  <c r="M15" i="10"/>
  <c r="K15" i="10"/>
  <c r="I15" i="10"/>
  <c r="G15" i="10"/>
  <c r="E15" i="10"/>
  <c r="I78" i="8"/>
  <c r="G78" i="8"/>
  <c r="E78" i="8"/>
  <c r="C78" i="8"/>
  <c r="E58" i="8"/>
  <c r="C58" i="8"/>
  <c r="I56" i="8"/>
  <c r="G56" i="8"/>
  <c r="R16" i="8"/>
  <c r="Q16" i="8"/>
  <c r="O16" i="8"/>
  <c r="N16" i="8"/>
  <c r="M16" i="8"/>
  <c r="K16" i="8"/>
  <c r="I16" i="8"/>
  <c r="G16" i="8"/>
  <c r="E16" i="8"/>
  <c r="C16" i="8"/>
  <c r="P15" i="8"/>
  <c r="P16" i="8" s="1"/>
  <c r="G58" i="7" l="1"/>
  <c r="E56" i="7"/>
  <c r="E52" i="7"/>
  <c r="E58" i="7" s="1"/>
  <c r="C58" i="7"/>
  <c r="G78" i="7"/>
  <c r="E78" i="7"/>
  <c r="C78" i="7"/>
  <c r="I58" i="7"/>
  <c r="Q16" i="7"/>
  <c r="P16" i="7"/>
  <c r="O16" i="7"/>
  <c r="N16" i="7"/>
  <c r="M16" i="7"/>
  <c r="K16" i="7"/>
  <c r="I16" i="7"/>
  <c r="G16" i="7"/>
  <c r="E16" i="7"/>
  <c r="C16" i="7"/>
  <c r="O16" i="6" l="1"/>
  <c r="G56" i="6"/>
  <c r="G52" i="6"/>
  <c r="E58" i="6"/>
  <c r="C58" i="6"/>
  <c r="G78" i="6"/>
  <c r="E78" i="6"/>
  <c r="C78" i="6"/>
  <c r="I58" i="6"/>
  <c r="Q16" i="6"/>
  <c r="P16" i="6"/>
  <c r="N16" i="6"/>
  <c r="M16" i="6"/>
  <c r="K16" i="6"/>
  <c r="I16" i="6"/>
  <c r="G16" i="6"/>
  <c r="E16" i="6"/>
  <c r="C16" i="6"/>
  <c r="G78" i="5"/>
  <c r="E78" i="5"/>
  <c r="C78" i="5"/>
  <c r="G58" i="5"/>
  <c r="E58" i="5"/>
  <c r="C58" i="5"/>
  <c r="I56" i="5"/>
  <c r="I52" i="5"/>
  <c r="I58" i="5" s="1"/>
  <c r="Q16" i="5"/>
  <c r="P16" i="5"/>
  <c r="O16" i="5"/>
  <c r="N16" i="5"/>
  <c r="M16" i="5"/>
  <c r="K16" i="5"/>
  <c r="I16" i="5"/>
  <c r="G16" i="5"/>
  <c r="E16" i="5"/>
  <c r="C16" i="5"/>
  <c r="G58" i="6" l="1"/>
  <c r="G58" i="4"/>
  <c r="E58" i="4"/>
  <c r="C58" i="4"/>
  <c r="G78" i="4"/>
  <c r="E78" i="4"/>
  <c r="C78" i="4"/>
  <c r="I58" i="4"/>
  <c r="Q16" i="4"/>
  <c r="P16" i="4"/>
  <c r="O16" i="4"/>
  <c r="N16" i="4"/>
  <c r="M16" i="4"/>
  <c r="K16" i="4"/>
  <c r="I16" i="4"/>
  <c r="G16" i="4"/>
  <c r="E16" i="4"/>
  <c r="C16" i="4"/>
  <c r="G58" i="3" l="1"/>
  <c r="E58" i="3"/>
  <c r="C58" i="3"/>
  <c r="G78" i="3"/>
  <c r="E78" i="3"/>
  <c r="C78" i="3"/>
  <c r="I58" i="3"/>
  <c r="Q16" i="3"/>
  <c r="P16" i="3"/>
  <c r="O16" i="3"/>
  <c r="N16" i="3"/>
  <c r="M16" i="3"/>
  <c r="K16" i="3"/>
  <c r="I16" i="3"/>
  <c r="G16" i="3"/>
  <c r="E16" i="3"/>
  <c r="C16" i="3"/>
  <c r="G58" i="2"/>
  <c r="E58" i="2"/>
  <c r="C58" i="2"/>
  <c r="G78" i="2"/>
  <c r="E78" i="2"/>
  <c r="C78" i="2"/>
  <c r="I58" i="2"/>
  <c r="Q16" i="2"/>
  <c r="P16" i="2"/>
  <c r="O16" i="2"/>
  <c r="N16" i="2"/>
  <c r="M16" i="2"/>
  <c r="K16" i="2"/>
  <c r="I16" i="2"/>
  <c r="G16" i="2"/>
  <c r="E16" i="2"/>
  <c r="C16" i="2"/>
  <c r="C16" i="1" l="1"/>
  <c r="E16" i="1"/>
  <c r="G16" i="1"/>
  <c r="I16" i="1"/>
  <c r="K16" i="1"/>
  <c r="M16" i="1"/>
  <c r="N16" i="1"/>
  <c r="O16" i="1"/>
  <c r="P16" i="1"/>
  <c r="Q16" i="1"/>
  <c r="I58" i="1" l="1"/>
  <c r="G58" i="1" l="1"/>
  <c r="E58" i="1"/>
  <c r="C58" i="1"/>
  <c r="G78" i="1"/>
  <c r="E78" i="1"/>
  <c r="C78" i="1"/>
</calcChain>
</file>

<file path=xl/sharedStrings.xml><?xml version="1.0" encoding="utf-8"?>
<sst xmlns="http://schemas.openxmlformats.org/spreadsheetml/2006/main" count="4839" uniqueCount="508">
  <si>
    <t>Stanje</t>
  </si>
  <si>
    <r>
      <rPr>
        <b/>
        <sz val="12"/>
        <color theme="1"/>
        <rFont val="Calibri"/>
        <family val="2"/>
        <charset val="238"/>
        <scheme val="minor"/>
      </rPr>
      <t xml:space="preserve">IAD-a </t>
    </r>
    <r>
      <rPr>
        <b/>
        <sz val="11"/>
        <color theme="1"/>
        <rFont val="Calibri"/>
        <family val="2"/>
        <charset val="238"/>
        <scheme val="minor"/>
      </rPr>
      <t xml:space="preserve"> 
      H267N /  HG658V2 / Zyxel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</si>
  <si>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 VIP4302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</si>
  <si>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VIP5305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</si>
  <si>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DIN4805V 4K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</si>
  <si>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DIN7005V HD</t>
    </r>
  </si>
  <si>
    <t>ONT 
(HUAWEI)</t>
  </si>
  <si>
    <t>ONT
(NOKIA)</t>
  </si>
  <si>
    <t>UREĐAJ STB DTH</t>
  </si>
  <si>
    <t>ANTENA SATELITSKA DTH</t>
  </si>
  <si>
    <t>LNB DUO TWIN</t>
  </si>
  <si>
    <t>Datum:</t>
  </si>
  <si>
    <t>31.01.2025.</t>
  </si>
  <si>
    <t>Centralno skladište</t>
  </si>
  <si>
    <t>Skladište servisirane opreme</t>
  </si>
  <si>
    <t xml:space="preserve">IJ Banja Luka </t>
  </si>
  <si>
    <t>IJ Prijedor</t>
  </si>
  <si>
    <t>IJ Doboj</t>
  </si>
  <si>
    <t>IJ Bijeljina</t>
  </si>
  <si>
    <t>IJ Zvornik</t>
  </si>
  <si>
    <t>IJ I.Sarajevo</t>
  </si>
  <si>
    <t>IJ Foča</t>
  </si>
  <si>
    <t>IJ Trebinje</t>
  </si>
  <si>
    <t>Posrednička skladišta DTH</t>
  </si>
  <si>
    <t xml:space="preserve">UKUPNO </t>
  </si>
  <si>
    <t>Raspoloživa oprema</t>
  </si>
  <si>
    <t>* Razlika u stanju Centralnog skladišta i raspoloživog stanja se može pojaviti u nalozima koji su  odrađeni, ali oprema još nije izuzeta iz magacina.</t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</si>
  <si>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</si>
  <si>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VIP4205/Arris VIP1113</t>
    </r>
  </si>
  <si>
    <r>
      <rPr>
        <b/>
        <sz val="12"/>
        <color theme="1"/>
        <rFont val="Calibri"/>
        <family val="2"/>
        <charset val="238"/>
        <scheme val="minor"/>
      </rPr>
      <t>ONT</t>
    </r>
    <r>
      <rPr>
        <b/>
        <sz val="11"/>
        <color theme="1"/>
        <rFont val="Calibri"/>
        <family val="2"/>
        <charset val="238"/>
        <scheme val="minor"/>
      </rPr>
      <t xml:space="preserve"> 
(HUAWEI)</t>
    </r>
  </si>
  <si>
    <t>STB-ova  
EKT DIN4805V 4K</t>
  </si>
  <si>
    <t>STB-ova  
EKT DIN7005V HD</t>
  </si>
  <si>
    <t>150/37</t>
  </si>
  <si>
    <t>20/30</t>
  </si>
  <si>
    <t>12</t>
  </si>
  <si>
    <t>0</t>
  </si>
  <si>
    <t>25</t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</si>
  <si>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nekompletne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</si>
  <si>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t>15 NA</t>
  </si>
  <si>
    <t>100 ND/ 70 NDiA</t>
  </si>
  <si>
    <t>0 ND</t>
  </si>
  <si>
    <t>5 NA</t>
  </si>
  <si>
    <t>13 ND</t>
  </si>
  <si>
    <t>0ND</t>
  </si>
  <si>
    <t>34 ND</t>
  </si>
  <si>
    <t>0 NA</t>
  </si>
  <si>
    <t>180 ND/ 670 ND</t>
  </si>
  <si>
    <t>10 ND</t>
  </si>
  <si>
    <t xml:space="preserve">11 NA </t>
  </si>
  <si>
    <t>21 ND / 220 ND</t>
  </si>
  <si>
    <t>52 NA</t>
  </si>
  <si>
    <t>94 ND/108ND</t>
  </si>
  <si>
    <t>9 NA</t>
  </si>
  <si>
    <t>11 ND</t>
  </si>
  <si>
    <t>*Napomena: ND- nema daljinski,  NA- nema adapter, NDiA- nema daljinski i adapter</t>
  </si>
  <si>
    <t>Stanje STB uređaja - IPTV platforma</t>
  </si>
  <si>
    <t>STB-uređaji</t>
  </si>
  <si>
    <t>17.01.2025.</t>
  </si>
  <si>
    <t>24.01.2025.</t>
  </si>
  <si>
    <t>Amino 139</t>
  </si>
  <si>
    <t xml:space="preserve">VIP 4302 </t>
  </si>
  <si>
    <t>Arris VIP1113</t>
  </si>
  <si>
    <t>Arris VIP1113W</t>
  </si>
  <si>
    <t>VIP 4205</t>
  </si>
  <si>
    <t>EKT 7005v HD</t>
  </si>
  <si>
    <t>EKT 4805v 4K</t>
  </si>
  <si>
    <t>VIP5305</t>
  </si>
  <si>
    <t>UKUPNO:</t>
  </si>
  <si>
    <t>Ukupan broj korisnika na IPTV platformi</t>
  </si>
  <si>
    <t>Mjesečno stanje - broj ONT uređaja u radu</t>
  </si>
  <si>
    <t>31.10.2024.</t>
  </si>
  <si>
    <t>30.11.2024.</t>
  </si>
  <si>
    <t>31.12.2024.</t>
  </si>
  <si>
    <t>ONT-GPON</t>
  </si>
  <si>
    <t>U radu FTTH</t>
  </si>
  <si>
    <t>RC Brčko</t>
  </si>
  <si>
    <t>UKUPNO</t>
  </si>
  <si>
    <t>07.02.2025.</t>
  </si>
  <si>
    <t>24</t>
  </si>
  <si>
    <t>30</t>
  </si>
  <si>
    <t>5/5</t>
  </si>
  <si>
    <t>23</t>
  </si>
  <si>
    <t>29 ND</t>
  </si>
  <si>
    <t>606 ND</t>
  </si>
  <si>
    <t>44 NA</t>
  </si>
  <si>
    <t>166 ND</t>
  </si>
  <si>
    <t>33 NA</t>
  </si>
  <si>
    <t>16 ND</t>
  </si>
  <si>
    <t>2 ND</t>
  </si>
  <si>
    <t>193 ND</t>
  </si>
  <si>
    <t>1 ND</t>
  </si>
  <si>
    <t>42 NDiA</t>
  </si>
  <si>
    <t>14.02.2025.</t>
  </si>
  <si>
    <t>94/106</t>
  </si>
  <si>
    <t>0 ND/0ND</t>
  </si>
  <si>
    <t>121</t>
  </si>
  <si>
    <t>7 NA</t>
  </si>
  <si>
    <t>102 ND</t>
  </si>
  <si>
    <t>20 ND / 24 ND</t>
  </si>
  <si>
    <t>4 NA</t>
  </si>
  <si>
    <t>2 NA</t>
  </si>
  <si>
    <t>194</t>
  </si>
  <si>
    <t>43 NA</t>
  </si>
  <si>
    <t>25 ND</t>
  </si>
  <si>
    <t>40 ND</t>
  </si>
  <si>
    <t>30/70</t>
  </si>
  <si>
    <t>21 ND / 170 ND</t>
  </si>
  <si>
    <t>160</t>
  </si>
  <si>
    <t>461 ND</t>
  </si>
  <si>
    <t>0 ND/ 50 NDiA</t>
  </si>
  <si>
    <t>21.02.2025.</t>
  </si>
  <si>
    <t>105 ND</t>
  </si>
  <si>
    <t>79/90</t>
  </si>
  <si>
    <t>18 NDIA</t>
  </si>
  <si>
    <t>24/100</t>
  </si>
  <si>
    <t>178 ND/ 640 ND</t>
  </si>
  <si>
    <t xml:space="preserve">22 NA </t>
  </si>
  <si>
    <t>74 NA</t>
  </si>
  <si>
    <t>182</t>
  </si>
  <si>
    <t>47 NA</t>
  </si>
  <si>
    <t>31 ND</t>
  </si>
  <si>
    <t>144</t>
  </si>
  <si>
    <t>484 ND</t>
  </si>
  <si>
    <t>33 ND</t>
  </si>
  <si>
    <t>17 ND</t>
  </si>
  <si>
    <t>28.02.2025.</t>
  </si>
  <si>
    <t>135</t>
  </si>
  <si>
    <t>151</t>
  </si>
  <si>
    <t>145/37</t>
  </si>
  <si>
    <t>22/89</t>
  </si>
  <si>
    <t>70/80</t>
  </si>
  <si>
    <t>9</t>
  </si>
  <si>
    <t>134</t>
  </si>
  <si>
    <t>490 ND</t>
  </si>
  <si>
    <t>48 NA</t>
  </si>
  <si>
    <t>55 ND</t>
  </si>
  <si>
    <t>23 ND</t>
  </si>
  <si>
    <t>170 ND/ 612 ND</t>
  </si>
  <si>
    <t>28 ND</t>
  </si>
  <si>
    <t>8 ND</t>
  </si>
  <si>
    <t>26</t>
  </si>
  <si>
    <t>14 NA</t>
  </si>
  <si>
    <t>0 ND/ 135 NDiA</t>
  </si>
  <si>
    <t>3 NA</t>
  </si>
  <si>
    <t>35 ND</t>
  </si>
  <si>
    <t>4 ND</t>
  </si>
  <si>
    <t>07.03.2025.</t>
  </si>
  <si>
    <t>56</t>
  </si>
  <si>
    <t>120</t>
  </si>
  <si>
    <t>112</t>
  </si>
  <si>
    <t>20/77</t>
  </si>
  <si>
    <t>28/66</t>
  </si>
  <si>
    <t>50/70</t>
  </si>
  <si>
    <t>22</t>
  </si>
  <si>
    <t>36 ND</t>
  </si>
  <si>
    <t>18 ND</t>
  </si>
  <si>
    <t>485 ND</t>
  </si>
  <si>
    <t>49 NA</t>
  </si>
  <si>
    <t>86 ND</t>
  </si>
  <si>
    <t>21 ND</t>
  </si>
  <si>
    <t>155 ND/ 608 ND</t>
  </si>
  <si>
    <t>9 ND</t>
  </si>
  <si>
    <t>14.03.2025.</t>
  </si>
  <si>
    <t>101</t>
  </si>
  <si>
    <t>97 ND</t>
  </si>
  <si>
    <t>20 NA</t>
  </si>
  <si>
    <t>46</t>
  </si>
  <si>
    <t>39/50</t>
  </si>
  <si>
    <t>10/50</t>
  </si>
  <si>
    <t>140 ND/ 595 ND</t>
  </si>
  <si>
    <t>25/62</t>
  </si>
  <si>
    <t>78</t>
  </si>
  <si>
    <t>578 ND</t>
  </si>
  <si>
    <t>35</t>
  </si>
  <si>
    <t>37 ND</t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</si>
  <si>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 VIP4302/1113</t>
    </r>
  </si>
  <si>
    <t>21.03.2025.</t>
  </si>
  <si>
    <t>197</t>
  </si>
  <si>
    <t>79</t>
  </si>
  <si>
    <t>21/53</t>
  </si>
  <si>
    <t>30/40</t>
  </si>
  <si>
    <t>33</t>
  </si>
  <si>
    <t>132</t>
  </si>
  <si>
    <t>0 ND/ 133 NDiA</t>
  </si>
  <si>
    <t>439 ND</t>
  </si>
  <si>
    <t>51 NA</t>
  </si>
  <si>
    <t>117 ND</t>
  </si>
  <si>
    <t>26 ND</t>
  </si>
  <si>
    <t>17 NA</t>
  </si>
  <si>
    <t>STRONG  STB HD/4K HP44H</t>
  </si>
  <si>
    <t>08.05.2025.</t>
  </si>
  <si>
    <r>
      <t xml:space="preserve">Stanje demontirane ispravne i </t>
    </r>
    <r>
      <rPr>
        <b/>
        <sz val="12"/>
        <color rgb="FFFF0000"/>
        <rFont val="Calibri"/>
        <family val="2"/>
        <charset val="238"/>
        <scheme val="minor"/>
      </rPr>
      <t>kompletne</t>
    </r>
    <r>
      <rPr>
        <b/>
        <sz val="12"/>
        <color theme="1"/>
        <rFont val="Calibri"/>
        <family val="2"/>
        <charset val="238"/>
        <scheme val="minor"/>
      </rPr>
      <t xml:space="preserve"> TO</t>
    </r>
  </si>
  <si>
    <t>98</t>
  </si>
  <si>
    <t>73</t>
  </si>
  <si>
    <t>270/37</t>
  </si>
  <si>
    <t>2/35</t>
  </si>
  <si>
    <t>7/0/0</t>
  </si>
  <si>
    <t>0/20</t>
  </si>
  <si>
    <t>25/7</t>
  </si>
  <si>
    <t>27</t>
  </si>
  <si>
    <t>116</t>
  </si>
  <si>
    <r>
      <t xml:space="preserve">Stanje demontirane ispravne i </t>
    </r>
    <r>
      <rPr>
        <b/>
        <sz val="12"/>
        <color rgb="FFFF0000"/>
        <rFont val="Calibri"/>
        <family val="2"/>
        <charset val="238"/>
        <scheme val="minor"/>
      </rPr>
      <t>nekompletne</t>
    </r>
    <r>
      <rPr>
        <b/>
        <sz val="12"/>
        <color theme="1"/>
        <rFont val="Calibri"/>
        <family val="2"/>
        <charset val="238"/>
        <scheme val="minor"/>
      </rPr>
      <t xml:space="preserve"> TO</t>
    </r>
  </si>
  <si>
    <t>18 NA</t>
  </si>
  <si>
    <t>0 ND/ 51 NDiA</t>
  </si>
  <si>
    <t>3 ND</t>
  </si>
  <si>
    <t>399 ND</t>
  </si>
  <si>
    <t>68 NA</t>
  </si>
  <si>
    <t>148 ND</t>
  </si>
  <si>
    <t>120 ND/ 490 ND</t>
  </si>
  <si>
    <t xml:space="preserve">17 NA </t>
  </si>
  <si>
    <t>12 ND / 144 ND</t>
  </si>
  <si>
    <t>16/2</t>
  </si>
  <si>
    <t>6 NDiA</t>
  </si>
  <si>
    <t>38 ND</t>
  </si>
  <si>
    <t>7 ND</t>
  </si>
  <si>
    <t>04.04.2025.</t>
  </si>
  <si>
    <t>11.04.2025.</t>
  </si>
  <si>
    <t>25.04.2025.</t>
  </si>
  <si>
    <t>24.04.2025.</t>
  </si>
  <si>
    <t>31.03.2025</t>
  </si>
  <si>
    <t>30.04.2025.</t>
  </si>
  <si>
    <t>16.05.2025.</t>
  </si>
  <si>
    <t>28</t>
  </si>
  <si>
    <t>114</t>
  </si>
  <si>
    <t>83 NA</t>
  </si>
  <si>
    <t>156 ND</t>
  </si>
  <si>
    <t>44</t>
  </si>
  <si>
    <t>0 ND/ 45 NDiA</t>
  </si>
  <si>
    <t>41 ND</t>
  </si>
  <si>
    <t>30/8</t>
  </si>
  <si>
    <t>80</t>
  </si>
  <si>
    <t>429 ND</t>
  </si>
  <si>
    <t>23.05.2025.</t>
  </si>
  <si>
    <t>62 NA</t>
  </si>
  <si>
    <t>150 ND</t>
  </si>
  <si>
    <t>120/37</t>
  </si>
  <si>
    <t>0/1</t>
  </si>
  <si>
    <t>101 ND/ 397 ND</t>
  </si>
  <si>
    <t>447 ND</t>
  </si>
  <si>
    <t>Skyworth STB HD/4K HP44H</t>
  </si>
  <si>
    <t>66</t>
  </si>
  <si>
    <t>0 ND/ 40 NDiA</t>
  </si>
  <si>
    <t>43 ND</t>
  </si>
  <si>
    <t>22 ND</t>
  </si>
  <si>
    <t>109</t>
  </si>
  <si>
    <t>12/0/0</t>
  </si>
  <si>
    <t>17 ND / 144 ND</t>
  </si>
  <si>
    <t>20</t>
  </si>
  <si>
    <t>40/15</t>
  </si>
  <si>
    <t>20 NDiA</t>
  </si>
  <si>
    <t>30.05.2025.</t>
  </si>
  <si>
    <t>Strong HP44P</t>
  </si>
  <si>
    <t>14 ND</t>
  </si>
  <si>
    <t>0/0</t>
  </si>
  <si>
    <t>57 NA</t>
  </si>
  <si>
    <t>06.06.2025.</t>
  </si>
  <si>
    <t>0 ND/ 47 NDiA</t>
  </si>
  <si>
    <t>47 ND</t>
  </si>
  <si>
    <t>102/37</t>
  </si>
  <si>
    <t>55 ND/ 78 ND</t>
  </si>
  <si>
    <t>13</t>
  </si>
  <si>
    <t>145 ND</t>
  </si>
  <si>
    <t>IJ Brčko</t>
  </si>
  <si>
    <t>50/10</t>
  </si>
  <si>
    <t>190/680</t>
  </si>
  <si>
    <t>71</t>
  </si>
  <si>
    <t>457 ND</t>
  </si>
  <si>
    <t>111</t>
  </si>
  <si>
    <t>15</t>
  </si>
  <si>
    <t>60/20</t>
  </si>
  <si>
    <t>25 NDiA</t>
  </si>
  <si>
    <t>13.06.2025.</t>
  </si>
  <si>
    <t>105/37</t>
  </si>
  <si>
    <t>32</t>
  </si>
  <si>
    <t>453 ND</t>
  </si>
  <si>
    <t>8</t>
  </si>
  <si>
    <t>65/20</t>
  </si>
  <si>
    <t>30 NDiA</t>
  </si>
  <si>
    <t>21</t>
  </si>
  <si>
    <t>110</t>
  </si>
  <si>
    <t>6 ND</t>
  </si>
  <si>
    <t>0 ND/ 95 NDiA</t>
  </si>
  <si>
    <t>52 ND</t>
  </si>
  <si>
    <t>27 ND</t>
  </si>
  <si>
    <t>40/10</t>
  </si>
  <si>
    <t>20.06.2025.</t>
  </si>
  <si>
    <t>35/10</t>
  </si>
  <si>
    <t>83</t>
  </si>
  <si>
    <t>0 ND/ 57 NDiA</t>
  </si>
  <si>
    <t>104</t>
  </si>
  <si>
    <t>396 ND</t>
  </si>
  <si>
    <t>0/12</t>
  </si>
  <si>
    <t xml:space="preserve">19 NA </t>
  </si>
  <si>
    <t>53 NA</t>
  </si>
  <si>
    <t>27.06.2025.</t>
  </si>
  <si>
    <t>58 ND</t>
  </si>
  <si>
    <t>105</t>
  </si>
  <si>
    <t>14</t>
  </si>
  <si>
    <t>72 NA</t>
  </si>
  <si>
    <t>155 ND</t>
  </si>
  <si>
    <t>30/10</t>
  </si>
  <si>
    <t>85</t>
  </si>
  <si>
    <t>372 ND</t>
  </si>
  <si>
    <t>6</t>
  </si>
  <si>
    <t>103/29</t>
  </si>
  <si>
    <t>35 NDiA</t>
  </si>
  <si>
    <t>11.07.2025.</t>
  </si>
  <si>
    <t>04.07.2025.</t>
  </si>
  <si>
    <t>17</t>
  </si>
  <si>
    <t>28/10</t>
  </si>
  <si>
    <t>80 NA</t>
  </si>
  <si>
    <t>19 ND</t>
  </si>
  <si>
    <t xml:space="preserve">16 NA </t>
  </si>
  <si>
    <t>25 ND / 144 ND</t>
  </si>
  <si>
    <t>352 ND</t>
  </si>
  <si>
    <t>95/37</t>
  </si>
  <si>
    <t>5</t>
  </si>
  <si>
    <t>120/38</t>
  </si>
  <si>
    <t>44 NDiA</t>
  </si>
  <si>
    <t>82</t>
  </si>
  <si>
    <t>64 ND</t>
  </si>
  <si>
    <t>32 ND</t>
  </si>
  <si>
    <t>18.07.2025.</t>
  </si>
  <si>
    <t>181.07.2025.</t>
  </si>
  <si>
    <t>20/10</t>
  </si>
  <si>
    <t>81 NA</t>
  </si>
  <si>
    <t>386 ND</t>
  </si>
  <si>
    <t>3</t>
  </si>
  <si>
    <t>120/40</t>
  </si>
  <si>
    <t>48 NDiA</t>
  </si>
  <si>
    <t>23 NA</t>
  </si>
  <si>
    <t>0 ND/ 58 NDiA</t>
  </si>
  <si>
    <t>68 ND</t>
  </si>
  <si>
    <t>30.06.2025.</t>
  </si>
  <si>
    <t>25.07.2025.</t>
  </si>
  <si>
    <t>146 NDIA</t>
  </si>
  <si>
    <t>71 NA</t>
  </si>
  <si>
    <t>146 ND</t>
  </si>
  <si>
    <t>11</t>
  </si>
  <si>
    <t>402 ND</t>
  </si>
  <si>
    <t>190/685</t>
  </si>
  <si>
    <t>14/0/0</t>
  </si>
  <si>
    <t xml:space="preserve">23 NA </t>
  </si>
  <si>
    <t>25 ND / 170 ND</t>
  </si>
  <si>
    <t>99</t>
  </si>
  <si>
    <t>2</t>
  </si>
  <si>
    <t>125/45</t>
  </si>
  <si>
    <t>50 NDiA</t>
  </si>
  <si>
    <t>81</t>
  </si>
  <si>
    <t>25 NA</t>
  </si>
  <si>
    <t>72 ND</t>
  </si>
  <si>
    <t>01.08.2025.</t>
  </si>
  <si>
    <t>30.07.2025.</t>
  </si>
  <si>
    <t>1</t>
  </si>
  <si>
    <t>45 NDiA</t>
  </si>
  <si>
    <t>0 ND/ 53 NDiA</t>
  </si>
  <si>
    <t>70 ND</t>
  </si>
  <si>
    <t>57 ND/ 78 ND</t>
  </si>
  <si>
    <t>70 NA</t>
  </si>
  <si>
    <t>144 ND</t>
  </si>
  <si>
    <t>10</t>
  </si>
  <si>
    <t>97</t>
  </si>
  <si>
    <t>338 ND</t>
  </si>
  <si>
    <r>
      <t xml:space="preserve">IAD-a </t>
    </r>
    <r>
      <rPr>
        <b/>
        <sz val="11"/>
        <color rgb="FF000000"/>
        <rFont val="Calibri"/>
        <family val="2"/>
        <charset val="238"/>
      </rPr>
      <t> /Skyworth SK-D632</t>
    </r>
  </si>
  <si>
    <t>      H267N /  HG658V2 / Zyxel</t>
  </si>
  <si>
    <r>
      <t xml:space="preserve">STB-ova </t>
    </r>
    <r>
      <rPr>
        <b/>
        <sz val="11"/>
        <color rgb="FF000000"/>
        <rFont val="Calibri"/>
        <family val="2"/>
        <charset val="238"/>
      </rPr>
      <t> </t>
    </r>
  </si>
  <si>
    <t>Arris VIP4205/ VIP4302/1113</t>
  </si>
  <si>
    <t>Arris VIP5305</t>
  </si>
  <si>
    <t>EKT DIN4805V 4K</t>
  </si>
  <si>
    <t>EKT DIN7005V HD</t>
  </si>
  <si>
    <t>ONT</t>
  </si>
  <si>
    <t>(HUAWEI)</t>
  </si>
  <si>
    <t>(NOKIA)</t>
  </si>
  <si>
    <t>08.08.2025.</t>
  </si>
  <si>
    <t>* Razlika u stanju Centralnog skladišta i raspoloživog stanja se može pojaviti u nalozima koji su  odrađeni, ali oprema još nije izuzeta iz magacina.</t>
  </si>
  <si>
    <r>
      <t xml:space="preserve">Stanje demontirane ispravne i </t>
    </r>
    <r>
      <rPr>
        <b/>
        <sz val="12"/>
        <color rgb="FFFF0000"/>
        <rFont val="Calibri"/>
        <family val="2"/>
        <charset val="238"/>
      </rPr>
      <t>kompletne</t>
    </r>
    <r>
      <rPr>
        <b/>
        <sz val="12"/>
        <color rgb="FF000000"/>
        <rFont val="Calibri"/>
        <family val="2"/>
        <charset val="238"/>
      </rPr>
      <t xml:space="preserve"> TO</t>
    </r>
  </si>
  <si>
    <r>
      <t xml:space="preserve">IAD-a </t>
    </r>
    <r>
      <rPr>
        <b/>
        <sz val="11"/>
        <color rgb="FF000000"/>
        <rFont val="Calibri"/>
        <family val="2"/>
        <charset val="238"/>
      </rPr>
      <t> </t>
    </r>
  </si>
  <si>
    <t>      H267N /  HG658V2 / Zyxel</t>
  </si>
  <si>
    <t>Arris VIP4205/Arris VIP1113</t>
  </si>
  <si>
    <t>STB-ova </t>
  </si>
  <si>
    <r>
      <t xml:space="preserve">Stanje demontirane ispravne i </t>
    </r>
    <r>
      <rPr>
        <b/>
        <sz val="12"/>
        <color rgb="FFFF0000"/>
        <rFont val="Calibri"/>
        <family val="2"/>
        <charset val="238"/>
      </rPr>
      <t>nekompletne</t>
    </r>
    <r>
      <rPr>
        <b/>
        <sz val="12"/>
        <color rgb="FF000000"/>
        <rFont val="Calibri"/>
        <family val="2"/>
        <charset val="238"/>
      </rPr>
      <t xml:space="preserve"> TO</t>
    </r>
  </si>
  <si>
    <t>0 ND/ 52 NDiA</t>
  </si>
  <si>
    <t>327 ND</t>
  </si>
  <si>
    <t>58 NA</t>
  </si>
  <si>
    <t>125/40</t>
  </si>
  <si>
    <t>40 NDiA</t>
  </si>
  <si>
    <t>15.08.2025.</t>
  </si>
  <si>
    <t>16 NA</t>
  </si>
  <si>
    <t>60 ND/ 78 ND</t>
  </si>
  <si>
    <t>75</t>
  </si>
  <si>
    <t>0 ND/ 54 NDiA</t>
  </si>
  <si>
    <t>75 ND</t>
  </si>
  <si>
    <t>95</t>
  </si>
  <si>
    <t>305 ND</t>
  </si>
  <si>
    <t>22.08.2025.</t>
  </si>
  <si>
    <r>
      <rPr>
        <b/>
        <sz val="12"/>
        <color theme="1"/>
        <rFont val="Calibri"/>
        <family val="2"/>
        <charset val="238"/>
        <scheme val="minor"/>
      </rPr>
      <t xml:space="preserve">IAD-a </t>
    </r>
    <r>
      <rPr>
        <b/>
        <sz val="11"/>
        <color theme="1"/>
        <rFont val="Calibri"/>
        <family val="2"/>
        <charset val="238"/>
        <scheme val="minor"/>
      </rPr>
      <t xml:space="preserve"> 
      H267N /  HG658V2 / Zyxel / Skyworth</t>
    </r>
  </si>
  <si>
    <t>47</t>
  </si>
  <si>
    <t>354 ND</t>
  </si>
  <si>
    <t>39 ND</t>
  </si>
  <si>
    <t>19 NA</t>
  </si>
  <si>
    <t>0 ND/ 30 NDiA</t>
  </si>
  <si>
    <t>30 ND</t>
  </si>
  <si>
    <t>125/35</t>
  </si>
  <si>
    <t>29.08.2025.</t>
  </si>
  <si>
    <t>190/690</t>
  </si>
  <si>
    <t>16</t>
  </si>
  <si>
    <t>42 ND</t>
  </si>
  <si>
    <t>05.09.2025.</t>
  </si>
  <si>
    <t>65 ND/ 80 ND</t>
  </si>
  <si>
    <t>31.08.2025.</t>
  </si>
  <si>
    <t>142 ND</t>
  </si>
  <si>
    <r>
      <rPr>
        <b/>
        <sz val="12"/>
        <color theme="1"/>
        <rFont val="Calibri"/>
        <family val="2"/>
        <charset val="238"/>
        <scheme val="minor"/>
      </rPr>
      <t xml:space="preserve">IAD-a </t>
    </r>
    <r>
      <rPr>
        <b/>
        <sz val="11"/>
        <color theme="1"/>
        <rFont val="Calibri"/>
        <family val="2"/>
        <charset val="238"/>
        <scheme val="minor"/>
      </rPr>
      <t xml:space="preserve"> 
      H267N /  HG658V2 / Zyxel / Skyworth SK-D632</t>
    </r>
  </si>
  <si>
    <t>57/300 NA</t>
  </si>
  <si>
    <t>77</t>
  </si>
  <si>
    <t>0 ND/ 39 NDiA</t>
  </si>
  <si>
    <t>328 ND</t>
  </si>
  <si>
    <t>183/43</t>
  </si>
  <si>
    <t>41 NDiA</t>
  </si>
  <si>
    <t>12.09.2025.</t>
  </si>
  <si>
    <t>108</t>
  </si>
  <si>
    <t>318 ND</t>
  </si>
  <si>
    <t>0 ND/ 48 NDiA</t>
  </si>
  <si>
    <t>65 ND</t>
  </si>
  <si>
    <t>42/300 NA</t>
  </si>
  <si>
    <t>133 ND</t>
  </si>
  <si>
    <t>138/43</t>
  </si>
  <si>
    <t xml:space="preserve">21 NA </t>
  </si>
  <si>
    <t>19.09.2025.</t>
  </si>
  <si>
    <t>137 ND</t>
  </si>
  <si>
    <t>53/300 NA</t>
  </si>
  <si>
    <t>313 ND</t>
  </si>
  <si>
    <t>50/37</t>
  </si>
  <si>
    <t>0 ND/ 36 NDiA</t>
  </si>
  <si>
    <t>145/45</t>
  </si>
  <si>
    <t>26.09.2025.</t>
  </si>
  <si>
    <t>74</t>
  </si>
  <si>
    <t>0 ND/ 38 NDiA</t>
  </si>
  <si>
    <t>148/42</t>
  </si>
  <si>
    <t>54</t>
  </si>
  <si>
    <t>60/10</t>
  </si>
  <si>
    <t>200/700</t>
  </si>
  <si>
    <t>10.10.2025.</t>
  </si>
  <si>
    <t>03.10.2025.</t>
  </si>
  <si>
    <t>66/300 NA</t>
  </si>
  <si>
    <t>135 ND</t>
  </si>
  <si>
    <t>25 ND / 220 ND</t>
  </si>
  <si>
    <t>426 ND</t>
  </si>
  <si>
    <t>70/10</t>
  </si>
  <si>
    <t>31</t>
  </si>
  <si>
    <t>22 NA</t>
  </si>
  <si>
    <t>0 ND/ 37 NDiA</t>
  </si>
  <si>
    <t>87 ND</t>
  </si>
  <si>
    <t>52/39</t>
  </si>
  <si>
    <t>155/43</t>
  </si>
  <si>
    <t>2 NDIA</t>
  </si>
  <si>
    <t>31.09.2025.</t>
  </si>
  <si>
    <t>17.10.2025.</t>
  </si>
  <si>
    <t>66 NA</t>
  </si>
  <si>
    <t>36</t>
  </si>
  <si>
    <t>80/10</t>
  </si>
  <si>
    <t>208</t>
  </si>
  <si>
    <t>247 ND</t>
  </si>
  <si>
    <t>158/41</t>
  </si>
  <si>
    <t>24.10.2025.</t>
  </si>
  <si>
    <t>85/10</t>
  </si>
  <si>
    <t>4</t>
  </si>
  <si>
    <t>96</t>
  </si>
  <si>
    <t>77 ND</t>
  </si>
  <si>
    <t>185</t>
  </si>
  <si>
    <t>235 ND</t>
  </si>
  <si>
    <t>60ND/ 85 ND</t>
  </si>
  <si>
    <t>128 ND</t>
  </si>
  <si>
    <t>155/40</t>
  </si>
  <si>
    <t>52 NDiA</t>
  </si>
  <si>
    <t>31.10.2025.</t>
  </si>
  <si>
    <t>61 NA</t>
  </si>
  <si>
    <t>11 NA</t>
  </si>
  <si>
    <t>155/42</t>
  </si>
  <si>
    <t>165</t>
  </si>
  <si>
    <t>254 ND</t>
  </si>
  <si>
    <t>Datum</t>
  </si>
  <si>
    <t>26.09.2025</t>
  </si>
  <si>
    <t>07.11.2025.</t>
  </si>
  <si>
    <t>30.09.2025.</t>
  </si>
  <si>
    <t>43</t>
  </si>
  <si>
    <t>0 ND/ 44 NDiA</t>
  </si>
  <si>
    <t>62 ND</t>
  </si>
  <si>
    <t>258 ND</t>
  </si>
  <si>
    <t>65ND/ 80 ND</t>
  </si>
  <si>
    <t>14.11.2025</t>
  </si>
  <si>
    <t>14.11.2025.</t>
  </si>
  <si>
    <t>10 NA</t>
  </si>
  <si>
    <t>100/10</t>
  </si>
  <si>
    <t>151/41</t>
  </si>
  <si>
    <t>150</t>
  </si>
  <si>
    <t>353 ND</t>
  </si>
  <si>
    <t>1ND</t>
  </si>
  <si>
    <t>63 ND</t>
  </si>
  <si>
    <t>28.11.2025.</t>
  </si>
  <si>
    <t>28.11.2025</t>
  </si>
  <si>
    <t>101 NA</t>
  </si>
  <si>
    <t>111 ND</t>
  </si>
  <si>
    <t>55/20</t>
  </si>
  <si>
    <t>65ND/ 82 ND</t>
  </si>
  <si>
    <t>150/40</t>
  </si>
  <si>
    <t>355 ND</t>
  </si>
  <si>
    <t xml:space="preserve">18 NA </t>
  </si>
  <si>
    <t>09.05.2025.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</si>
</sst>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.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rgb="FF1F497D"/>
      <name val="Calibri"/>
      <family val="2"/>
    </font>
    <font>
      <sz val="11"/>
      <name val="Calibri"/>
      <family val="2"/>
    </font>
    <font>
      <sz val="10"/>
      <color theme="1"/>
      <name val="Times New Roman"/>
      <family val="1"/>
      <charset val="238"/>
    </font>
    <font>
      <sz val="12"/>
      <color theme="1"/>
      <name val="Aptos"/>
      <family val="2"/>
    </font>
    <font>
      <b/>
      <sz val="12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2"/>
      <color rgb="FFFF0000"/>
      <name val="Calibri"/>
      <family val="2"/>
      <charset val="238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7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4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" fillId="9" borderId="3" xfId="0" applyFont="1" applyFill="1" applyBorder="1"/>
    <xf numFmtId="0" fontId="1" fillId="9" borderId="2" xfId="0" applyFont="1" applyFill="1" applyBorder="1"/>
    <xf numFmtId="0" fontId="1" fillId="9" borderId="14" xfId="0" applyFont="1" applyFill="1" applyBorder="1" applyAlignment="1">
      <alignment wrapText="1"/>
    </xf>
    <xf numFmtId="0" fontId="1" fillId="9" borderId="25" xfId="0" applyFont="1" applyFill="1" applyBorder="1" applyAlignment="1">
      <alignment wrapText="1"/>
    </xf>
    <xf numFmtId="0" fontId="1" fillId="0" borderId="11" xfId="0" applyFont="1" applyBorder="1"/>
    <xf numFmtId="0" fontId="1" fillId="0" borderId="9" xfId="0" applyFont="1" applyBorder="1"/>
    <xf numFmtId="0" fontId="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4" xfId="0" applyBorder="1"/>
    <xf numFmtId="49" fontId="1" fillId="11" borderId="8" xfId="0" applyNumberFormat="1" applyFont="1" applyFill="1" applyBorder="1"/>
    <xf numFmtId="49" fontId="1" fillId="11" borderId="9" xfId="0" applyNumberFormat="1" applyFont="1" applyFill="1" applyBorder="1"/>
    <xf numFmtId="0" fontId="10" fillId="12" borderId="36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0" fontId="10" fillId="12" borderId="39" xfId="0" applyFont="1" applyFill="1" applyBorder="1" applyAlignment="1">
      <alignment horizontal="center" vertical="center" wrapText="1"/>
    </xf>
    <xf numFmtId="0" fontId="10" fillId="12" borderId="41" xfId="0" applyFont="1" applyFill="1" applyBorder="1" applyAlignment="1">
      <alignment horizontal="center" vertical="center" wrapText="1"/>
    </xf>
    <xf numFmtId="0" fontId="10" fillId="13" borderId="36" xfId="0" applyFont="1" applyFill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1" fillId="11" borderId="8" xfId="0" applyNumberFormat="1" applyFont="1" applyFill="1" applyBorder="1" applyAlignment="1">
      <alignment horizontal="center"/>
    </xf>
    <xf numFmtId="49" fontId="1" fillId="11" borderId="9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6" borderId="9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2" fillId="14" borderId="0" xfId="0" applyFont="1" applyFill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3" borderId="4" xfId="0" applyFont="1" applyFill="1" applyBorder="1" applyAlignment="1">
      <alignment vertical="center" wrapText="1"/>
    </xf>
    <xf numFmtId="0" fontId="16" fillId="0" borderId="4" xfId="0" applyFont="1" applyBorder="1"/>
    <xf numFmtId="0" fontId="12" fillId="1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13" borderId="3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6" fillId="0" borderId="7" xfId="0" applyFont="1" applyBorder="1"/>
    <xf numFmtId="0" fontId="12" fillId="14" borderId="7" xfId="0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18" fillId="14" borderId="7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18" fillId="15" borderId="7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/>
    </xf>
    <xf numFmtId="0" fontId="12" fillId="15" borderId="3" xfId="0" applyFont="1" applyFill="1" applyBorder="1" applyAlignment="1">
      <alignment horizontal="center" vertical="center" wrapText="1"/>
    </xf>
    <xf numFmtId="0" fontId="12" fillId="15" borderId="34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1" fillId="15" borderId="19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1" fontId="1" fillId="15" borderId="20" xfId="0" applyNumberFormat="1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0" fillId="0" borderId="0" xfId="0" applyFont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0" fontId="1" fillId="9" borderId="10" xfId="0" applyFont="1" applyFill="1" applyBorder="1"/>
    <xf numFmtId="0" fontId="1" fillId="9" borderId="0" xfId="0" applyFont="1" applyFill="1" applyAlignment="1">
      <alignment wrapText="1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3" xfId="0" applyFont="1" applyBorder="1"/>
    <xf numFmtId="0" fontId="1" fillId="0" borderId="14" xfId="0" applyFont="1" applyBorder="1" applyAlignment="1">
      <alignment wrapText="1"/>
    </xf>
    <xf numFmtId="0" fontId="1" fillId="0" borderId="2" xfId="0" applyFont="1" applyBorder="1"/>
    <xf numFmtId="0" fontId="1" fillId="0" borderId="2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2" fillId="0" borderId="4" xfId="0" applyFont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/>
    </xf>
    <xf numFmtId="0" fontId="12" fillId="14" borderId="31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left"/>
    </xf>
    <xf numFmtId="0" fontId="26" fillId="22" borderId="29" xfId="0" applyFont="1" applyFill="1" applyBorder="1" applyAlignment="1">
      <alignment horizontal="center" vertical="center" wrapText="1"/>
    </xf>
    <xf numFmtId="0" fontId="26" fillId="22" borderId="49" xfId="0" applyFont="1" applyFill="1" applyBorder="1" applyAlignment="1">
      <alignment horizontal="center" vertical="center" wrapText="1"/>
    </xf>
    <xf numFmtId="0" fontId="23" fillId="0" borderId="0" xfId="0" applyFont="1"/>
    <xf numFmtId="0" fontId="27" fillId="14" borderId="0" xfId="0" applyFont="1" applyFill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6" fillId="22" borderId="53" xfId="0" applyFont="1" applyFill="1" applyBorder="1" applyAlignment="1">
      <alignment horizontal="center" vertical="center" wrapText="1"/>
    </xf>
    <xf numFmtId="0" fontId="26" fillId="24" borderId="29" xfId="0" applyFont="1" applyFill="1" applyBorder="1" applyAlignment="1">
      <alignment vertical="center"/>
    </xf>
    <xf numFmtId="0" fontId="26" fillId="24" borderId="48" xfId="0" applyFont="1" applyFill="1" applyBorder="1" applyAlignment="1">
      <alignment vertical="center"/>
    </xf>
    <xf numFmtId="0" fontId="26" fillId="24" borderId="0" xfId="0" applyFont="1" applyFill="1" applyAlignment="1">
      <alignment vertical="center" wrapText="1"/>
    </xf>
    <xf numFmtId="0" fontId="26" fillId="24" borderId="53" xfId="0" applyFont="1" applyFill="1" applyBorder="1" applyAlignment="1">
      <alignment vertical="center" wrapText="1"/>
    </xf>
    <xf numFmtId="0" fontId="26" fillId="0" borderId="34" xfId="0" applyFont="1" applyBorder="1" applyAlignment="1">
      <alignment vertical="center"/>
    </xf>
    <xf numFmtId="0" fontId="26" fillId="0" borderId="27" xfId="0" applyFont="1" applyBorder="1" applyAlignment="1">
      <alignment vertical="center"/>
    </xf>
    <xf numFmtId="0" fontId="26" fillId="26" borderId="50" xfId="0" applyFont="1" applyFill="1" applyBorder="1" applyAlignment="1">
      <alignment horizontal="center" vertical="center"/>
    </xf>
    <xf numFmtId="0" fontId="26" fillId="26" borderId="4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" fillId="9" borderId="7" xfId="0" applyFont="1" applyFill="1" applyBorder="1" applyAlignment="1">
      <alignment wrapText="1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" fontId="1" fillId="0" borderId="2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7" borderId="0" xfId="0" applyFont="1" applyFill="1"/>
    <xf numFmtId="0" fontId="13" fillId="7" borderId="4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0" fillId="19" borderId="4" xfId="0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/>
    </xf>
    <xf numFmtId="0" fontId="19" fillId="19" borderId="4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19" borderId="0" xfId="0" applyFont="1" applyFill="1"/>
    <xf numFmtId="0" fontId="20" fillId="19" borderId="4" xfId="0" applyFon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/>
    </xf>
    <xf numFmtId="0" fontId="20" fillId="19" borderId="4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/>
    </xf>
    <xf numFmtId="0" fontId="20" fillId="19" borderId="18" xfId="0" applyFont="1" applyFill="1" applyBorder="1" applyAlignment="1">
      <alignment horizontal="center" vertical="center"/>
    </xf>
    <xf numFmtId="0" fontId="18" fillId="19" borderId="7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3" fillId="0" borderId="52" xfId="0" applyFont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11" borderId="1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center" vertical="center" wrapText="1"/>
    </xf>
    <xf numFmtId="49" fontId="1" fillId="11" borderId="24" xfId="0" applyNumberFormat="1" applyFont="1" applyFill="1" applyBorder="1" applyAlignment="1">
      <alignment horizontal="center" vertical="center" wrapText="1"/>
    </xf>
    <xf numFmtId="49" fontId="1" fillId="11" borderId="25" xfId="0" applyNumberFormat="1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49" fontId="1" fillId="11" borderId="6" xfId="0" applyNumberFormat="1" applyFont="1" applyFill="1" applyBorder="1" applyAlignment="1">
      <alignment horizontal="center" vertical="center" wrapText="1"/>
    </xf>
    <xf numFmtId="49" fontId="1" fillId="19" borderId="1" xfId="0" applyNumberFormat="1" applyFont="1" applyFill="1" applyBorder="1" applyAlignment="1">
      <alignment horizontal="center"/>
    </xf>
    <xf numFmtId="49" fontId="1" fillId="19" borderId="2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19" borderId="8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14" fillId="19" borderId="4" xfId="0" applyFont="1" applyFill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" fillId="19" borderId="9" xfId="0" applyFont="1" applyFill="1" applyBorder="1" applyAlignment="1">
      <alignment horizontal="center"/>
    </xf>
    <xf numFmtId="0" fontId="0" fillId="19" borderId="8" xfId="0" applyFill="1" applyBorder="1" applyAlignment="1">
      <alignment horizontal="center" vertical="top"/>
    </xf>
    <xf numFmtId="0" fontId="0" fillId="19" borderId="9" xfId="0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" fillId="0" borderId="10" xfId="0" applyFont="1" applyBorder="1" applyAlignment="1">
      <alignment horizontal="left" vertical="center"/>
    </xf>
    <xf numFmtId="0" fontId="1" fillId="10" borderId="8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19" borderId="8" xfId="0" applyFont="1" applyFill="1" applyBorder="1" applyAlignment="1">
      <alignment vertical="center"/>
    </xf>
    <xf numFmtId="0" fontId="1" fillId="19" borderId="9" xfId="0" applyFont="1" applyFill="1" applyBorder="1" applyAlignment="1">
      <alignment vertical="center"/>
    </xf>
    <xf numFmtId="0" fontId="5" fillId="19" borderId="8" xfId="0" applyFont="1" applyFill="1" applyBorder="1" applyAlignment="1">
      <alignment horizontal="center" vertical="center"/>
    </xf>
    <xf numFmtId="0" fontId="5" fillId="19" borderId="9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 wrapText="1"/>
    </xf>
    <xf numFmtId="0" fontId="5" fillId="19" borderId="9" xfId="0" applyFont="1" applyFill="1" applyBorder="1" applyAlignment="1">
      <alignment horizontal="center" vertical="center" wrapText="1"/>
    </xf>
    <xf numFmtId="0" fontId="0" fillId="19" borderId="9" xfId="0" applyFill="1" applyBorder="1" applyAlignment="1">
      <alignment vertical="center"/>
    </xf>
    <xf numFmtId="0" fontId="0" fillId="19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49" fontId="1" fillId="8" borderId="24" xfId="0" applyNumberFormat="1" applyFont="1" applyFill="1" applyBorder="1" applyAlignment="1">
      <alignment horizontal="center" vertical="center" wrapText="1"/>
    </xf>
    <xf numFmtId="49" fontId="1" fillId="8" borderId="25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5" borderId="14" xfId="0" applyNumberFormat="1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left"/>
    </xf>
    <xf numFmtId="0" fontId="1" fillId="19" borderId="9" xfId="0" applyFont="1" applyFill="1" applyBorder="1" applyAlignment="1">
      <alignment horizontal="left"/>
    </xf>
    <xf numFmtId="49" fontId="5" fillId="19" borderId="4" xfId="0" applyNumberFormat="1" applyFont="1" applyFill="1" applyBorder="1" applyAlignment="1">
      <alignment horizontal="center" vertical="center"/>
    </xf>
    <xf numFmtId="0" fontId="0" fillId="19" borderId="9" xfId="0" applyFill="1" applyBorder="1" applyAlignment="1">
      <alignment horizontal="left"/>
    </xf>
    <xf numFmtId="0" fontId="0" fillId="19" borderId="4" xfId="0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center" vertical="center" wrapText="1"/>
    </xf>
    <xf numFmtId="49" fontId="1" fillId="8" borderId="6" xfId="0" applyNumberFormat="1" applyFont="1" applyFill="1" applyBorder="1" applyAlignment="1">
      <alignment horizontal="center" vertical="center" wrapText="1"/>
    </xf>
    <xf numFmtId="49" fontId="1" fillId="5" borderId="7" xfId="0" applyNumberFormat="1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164" fontId="14" fillId="0" borderId="24" xfId="0" applyNumberFormat="1" applyFont="1" applyBorder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" fontId="1" fillId="0" borderId="17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7" borderId="8" xfId="0" applyNumberFormat="1" applyFont="1" applyFill="1" applyBorder="1" applyAlignment="1">
      <alignment horizontal="center" vertical="center"/>
    </xf>
    <xf numFmtId="49" fontId="5" fillId="7" borderId="9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49" fontId="1" fillId="10" borderId="8" xfId="0" applyNumberFormat="1" applyFont="1" applyFill="1" applyBorder="1" applyAlignment="1">
      <alignment horizontal="center"/>
    </xf>
    <xf numFmtId="49" fontId="1" fillId="10" borderId="9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49" fontId="1" fillId="11" borderId="8" xfId="0" applyNumberFormat="1" applyFont="1" applyFill="1" applyBorder="1" applyAlignment="1">
      <alignment horizontal="center"/>
    </xf>
    <xf numFmtId="49" fontId="1" fillId="11" borderId="9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49" fontId="1" fillId="6" borderId="5" xfId="0" applyNumberFormat="1" applyFont="1" applyFill="1" applyBorder="1" applyAlignment="1">
      <alignment horizontal="center"/>
    </xf>
    <xf numFmtId="49" fontId="1" fillId="6" borderId="6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6" borderId="9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12" borderId="38" xfId="0" applyFont="1" applyFill="1" applyBorder="1" applyAlignment="1">
      <alignment horizontal="center" vertical="center" wrapText="1"/>
    </xf>
    <xf numFmtId="0" fontId="10" fillId="12" borderId="40" xfId="0" applyFont="1" applyFill="1" applyBorder="1" applyAlignment="1">
      <alignment horizontal="center" vertical="center" wrapText="1"/>
    </xf>
    <xf numFmtId="0" fontId="10" fillId="12" borderId="39" xfId="0" applyFont="1" applyFill="1" applyBorder="1" applyAlignment="1">
      <alignment horizontal="center" vertical="center" wrapText="1"/>
    </xf>
    <xf numFmtId="0" fontId="10" fillId="12" borderId="41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/>
    </xf>
    <xf numFmtId="0" fontId="10" fillId="12" borderId="34" xfId="0" applyFont="1" applyFill="1" applyBorder="1" applyAlignment="1">
      <alignment horizontal="center" vertical="center"/>
    </xf>
    <xf numFmtId="0" fontId="10" fillId="12" borderId="35" xfId="0" applyFont="1" applyFill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49" fontId="1" fillId="11" borderId="8" xfId="0" applyNumberFormat="1" applyFont="1" applyFill="1" applyBorder="1"/>
    <xf numFmtId="49" fontId="1" fillId="11" borderId="9" xfId="0" applyNumberFormat="1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1" fontId="9" fillId="0" borderId="11" xfId="0" applyNumberFormat="1" applyFont="1" applyBorder="1" applyAlignment="1">
      <alignment horizontal="center"/>
    </xf>
    <xf numFmtId="0" fontId="0" fillId="0" borderId="4" xfId="0" applyBorder="1"/>
    <xf numFmtId="49" fontId="1" fillId="10" borderId="1" xfId="0" applyNumberFormat="1" applyFont="1" applyFill="1" applyBorder="1" applyAlignment="1">
      <alignment horizontal="center"/>
    </xf>
    <xf numFmtId="49" fontId="1" fillId="10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12" fillId="14" borderId="0" xfId="0" applyFont="1" applyFill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15" borderId="4" xfId="0" applyFill="1" applyBorder="1" applyAlignment="1">
      <alignment horizontal="center" vertical="top"/>
    </xf>
    <xf numFmtId="0" fontId="0" fillId="15" borderId="8" xfId="0" applyFill="1" applyBorder="1" applyAlignment="1">
      <alignment horizontal="center" vertical="top"/>
    </xf>
    <xf numFmtId="0" fontId="0" fillId="15" borderId="9" xfId="0" applyFill="1" applyBorder="1" applyAlignment="1">
      <alignment horizontal="center" vertical="top"/>
    </xf>
    <xf numFmtId="0" fontId="0" fillId="16" borderId="4" xfId="0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1" fontId="1" fillId="15" borderId="8" xfId="0" applyNumberFormat="1" applyFont="1" applyFill="1" applyBorder="1" applyAlignment="1">
      <alignment horizontal="center"/>
    </xf>
    <xf numFmtId="1" fontId="1" fillId="15" borderId="9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0" fontId="0" fillId="17" borderId="4" xfId="0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14" fillId="15" borderId="8" xfId="0" applyFont="1" applyFill="1" applyBorder="1" applyAlignment="1">
      <alignment horizontal="center"/>
    </xf>
    <xf numFmtId="0" fontId="14" fillId="15" borderId="9" xfId="0" applyFont="1" applyFill="1" applyBorder="1" applyAlignment="1">
      <alignment horizontal="center"/>
    </xf>
    <xf numFmtId="0" fontId="14" fillId="15" borderId="8" xfId="0" applyFont="1" applyFill="1" applyBorder="1" applyAlignment="1">
      <alignment horizontal="center" vertical="top"/>
    </xf>
    <xf numFmtId="0" fontId="14" fillId="15" borderId="9" xfId="0" applyFont="1" applyFill="1" applyBorder="1" applyAlignment="1">
      <alignment horizontal="center" vertical="top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/>
    </xf>
    <xf numFmtId="49" fontId="1" fillId="4" borderId="9" xfId="0" applyNumberFormat="1" applyFont="1" applyFill="1" applyBorder="1" applyAlignment="1">
      <alignment horizontal="center"/>
    </xf>
    <xf numFmtId="0" fontId="1" fillId="15" borderId="8" xfId="0" applyFont="1" applyFill="1" applyBorder="1" applyAlignment="1">
      <alignment vertical="center"/>
    </xf>
    <xf numFmtId="0" fontId="1" fillId="15" borderId="9" xfId="0" applyFont="1" applyFill="1" applyBorder="1" applyAlignment="1">
      <alignment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left"/>
    </xf>
    <xf numFmtId="0" fontId="1" fillId="15" borderId="9" xfId="0" applyFont="1" applyFill="1" applyBorder="1" applyAlignment="1">
      <alignment horizontal="left"/>
    </xf>
    <xf numFmtId="49" fontId="5" fillId="15" borderId="8" xfId="0" applyNumberFormat="1" applyFont="1" applyFill="1" applyBorder="1" applyAlignment="1">
      <alignment horizontal="center" vertical="center"/>
    </xf>
    <xf numFmtId="49" fontId="5" fillId="15" borderId="9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left"/>
    </xf>
    <xf numFmtId="0" fontId="6" fillId="15" borderId="7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/>
    </xf>
    <xf numFmtId="0" fontId="1" fillId="15" borderId="18" xfId="0" applyFont="1" applyFill="1" applyBorder="1" applyAlignment="1">
      <alignment horizontal="center"/>
    </xf>
    <xf numFmtId="1" fontId="1" fillId="15" borderId="18" xfId="0" applyNumberFormat="1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left" wrapText="1"/>
    </xf>
    <xf numFmtId="0" fontId="5" fillId="15" borderId="3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left"/>
    </xf>
    <xf numFmtId="0" fontId="5" fillId="15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left" vertical="center" wrapText="1"/>
    </xf>
    <xf numFmtId="0" fontId="13" fillId="15" borderId="4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3" fillId="15" borderId="9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15" borderId="17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top"/>
    </xf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26" fillId="13" borderId="35" xfId="0" applyFont="1" applyFill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13" borderId="15" xfId="0" applyFont="1" applyFill="1" applyBorder="1" applyAlignment="1">
      <alignment vertical="center"/>
    </xf>
    <xf numFmtId="0" fontId="26" fillId="13" borderId="35" xfId="0" applyFont="1" applyFill="1" applyBorder="1" applyAlignment="1">
      <alignment vertical="center"/>
    </xf>
    <xf numFmtId="0" fontId="26" fillId="12" borderId="44" xfId="0" applyFont="1" applyFill="1" applyBorder="1" applyAlignment="1">
      <alignment horizontal="center" vertical="center" wrapText="1"/>
    </xf>
    <xf numFmtId="0" fontId="26" fillId="12" borderId="45" xfId="0" applyFont="1" applyFill="1" applyBorder="1" applyAlignment="1">
      <alignment horizontal="center" vertical="center" wrapText="1"/>
    </xf>
    <xf numFmtId="0" fontId="26" fillId="12" borderId="46" xfId="0" applyFont="1" applyFill="1" applyBorder="1" applyAlignment="1">
      <alignment horizontal="center" vertical="center" wrapText="1"/>
    </xf>
    <xf numFmtId="0" fontId="26" fillId="12" borderId="47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13" borderId="59" xfId="0" applyFont="1" applyFill="1" applyBorder="1" applyAlignment="1">
      <alignment vertical="center"/>
    </xf>
    <xf numFmtId="0" fontId="26" fillId="13" borderId="60" xfId="0" applyFont="1" applyFill="1" applyBorder="1" applyAlignment="1">
      <alignment vertical="center"/>
    </xf>
    <xf numFmtId="0" fontId="26" fillId="0" borderId="6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12" borderId="15" xfId="0" applyFont="1" applyFill="1" applyBorder="1" applyAlignment="1">
      <alignment horizontal="center" vertical="center"/>
    </xf>
    <xf numFmtId="0" fontId="26" fillId="12" borderId="34" xfId="0" applyFont="1" applyFill="1" applyBorder="1" applyAlignment="1">
      <alignment horizontal="center" vertical="center"/>
    </xf>
    <xf numFmtId="0" fontId="26" fillId="12" borderId="35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 wrapText="1"/>
    </xf>
    <xf numFmtId="0" fontId="26" fillId="27" borderId="45" xfId="0" applyFont="1" applyFill="1" applyBorder="1" applyAlignment="1">
      <alignment horizontal="center" vertical="center" wrapText="1"/>
    </xf>
    <xf numFmtId="0" fontId="26" fillId="27" borderId="52" xfId="0" applyFont="1" applyFill="1" applyBorder="1" applyAlignment="1">
      <alignment horizontal="center" vertical="center" wrapText="1"/>
    </xf>
    <xf numFmtId="0" fontId="26" fillId="27" borderId="54" xfId="0" applyFont="1" applyFill="1" applyBorder="1" applyAlignment="1">
      <alignment horizontal="center" vertical="center" wrapText="1"/>
    </xf>
    <xf numFmtId="0" fontId="26" fillId="27" borderId="46" xfId="0" applyFont="1" applyFill="1" applyBorder="1" applyAlignment="1">
      <alignment horizontal="center" vertical="center" wrapText="1"/>
    </xf>
    <xf numFmtId="0" fontId="26" fillId="27" borderId="47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6" fillId="26" borderId="27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26" borderId="35" xfId="0" applyFont="1" applyFill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6" fillId="0" borderId="15" xfId="0" applyFont="1" applyBorder="1" applyAlignment="1">
      <alignment vertical="center"/>
    </xf>
    <xf numFmtId="0" fontId="26" fillId="0" borderId="35" xfId="0" applyFont="1" applyBorder="1" applyAlignment="1">
      <alignment vertical="center"/>
    </xf>
    <xf numFmtId="0" fontId="29" fillId="0" borderId="62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6" fillId="0" borderId="48" xfId="0" applyFont="1" applyBorder="1" applyAlignment="1">
      <alignment vertical="center"/>
    </xf>
    <xf numFmtId="0" fontId="26" fillId="26" borderId="34" xfId="0" applyFont="1" applyFill="1" applyBorder="1" applyAlignment="1">
      <alignment horizontal="center" vertical="center"/>
    </xf>
    <xf numFmtId="0" fontId="29" fillId="0" borderId="62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21" borderId="61" xfId="0" applyFont="1" applyFill="1" applyBorder="1" applyAlignment="1">
      <alignment horizontal="center" vertical="center" wrapText="1"/>
    </xf>
    <xf numFmtId="0" fontId="26" fillId="21" borderId="54" xfId="0" applyFont="1" applyFill="1" applyBorder="1" applyAlignment="1">
      <alignment horizontal="center" vertical="center" wrapText="1"/>
    </xf>
    <xf numFmtId="0" fontId="25" fillId="21" borderId="55" xfId="0" applyFont="1" applyFill="1" applyBorder="1" applyAlignment="1">
      <alignment horizontal="center" vertical="center" wrapText="1"/>
    </xf>
    <xf numFmtId="0" fontId="25" fillId="21" borderId="45" xfId="0" applyFont="1" applyFill="1" applyBorder="1" applyAlignment="1">
      <alignment horizontal="center" vertical="center" wrapText="1"/>
    </xf>
    <xf numFmtId="0" fontId="25" fillId="23" borderId="55" xfId="0" applyFont="1" applyFill="1" applyBorder="1" applyAlignment="1">
      <alignment horizontal="center" vertical="center" wrapText="1"/>
    </xf>
    <xf numFmtId="0" fontId="25" fillId="23" borderId="45" xfId="0" applyFont="1" applyFill="1" applyBorder="1" applyAlignment="1">
      <alignment horizontal="center" vertical="center" wrapText="1"/>
    </xf>
    <xf numFmtId="0" fontId="26" fillId="23" borderId="61" xfId="0" applyFont="1" applyFill="1" applyBorder="1" applyAlignment="1">
      <alignment horizontal="center" vertical="center" wrapText="1"/>
    </xf>
    <xf numFmtId="0" fontId="26" fillId="23" borderId="54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5" fillId="13" borderId="44" xfId="0" applyFont="1" applyFill="1" applyBorder="1" applyAlignment="1">
      <alignment horizontal="center" vertical="center" wrapText="1"/>
    </xf>
    <xf numFmtId="0" fontId="25" fillId="13" borderId="45" xfId="0" applyFont="1" applyFill="1" applyBorder="1" applyAlignment="1">
      <alignment horizontal="center" vertical="center" wrapText="1"/>
    </xf>
    <xf numFmtId="0" fontId="25" fillId="13" borderId="52" xfId="0" applyFont="1" applyFill="1" applyBorder="1" applyAlignment="1">
      <alignment horizontal="center" vertical="center" wrapText="1"/>
    </xf>
    <xf numFmtId="0" fontId="25" fillId="13" borderId="54" xfId="0" applyFont="1" applyFill="1" applyBorder="1" applyAlignment="1">
      <alignment horizontal="center" vertical="center" wrapText="1"/>
    </xf>
    <xf numFmtId="0" fontId="25" fillId="20" borderId="55" xfId="0" applyFont="1" applyFill="1" applyBorder="1" applyAlignment="1">
      <alignment horizontal="center" vertical="center" wrapText="1"/>
    </xf>
    <xf numFmtId="0" fontId="25" fillId="20" borderId="45" xfId="0" applyFont="1" applyFill="1" applyBorder="1" applyAlignment="1">
      <alignment horizontal="center" vertical="center" wrapText="1"/>
    </xf>
    <xf numFmtId="0" fontId="26" fillId="20" borderId="61" xfId="0" applyFont="1" applyFill="1" applyBorder="1" applyAlignment="1">
      <alignment horizontal="center" vertical="center" wrapText="1"/>
    </xf>
    <xf numFmtId="0" fontId="26" fillId="20" borderId="54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8" fillId="25" borderId="0" xfId="0" applyFont="1" applyFill="1" applyAlignment="1">
      <alignment horizontal="center" vertical="center"/>
    </xf>
    <xf numFmtId="0" fontId="23" fillId="0" borderId="5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0" fillId="0" borderId="48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6" fillId="0" borderId="15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7" xfId="0" applyFont="1" applyBorder="1" applyAlignment="1">
      <alignment vertical="center"/>
    </xf>
    <xf numFmtId="0" fontId="26" fillId="12" borderId="28" xfId="0" applyFont="1" applyFill="1" applyBorder="1" applyAlignment="1">
      <alignment horizontal="center" vertical="center" wrapText="1"/>
    </xf>
    <xf numFmtId="0" fontId="26" fillId="12" borderId="30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6" fillId="21" borderId="56" xfId="0" applyFont="1" applyFill="1" applyBorder="1" applyAlignment="1">
      <alignment horizontal="center" vertical="center" wrapText="1"/>
    </xf>
    <xf numFmtId="0" fontId="26" fillId="21" borderId="47" xfId="0" applyFont="1" applyFill="1" applyBorder="1" applyAlignment="1">
      <alignment horizontal="center" vertical="center" wrapText="1"/>
    </xf>
    <xf numFmtId="0" fontId="26" fillId="21" borderId="57" xfId="0" applyFont="1" applyFill="1" applyBorder="1" applyAlignment="1">
      <alignment horizontal="center" vertical="center" wrapText="1"/>
    </xf>
    <xf numFmtId="0" fontId="26" fillId="21" borderId="58" xfId="0" applyFont="1" applyFill="1" applyBorder="1" applyAlignment="1">
      <alignment horizontal="center" vertical="center" wrapText="1"/>
    </xf>
    <xf numFmtId="0" fontId="25" fillId="13" borderId="46" xfId="0" applyFont="1" applyFill="1" applyBorder="1" applyAlignment="1">
      <alignment horizontal="center" vertical="center" wrapText="1"/>
    </xf>
    <xf numFmtId="0" fontId="25" fillId="13" borderId="47" xfId="0" applyFont="1" applyFill="1" applyBorder="1" applyAlignment="1">
      <alignment horizontal="center" vertical="center" wrapText="1"/>
    </xf>
    <xf numFmtId="0" fontId="26" fillId="20" borderId="56" xfId="0" applyFont="1" applyFill="1" applyBorder="1" applyAlignment="1">
      <alignment horizontal="center" vertical="center" wrapText="1"/>
    </xf>
    <xf numFmtId="0" fontId="26" fillId="20" borderId="4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7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center" vertical="center"/>
    </xf>
    <xf numFmtId="49" fontId="5" fillId="7" borderId="4" xfId="0" applyNumberFormat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top"/>
    </xf>
    <xf numFmtId="0" fontId="0" fillId="7" borderId="8" xfId="0" applyFill="1" applyBorder="1" applyAlignment="1">
      <alignment horizontal="center" vertical="top"/>
    </xf>
    <xf numFmtId="0" fontId="0" fillId="7" borderId="9" xfId="0" applyFill="1" applyBorder="1" applyAlignment="1">
      <alignment horizontal="center" vertical="top"/>
    </xf>
    <xf numFmtId="0" fontId="0" fillId="7" borderId="4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4" fillId="7" borderId="4" xfId="0" applyFont="1" applyFill="1" applyBorder="1" applyAlignment="1">
      <alignment horizontal="center" vertical="top"/>
    </xf>
    <xf numFmtId="49" fontId="1" fillId="7" borderId="1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/>
    </xf>
    <xf numFmtId="0" fontId="1" fillId="19" borderId="19" xfId="0" applyFont="1" applyFill="1" applyBorder="1" applyAlignment="1">
      <alignment horizontal="center"/>
    </xf>
    <xf numFmtId="0" fontId="1" fillId="19" borderId="17" xfId="0" applyFont="1" applyFill="1" applyBorder="1" applyAlignment="1">
      <alignment horizontal="center"/>
    </xf>
    <xf numFmtId="1" fontId="1" fillId="19" borderId="19" xfId="0" applyNumberFormat="1" applyFont="1" applyFill="1" applyBorder="1" applyAlignment="1">
      <alignment horizontal="center" vertical="center"/>
    </xf>
    <xf numFmtId="1" fontId="1" fillId="19" borderId="18" xfId="0" applyNumberFormat="1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left" wrapText="1"/>
    </xf>
    <xf numFmtId="0" fontId="5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left" vertical="center" wrapText="1"/>
    </xf>
    <xf numFmtId="0" fontId="14" fillId="19" borderId="4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1" fontId="14" fillId="19" borderId="19" xfId="0" applyNumberFormat="1" applyFont="1" applyFill="1" applyBorder="1" applyAlignment="1">
      <alignment horizontal="center" vertical="center"/>
    </xf>
    <xf numFmtId="1" fontId="14" fillId="19" borderId="18" xfId="0" applyNumberFormat="1" applyFont="1" applyFill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workbookViewId="0">
      <selection sqref="A1:XFD1048576"/>
    </sheetView>
  </sheetViews>
  <sheetFormatPr defaultRowHeight="14.4" x14ac:dyDescent="0.3"/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2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77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7"/>
      <c r="O4" s="397"/>
      <c r="P4" s="397"/>
      <c r="Q4" s="398"/>
    </row>
    <row r="5" spans="1:17" x14ac:dyDescent="0.3">
      <c r="A5" s="403" t="s">
        <v>13</v>
      </c>
      <c r="B5" s="404"/>
      <c r="C5" s="405">
        <v>5426</v>
      </c>
      <c r="D5" s="406"/>
      <c r="E5" s="405">
        <v>424</v>
      </c>
      <c r="F5" s="406"/>
      <c r="G5" s="405">
        <v>4</v>
      </c>
      <c r="H5" s="406"/>
      <c r="I5" s="405">
        <v>0</v>
      </c>
      <c r="J5" s="406"/>
      <c r="K5" s="407">
        <v>0</v>
      </c>
      <c r="L5" s="408"/>
      <c r="M5" s="5">
        <v>0</v>
      </c>
      <c r="N5" s="6">
        <v>270</v>
      </c>
      <c r="O5" s="7">
        <v>16663</v>
      </c>
      <c r="P5" s="8">
        <v>13647</v>
      </c>
      <c r="Q5" s="6">
        <v>11136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491</v>
      </c>
      <c r="D7" s="410"/>
      <c r="E7" s="409">
        <v>236</v>
      </c>
      <c r="F7" s="410"/>
      <c r="G7" s="409">
        <v>86</v>
      </c>
      <c r="H7" s="410"/>
      <c r="I7" s="409">
        <v>33</v>
      </c>
      <c r="J7" s="410"/>
      <c r="K7" s="409">
        <v>27</v>
      </c>
      <c r="L7" s="410"/>
      <c r="M7" s="9">
        <v>168</v>
      </c>
      <c r="N7" s="9">
        <v>120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405</v>
      </c>
      <c r="D8" s="410"/>
      <c r="E8" s="409">
        <v>17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35</v>
      </c>
      <c r="N8" s="9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469</v>
      </c>
      <c r="D9" s="410"/>
      <c r="E9" s="409">
        <v>137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81</v>
      </c>
      <c r="N9" s="9">
        <v>13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214</v>
      </c>
      <c r="D10" s="410"/>
      <c r="E10" s="409">
        <v>198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300</v>
      </c>
      <c r="N10" s="9">
        <v>80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292</v>
      </c>
      <c r="D11" s="410"/>
      <c r="E11" s="409">
        <v>115</v>
      </c>
      <c r="F11" s="410"/>
      <c r="G11" s="409">
        <v>0</v>
      </c>
      <c r="H11" s="410"/>
      <c r="I11" s="409">
        <v>15</v>
      </c>
      <c r="J11" s="410"/>
      <c r="K11" s="409">
        <v>7</v>
      </c>
      <c r="L11" s="410"/>
      <c r="M11" s="10">
        <v>191</v>
      </c>
      <c r="N11" s="10">
        <v>362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4</v>
      </c>
      <c r="D12" s="410"/>
      <c r="E12" s="409">
        <v>125</v>
      </c>
      <c r="F12" s="410"/>
      <c r="G12" s="409">
        <v>0</v>
      </c>
      <c r="H12" s="410"/>
      <c r="I12" s="409">
        <v>5</v>
      </c>
      <c r="J12" s="410"/>
      <c r="K12" s="409">
        <v>0</v>
      </c>
      <c r="L12" s="410"/>
      <c r="M12" s="9">
        <v>85</v>
      </c>
      <c r="N12" s="9">
        <v>23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195</v>
      </c>
      <c r="D13" s="410"/>
      <c r="E13" s="409">
        <v>57</v>
      </c>
      <c r="F13" s="410"/>
      <c r="G13" s="409">
        <v>1</v>
      </c>
      <c r="H13" s="410"/>
      <c r="I13" s="409">
        <v>25</v>
      </c>
      <c r="J13" s="410"/>
      <c r="K13" s="409">
        <v>3</v>
      </c>
      <c r="L13" s="410"/>
      <c r="M13" s="9">
        <v>173</v>
      </c>
      <c r="N13" s="9">
        <v>45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312</v>
      </c>
      <c r="D14" s="410"/>
      <c r="E14" s="409">
        <v>39</v>
      </c>
      <c r="F14" s="410"/>
      <c r="G14" s="409">
        <v>44</v>
      </c>
      <c r="H14" s="410"/>
      <c r="I14" s="409">
        <v>9</v>
      </c>
      <c r="J14" s="410"/>
      <c r="K14" s="409">
        <v>2</v>
      </c>
      <c r="L14" s="410"/>
      <c r="M14" s="10">
        <v>275</v>
      </c>
      <c r="N14" s="10">
        <v>3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10">
        <v>0</v>
      </c>
      <c r="N15" s="10">
        <v>0</v>
      </c>
      <c r="O15" s="11">
        <v>3192</v>
      </c>
      <c r="P15" s="12">
        <v>1968</v>
      </c>
      <c r="Q15" s="12">
        <v>2187</v>
      </c>
    </row>
    <row r="16" spans="1:17" ht="15" thickBot="1" x14ac:dyDescent="0.35">
      <c r="A16" s="413" t="s">
        <v>24</v>
      </c>
      <c r="B16" s="414"/>
      <c r="C16" s="415">
        <f>SUM(C5:D15)</f>
        <v>8028</v>
      </c>
      <c r="D16" s="416"/>
      <c r="E16" s="415">
        <f>SUM(E5:F15)</f>
        <v>1348</v>
      </c>
      <c r="F16" s="416"/>
      <c r="G16" s="415">
        <f>SUM(G5:H15)</f>
        <v>138</v>
      </c>
      <c r="H16" s="416"/>
      <c r="I16" s="415">
        <f>SUM(I5:J15)</f>
        <v>100</v>
      </c>
      <c r="J16" s="416"/>
      <c r="K16" s="415">
        <f>SUM(K5:L15)</f>
        <v>39</v>
      </c>
      <c r="L16" s="416"/>
      <c r="M16" s="13">
        <f>SUM(M5:M15)</f>
        <v>1308</v>
      </c>
      <c r="N16" s="14">
        <f>SUM(N5:N15)</f>
        <v>927</v>
      </c>
      <c r="O16" s="15">
        <f>SUM(O5:O15)</f>
        <v>19939</v>
      </c>
      <c r="P16" s="16">
        <f>SUM(P5:P15)</f>
        <v>15657</v>
      </c>
      <c r="Q16" s="17">
        <f>SUM(Q5:Q15)</f>
        <v>13331</v>
      </c>
    </row>
    <row r="17" spans="1:17" x14ac:dyDescent="0.3">
      <c r="A17" s="425" t="s">
        <v>25</v>
      </c>
      <c r="B17" s="426"/>
      <c r="C17" s="427">
        <v>5326</v>
      </c>
      <c r="D17" s="428"/>
      <c r="E17" s="427">
        <v>384</v>
      </c>
      <c r="F17" s="428"/>
      <c r="G17" s="427">
        <v>4</v>
      </c>
      <c r="H17" s="428"/>
      <c r="I17" s="427">
        <v>0</v>
      </c>
      <c r="J17" s="428"/>
      <c r="K17" s="429">
        <v>0</v>
      </c>
      <c r="L17" s="430"/>
      <c r="M17" s="18">
        <v>0</v>
      </c>
      <c r="N17" s="19">
        <v>270</v>
      </c>
      <c r="O17" s="7">
        <v>16663</v>
      </c>
      <c r="P17" s="8">
        <v>13647</v>
      </c>
      <c r="Q17" s="6">
        <v>11136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57.6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77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291</v>
      </c>
      <c r="D24" s="410"/>
      <c r="E24" s="431" t="s">
        <v>78</v>
      </c>
      <c r="F24" s="432"/>
      <c r="G24" s="409">
        <v>16</v>
      </c>
      <c r="H24" s="410"/>
      <c r="I24" s="409">
        <v>29</v>
      </c>
      <c r="J24" s="410"/>
      <c r="K24" s="26">
        <v>0</v>
      </c>
      <c r="L24" s="27">
        <v>10</v>
      </c>
      <c r="M24" s="27">
        <v>4</v>
      </c>
    </row>
    <row r="25" spans="1:17" x14ac:dyDescent="0.3">
      <c r="A25" s="269" t="s">
        <v>16</v>
      </c>
      <c r="B25" s="270"/>
      <c r="C25" s="409">
        <v>105</v>
      </c>
      <c r="D25" s="410"/>
      <c r="E25" s="431" t="s">
        <v>36</v>
      </c>
      <c r="F25" s="432"/>
      <c r="G25" s="409">
        <v>0</v>
      </c>
      <c r="H25" s="410"/>
      <c r="I25" s="409">
        <v>135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60</v>
      </c>
      <c r="D26" s="410"/>
      <c r="E26" s="431" t="s">
        <v>79</v>
      </c>
      <c r="F26" s="432"/>
      <c r="G26" s="409">
        <v>13</v>
      </c>
      <c r="H26" s="410"/>
      <c r="I26" s="409">
        <v>50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32</v>
      </c>
      <c r="D27" s="432"/>
      <c r="E27" s="431" t="s">
        <v>33</v>
      </c>
      <c r="F27" s="432"/>
      <c r="G27" s="409">
        <v>0</v>
      </c>
      <c r="H27" s="410"/>
      <c r="I27" s="409">
        <v>23</v>
      </c>
      <c r="J27" s="410"/>
      <c r="K27" s="9">
        <v>6</v>
      </c>
      <c r="L27" s="29">
        <v>10</v>
      </c>
      <c r="M27" s="28">
        <v>7</v>
      </c>
    </row>
    <row r="28" spans="1:17" x14ac:dyDescent="0.3">
      <c r="A28" s="269" t="s">
        <v>19</v>
      </c>
      <c r="B28" s="270"/>
      <c r="C28" s="433" t="s">
        <v>34</v>
      </c>
      <c r="D28" s="434"/>
      <c r="E28" s="431" t="s">
        <v>35</v>
      </c>
      <c r="F28" s="432"/>
      <c r="G28" s="409">
        <v>0</v>
      </c>
      <c r="H28" s="410"/>
      <c r="I28" s="409">
        <v>13</v>
      </c>
      <c r="J28" s="410"/>
      <c r="K28" s="9">
        <v>4</v>
      </c>
      <c r="L28" s="28">
        <v>9</v>
      </c>
      <c r="M28" s="28">
        <v>7</v>
      </c>
    </row>
    <row r="29" spans="1:17" x14ac:dyDescent="0.3">
      <c r="A29" s="269" t="s">
        <v>20</v>
      </c>
      <c r="B29" s="270"/>
      <c r="C29" s="409">
        <v>75</v>
      </c>
      <c r="D29" s="410"/>
      <c r="E29" s="431" t="s">
        <v>80</v>
      </c>
      <c r="F29" s="432"/>
      <c r="G29" s="409">
        <v>0</v>
      </c>
      <c r="H29" s="410"/>
      <c r="I29" s="409">
        <v>11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3" t="s">
        <v>34</v>
      </c>
      <c r="D30" s="434"/>
      <c r="E30" s="431" t="s">
        <v>81</v>
      </c>
      <c r="F30" s="432"/>
      <c r="G30" s="409">
        <v>0</v>
      </c>
      <c r="H30" s="410"/>
      <c r="I30" s="409">
        <v>9</v>
      </c>
      <c r="J30" s="410"/>
      <c r="K30" s="9">
        <v>0</v>
      </c>
      <c r="L30" s="28">
        <v>0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57.6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77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ht="15" customHeight="1" x14ac:dyDescent="0.3">
      <c r="A37" s="435" t="s">
        <v>15</v>
      </c>
      <c r="B37" s="436"/>
      <c r="C37" s="409" t="s">
        <v>38</v>
      </c>
      <c r="D37" s="410"/>
      <c r="E37" s="437" t="s">
        <v>39</v>
      </c>
      <c r="F37" s="438"/>
      <c r="G37" s="409" t="s">
        <v>40</v>
      </c>
      <c r="H37" s="410"/>
      <c r="I37" s="409" t="s">
        <v>41</v>
      </c>
      <c r="J37" s="410"/>
      <c r="K37" s="26">
        <v>0</v>
      </c>
      <c r="L37" s="27" t="s">
        <v>82</v>
      </c>
      <c r="M37" s="27" t="s">
        <v>42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83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84</v>
      </c>
      <c r="D39" s="410"/>
      <c r="E39" s="437" t="s">
        <v>85</v>
      </c>
      <c r="F39" s="438"/>
      <c r="G39" s="409" t="s">
        <v>44</v>
      </c>
      <c r="H39" s="410"/>
      <c r="I39" s="409" t="s">
        <v>86</v>
      </c>
      <c r="J39" s="410"/>
      <c r="K39" s="9" t="s">
        <v>45</v>
      </c>
      <c r="L39" s="28" t="s">
        <v>87</v>
      </c>
      <c r="M39" s="28" t="s">
        <v>88</v>
      </c>
    </row>
    <row r="40" spans="1:13" ht="15" customHeight="1" x14ac:dyDescent="0.3">
      <c r="A40" s="435" t="s">
        <v>18</v>
      </c>
      <c r="B40" s="436"/>
      <c r="C40" s="409">
        <v>0</v>
      </c>
      <c r="D40" s="410"/>
      <c r="E40" s="437" t="s">
        <v>46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ht="15" customHeight="1" x14ac:dyDescent="0.3">
      <c r="A41" s="435" t="s">
        <v>19</v>
      </c>
      <c r="B41" s="436"/>
      <c r="C41" s="439" t="s">
        <v>48</v>
      </c>
      <c r="D41" s="440"/>
      <c r="E41" s="437" t="s">
        <v>49</v>
      </c>
      <c r="F41" s="438"/>
      <c r="G41" s="409">
        <v>0</v>
      </c>
      <c r="H41" s="410"/>
      <c r="I41" s="409" t="s">
        <v>50</v>
      </c>
      <c r="J41" s="410"/>
      <c r="K41" s="9" t="s">
        <v>41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51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39" t="s">
        <v>52</v>
      </c>
      <c r="D43" s="440"/>
      <c r="E43" s="409" t="s">
        <v>89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53</v>
      </c>
      <c r="M43" s="28" t="s">
        <v>90</v>
      </c>
    </row>
    <row r="44" spans="1:13" x14ac:dyDescent="0.3">
      <c r="A44" s="435" t="s">
        <v>22</v>
      </c>
      <c r="B44" s="436"/>
      <c r="C44" s="409">
        <v>0</v>
      </c>
      <c r="D44" s="410"/>
      <c r="E44" s="409">
        <v>0</v>
      </c>
      <c r="F44" s="410"/>
      <c r="G44" s="409">
        <v>0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443" t="s">
        <v>57</v>
      </c>
      <c r="D49" s="444"/>
      <c r="E49" s="443" t="s">
        <v>58</v>
      </c>
      <c r="F49" s="444"/>
      <c r="G49" s="443" t="s">
        <v>12</v>
      </c>
      <c r="H49" s="444"/>
      <c r="I49" s="443" t="s">
        <v>77</v>
      </c>
      <c r="J49" s="444"/>
    </row>
    <row r="50" spans="1:10" x14ac:dyDescent="0.3">
      <c r="A50" s="445" t="s">
        <v>59</v>
      </c>
      <c r="B50" s="446"/>
      <c r="C50" s="447">
        <v>9324</v>
      </c>
      <c r="D50" s="448"/>
      <c r="E50" s="447">
        <v>9298</v>
      </c>
      <c r="F50" s="448"/>
      <c r="G50" s="447">
        <v>9274</v>
      </c>
      <c r="H50" s="448"/>
      <c r="I50" s="447">
        <v>9226</v>
      </c>
      <c r="J50" s="448"/>
    </row>
    <row r="51" spans="1:10" x14ac:dyDescent="0.3">
      <c r="A51" s="445" t="s">
        <v>60</v>
      </c>
      <c r="B51" s="446"/>
      <c r="C51" s="447">
        <v>11757</v>
      </c>
      <c r="D51" s="448"/>
      <c r="E51" s="447">
        <v>11949</v>
      </c>
      <c r="F51" s="448"/>
      <c r="G51" s="447">
        <v>12159</v>
      </c>
      <c r="H51" s="448"/>
      <c r="I51" s="447">
        <v>12390</v>
      </c>
      <c r="J51" s="448"/>
    </row>
    <row r="52" spans="1:10" x14ac:dyDescent="0.3">
      <c r="A52" s="445" t="s">
        <v>61</v>
      </c>
      <c r="B52" s="446"/>
      <c r="C52" s="447">
        <v>109656</v>
      </c>
      <c r="D52" s="448"/>
      <c r="E52" s="447">
        <v>109630</v>
      </c>
      <c r="F52" s="448"/>
      <c r="G52" s="447">
        <v>109509</v>
      </c>
      <c r="H52" s="448"/>
      <c r="I52" s="447">
        <v>109400</v>
      </c>
      <c r="J52" s="448"/>
    </row>
    <row r="53" spans="1:10" x14ac:dyDescent="0.3">
      <c r="A53" s="445" t="s">
        <v>62</v>
      </c>
      <c r="B53" s="446"/>
      <c r="C53" s="449">
        <v>234</v>
      </c>
      <c r="D53" s="450"/>
      <c r="E53" s="449">
        <v>234</v>
      </c>
      <c r="F53" s="450"/>
      <c r="G53" s="449">
        <v>234</v>
      </c>
      <c r="H53" s="450"/>
      <c r="I53" s="449">
        <v>234</v>
      </c>
      <c r="J53" s="450"/>
    </row>
    <row r="54" spans="1:10" x14ac:dyDescent="0.3">
      <c r="A54" s="445" t="s">
        <v>63</v>
      </c>
      <c r="B54" s="446"/>
      <c r="C54" s="447">
        <v>48665</v>
      </c>
      <c r="D54" s="448"/>
      <c r="E54" s="447">
        <v>48651</v>
      </c>
      <c r="F54" s="448"/>
      <c r="G54" s="447">
        <v>48616</v>
      </c>
      <c r="H54" s="448"/>
      <c r="I54" s="447">
        <v>48566</v>
      </c>
      <c r="J54" s="448"/>
    </row>
    <row r="55" spans="1:10" x14ac:dyDescent="0.3">
      <c r="A55" s="445" t="s">
        <v>64</v>
      </c>
      <c r="B55" s="446"/>
      <c r="C55" s="449">
        <v>6037</v>
      </c>
      <c r="D55" s="450"/>
      <c r="E55" s="449">
        <v>6047</v>
      </c>
      <c r="F55" s="450"/>
      <c r="G55" s="449">
        <v>6048</v>
      </c>
      <c r="H55" s="450"/>
      <c r="I55" s="449">
        <v>6021</v>
      </c>
      <c r="J55" s="450"/>
    </row>
    <row r="56" spans="1:10" x14ac:dyDescent="0.3">
      <c r="A56" s="445" t="s">
        <v>65</v>
      </c>
      <c r="B56" s="446"/>
      <c r="C56" s="447">
        <v>22178</v>
      </c>
      <c r="D56" s="448"/>
      <c r="E56" s="447">
        <v>26734</v>
      </c>
      <c r="F56" s="448"/>
      <c r="G56" s="447">
        <v>26765</v>
      </c>
      <c r="H56" s="448"/>
      <c r="I56" s="447">
        <v>26730</v>
      </c>
      <c r="J56" s="448"/>
    </row>
    <row r="57" spans="1:10" x14ac:dyDescent="0.3">
      <c r="A57" s="445" t="s">
        <v>66</v>
      </c>
      <c r="B57" s="446"/>
      <c r="C57" s="449">
        <v>4430</v>
      </c>
      <c r="D57" s="450"/>
      <c r="E57" s="449">
        <v>4433</v>
      </c>
      <c r="F57" s="450"/>
      <c r="G57" s="449">
        <v>4438</v>
      </c>
      <c r="H57" s="450"/>
      <c r="I57" s="449">
        <v>4436</v>
      </c>
      <c r="J57" s="450"/>
    </row>
    <row r="58" spans="1:10" x14ac:dyDescent="0.3">
      <c r="A58" s="445" t="s">
        <v>67</v>
      </c>
      <c r="B58" s="446"/>
      <c r="C58" s="451">
        <f>SUM(C50:D57)</f>
        <v>212281</v>
      </c>
      <c r="D58" s="452"/>
      <c r="E58" s="451">
        <f>SUM(E50:F57)</f>
        <v>216976</v>
      </c>
      <c r="F58" s="452"/>
      <c r="G58" s="451">
        <f>SUM(G50:H57)</f>
        <v>217043</v>
      </c>
      <c r="H58" s="452"/>
      <c r="I58" s="451">
        <f>SUM(I50:J57)</f>
        <v>217003</v>
      </c>
      <c r="J58" s="452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85" t="s">
        <v>68</v>
      </c>
      <c r="B60" s="286"/>
      <c r="C60" s="453" t="s">
        <v>57</v>
      </c>
      <c r="D60" s="454"/>
      <c r="E60" s="453" t="s">
        <v>58</v>
      </c>
      <c r="F60" s="454"/>
      <c r="G60" s="453" t="s">
        <v>12</v>
      </c>
      <c r="H60" s="454"/>
      <c r="I60" s="453" t="s">
        <v>77</v>
      </c>
      <c r="J60" s="454"/>
    </row>
    <row r="61" spans="1:10" x14ac:dyDescent="0.3">
      <c r="A61" s="287"/>
      <c r="B61" s="288"/>
      <c r="C61" s="297">
        <v>142687</v>
      </c>
      <c r="D61" s="298"/>
      <c r="E61" s="297">
        <v>142760</v>
      </c>
      <c r="F61" s="298"/>
      <c r="G61" s="297">
        <v>142831</v>
      </c>
      <c r="H61" s="298"/>
      <c r="I61" s="297">
        <v>142812</v>
      </c>
      <c r="J61" s="298"/>
    </row>
    <row r="62" spans="1:10" x14ac:dyDescent="0.3">
      <c r="A62" s="289"/>
      <c r="B62" s="290"/>
      <c r="C62" s="299"/>
      <c r="D62" s="300"/>
      <c r="E62" s="299"/>
      <c r="F62" s="300"/>
      <c r="G62" s="299"/>
      <c r="H62" s="300"/>
      <c r="I62" s="299"/>
      <c r="J62" s="300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7" t="s">
        <v>70</v>
      </c>
      <c r="D66" s="458"/>
      <c r="E66" s="459" t="s">
        <v>71</v>
      </c>
      <c r="F66" s="460"/>
      <c r="G66" s="459" t="s">
        <v>72</v>
      </c>
      <c r="H66" s="460"/>
      <c r="I66" s="459" t="s">
        <v>12</v>
      </c>
      <c r="J66" s="460"/>
    </row>
    <row r="67" spans="1:10" ht="15" customHeight="1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34028</v>
      </c>
      <c r="D69" s="266"/>
      <c r="E69" s="265">
        <v>34399</v>
      </c>
      <c r="F69" s="266"/>
      <c r="G69" s="265">
        <v>34768</v>
      </c>
      <c r="H69" s="266"/>
      <c r="I69" s="265">
        <v>34999</v>
      </c>
      <c r="J69" s="266"/>
    </row>
    <row r="70" spans="1:10" x14ac:dyDescent="0.3">
      <c r="A70" s="269" t="s">
        <v>16</v>
      </c>
      <c r="B70" s="270"/>
      <c r="C70" s="265">
        <v>7675</v>
      </c>
      <c r="D70" s="266"/>
      <c r="E70" s="265">
        <v>7731</v>
      </c>
      <c r="F70" s="266"/>
      <c r="G70" s="265">
        <v>7882</v>
      </c>
      <c r="H70" s="266"/>
      <c r="I70" s="265">
        <v>7925</v>
      </c>
      <c r="J70" s="266"/>
    </row>
    <row r="71" spans="1:10" x14ac:dyDescent="0.3">
      <c r="A71" s="267" t="s">
        <v>17</v>
      </c>
      <c r="B71" s="268"/>
      <c r="C71" s="265">
        <v>6925</v>
      </c>
      <c r="D71" s="266"/>
      <c r="E71" s="265">
        <v>7042</v>
      </c>
      <c r="F71" s="266"/>
      <c r="G71" s="265">
        <v>7191</v>
      </c>
      <c r="H71" s="266"/>
      <c r="I71" s="265">
        <v>7254</v>
      </c>
      <c r="J71" s="266"/>
    </row>
    <row r="72" spans="1:10" x14ac:dyDescent="0.3">
      <c r="A72" s="267" t="s">
        <v>75</v>
      </c>
      <c r="B72" s="268"/>
      <c r="C72" s="265">
        <v>1815</v>
      </c>
      <c r="D72" s="266"/>
      <c r="E72" s="265">
        <v>1869</v>
      </c>
      <c r="F72" s="266"/>
      <c r="G72" s="265">
        <v>1913</v>
      </c>
      <c r="H72" s="266"/>
      <c r="I72" s="265">
        <v>1936</v>
      </c>
      <c r="J72" s="266"/>
    </row>
    <row r="73" spans="1:10" x14ac:dyDescent="0.3">
      <c r="A73" s="269" t="s">
        <v>18</v>
      </c>
      <c r="B73" s="270"/>
      <c r="C73" s="265">
        <v>5548</v>
      </c>
      <c r="D73" s="266"/>
      <c r="E73" s="265">
        <v>5672</v>
      </c>
      <c r="F73" s="266"/>
      <c r="G73" s="265">
        <v>5804</v>
      </c>
      <c r="H73" s="266"/>
      <c r="I73" s="265">
        <v>5839</v>
      </c>
      <c r="J73" s="266"/>
    </row>
    <row r="74" spans="1:10" x14ac:dyDescent="0.3">
      <c r="A74" s="267" t="s">
        <v>19</v>
      </c>
      <c r="B74" s="268"/>
      <c r="C74" s="265">
        <v>5179</v>
      </c>
      <c r="D74" s="266"/>
      <c r="E74" s="265">
        <v>5228</v>
      </c>
      <c r="F74" s="266"/>
      <c r="G74" s="265">
        <v>5276</v>
      </c>
      <c r="H74" s="266"/>
      <c r="I74" s="265">
        <v>5310</v>
      </c>
      <c r="J74" s="266"/>
    </row>
    <row r="75" spans="1:10" x14ac:dyDescent="0.3">
      <c r="A75" s="269" t="s">
        <v>20</v>
      </c>
      <c r="B75" s="270"/>
      <c r="C75" s="265">
        <v>8698</v>
      </c>
      <c r="D75" s="266"/>
      <c r="E75" s="265">
        <v>8830</v>
      </c>
      <c r="F75" s="266"/>
      <c r="G75" s="265">
        <v>9073</v>
      </c>
      <c r="H75" s="266"/>
      <c r="I75" s="265">
        <v>9151</v>
      </c>
      <c r="J75" s="266"/>
    </row>
    <row r="76" spans="1:10" x14ac:dyDescent="0.3">
      <c r="A76" s="267" t="s">
        <v>21</v>
      </c>
      <c r="B76" s="268"/>
      <c r="C76" s="265">
        <v>1738</v>
      </c>
      <c r="D76" s="266"/>
      <c r="E76" s="265">
        <v>1761</v>
      </c>
      <c r="F76" s="266"/>
      <c r="G76" s="265">
        <v>1780</v>
      </c>
      <c r="H76" s="266"/>
      <c r="I76" s="265">
        <v>1791</v>
      </c>
      <c r="J76" s="266"/>
    </row>
    <row r="77" spans="1:10" x14ac:dyDescent="0.3">
      <c r="A77" s="269" t="s">
        <v>22</v>
      </c>
      <c r="B77" s="270"/>
      <c r="C77" s="265">
        <v>6742</v>
      </c>
      <c r="D77" s="266"/>
      <c r="E77" s="265">
        <v>6801</v>
      </c>
      <c r="F77" s="266"/>
      <c r="G77" s="265">
        <v>6898</v>
      </c>
      <c r="H77" s="266"/>
      <c r="I77" s="265">
        <v>6941</v>
      </c>
      <c r="J77" s="266"/>
    </row>
    <row r="78" spans="1:10" x14ac:dyDescent="0.3">
      <c r="A78" s="263" t="s">
        <v>76</v>
      </c>
      <c r="B78" s="264"/>
      <c r="C78" s="265">
        <f>SUM(C69:C77)</f>
        <v>78348</v>
      </c>
      <c r="D78" s="266"/>
      <c r="E78" s="265">
        <f>SUM(E69:E77)</f>
        <v>79333</v>
      </c>
      <c r="F78" s="266"/>
      <c r="G78" s="265">
        <f>SUM(G69:G77)</f>
        <v>80585</v>
      </c>
      <c r="H78" s="266"/>
      <c r="I78" s="265">
        <v>81146</v>
      </c>
      <c r="J78" s="266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I24:J24"/>
    <mergeCell ref="A34:B35"/>
    <mergeCell ref="C34:D35"/>
    <mergeCell ref="E34:F35"/>
    <mergeCell ref="G34:H35"/>
    <mergeCell ref="I34:J35"/>
    <mergeCell ref="A31:B31"/>
    <mergeCell ref="C31:D31"/>
    <mergeCell ref="E31:F31"/>
    <mergeCell ref="G31:H31"/>
    <mergeCell ref="I31:J31"/>
    <mergeCell ref="I26:J26"/>
    <mergeCell ref="A27:B27"/>
    <mergeCell ref="C27:D27"/>
    <mergeCell ref="E27:F27"/>
    <mergeCell ref="G27:H27"/>
    <mergeCell ref="A30:B30"/>
    <mergeCell ref="C30:D30"/>
    <mergeCell ref="E30:F30"/>
    <mergeCell ref="G30:H30"/>
    <mergeCell ref="I30:J30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I27:J27"/>
    <mergeCell ref="A24:B24"/>
    <mergeCell ref="A25:B25"/>
    <mergeCell ref="C25:D25"/>
    <mergeCell ref="E25:F25"/>
    <mergeCell ref="G25:H25"/>
    <mergeCell ref="I25:J25"/>
    <mergeCell ref="C24:D24"/>
    <mergeCell ref="E24:F24"/>
    <mergeCell ref="G24:H24"/>
    <mergeCell ref="A26:B26"/>
    <mergeCell ref="C26:D26"/>
    <mergeCell ref="E26:F26"/>
    <mergeCell ref="G26:H26"/>
    <mergeCell ref="A18:Q19"/>
    <mergeCell ref="K21:K22"/>
    <mergeCell ref="A23:B23"/>
    <mergeCell ref="C23:K23"/>
    <mergeCell ref="A17:B17"/>
    <mergeCell ref="C17:D17"/>
    <mergeCell ref="E17:F17"/>
    <mergeCell ref="G17:H17"/>
    <mergeCell ref="I17:J17"/>
    <mergeCell ref="K17:L17"/>
    <mergeCell ref="A21:B22"/>
    <mergeCell ref="C21:D22"/>
    <mergeCell ref="E21:F22"/>
    <mergeCell ref="G21:H22"/>
    <mergeCell ref="I21:J22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8"/>
  <sheetViews>
    <sheetView workbookViewId="0">
      <selection sqref="A1:XFD1048576"/>
    </sheetView>
  </sheetViews>
  <sheetFormatPr defaultRowHeight="14.4" x14ac:dyDescent="0.3"/>
  <cols>
    <col min="2" max="2" width="18.88671875" customWidth="1"/>
    <col min="12" max="12" width="14.88671875" customWidth="1"/>
    <col min="13" max="13" width="14" customWidth="1"/>
  </cols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2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ht="30.75" customHeight="1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92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7"/>
      <c r="O4" s="397"/>
      <c r="P4" s="397"/>
      <c r="Q4" s="398"/>
    </row>
    <row r="5" spans="1:17" x14ac:dyDescent="0.3">
      <c r="A5" s="403" t="s">
        <v>13</v>
      </c>
      <c r="B5" s="404"/>
      <c r="C5" s="405">
        <v>5276</v>
      </c>
      <c r="D5" s="406"/>
      <c r="E5" s="405">
        <v>140</v>
      </c>
      <c r="F5" s="406"/>
      <c r="G5" s="405">
        <v>4</v>
      </c>
      <c r="H5" s="406"/>
      <c r="I5" s="405">
        <v>0</v>
      </c>
      <c r="J5" s="406"/>
      <c r="K5" s="407">
        <v>0</v>
      </c>
      <c r="L5" s="408"/>
      <c r="M5" s="5">
        <v>0</v>
      </c>
      <c r="N5" s="6">
        <v>260</v>
      </c>
      <c r="O5" s="7">
        <v>16503</v>
      </c>
      <c r="P5" s="7">
        <v>13567</v>
      </c>
      <c r="Q5" s="7">
        <v>10976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447</v>
      </c>
      <c r="D7" s="410"/>
      <c r="E7" s="409">
        <v>204</v>
      </c>
      <c r="F7" s="410"/>
      <c r="G7" s="409">
        <v>86</v>
      </c>
      <c r="H7" s="410"/>
      <c r="I7" s="409">
        <v>30</v>
      </c>
      <c r="J7" s="410"/>
      <c r="K7" s="409">
        <v>27</v>
      </c>
      <c r="L7" s="410"/>
      <c r="M7" s="9">
        <v>134</v>
      </c>
      <c r="N7" s="9">
        <v>120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391</v>
      </c>
      <c r="D8" s="410"/>
      <c r="E8" s="409">
        <v>9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34</v>
      </c>
      <c r="N8" s="9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432</v>
      </c>
      <c r="D9" s="410"/>
      <c r="E9" s="409">
        <v>95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65</v>
      </c>
      <c r="N9" s="9">
        <v>25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210</v>
      </c>
      <c r="D10" s="410"/>
      <c r="E10" s="409">
        <v>113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270</v>
      </c>
      <c r="N10" s="9">
        <v>70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289</v>
      </c>
      <c r="D11" s="410"/>
      <c r="E11" s="409">
        <v>103</v>
      </c>
      <c r="F11" s="410"/>
      <c r="G11" s="409">
        <v>0</v>
      </c>
      <c r="H11" s="410"/>
      <c r="I11" s="409">
        <v>15</v>
      </c>
      <c r="J11" s="410"/>
      <c r="K11" s="409">
        <v>7</v>
      </c>
      <c r="L11" s="410"/>
      <c r="M11" s="10">
        <v>187</v>
      </c>
      <c r="N11" s="10">
        <v>351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3</v>
      </c>
      <c r="D12" s="410"/>
      <c r="E12" s="409">
        <v>96</v>
      </c>
      <c r="F12" s="410"/>
      <c r="G12" s="409">
        <v>0</v>
      </c>
      <c r="H12" s="410"/>
      <c r="I12" s="409">
        <v>4</v>
      </c>
      <c r="J12" s="410"/>
      <c r="K12" s="409">
        <v>0</v>
      </c>
      <c r="L12" s="410"/>
      <c r="M12" s="9">
        <v>50</v>
      </c>
      <c r="N12" s="9">
        <v>21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281</v>
      </c>
      <c r="D13" s="410"/>
      <c r="E13" s="409">
        <v>57</v>
      </c>
      <c r="F13" s="410"/>
      <c r="G13" s="409">
        <v>1</v>
      </c>
      <c r="H13" s="410"/>
      <c r="I13" s="409">
        <v>20</v>
      </c>
      <c r="J13" s="410"/>
      <c r="K13" s="409">
        <v>3</v>
      </c>
      <c r="L13" s="410"/>
      <c r="M13" s="9">
        <v>171</v>
      </c>
      <c r="N13" s="9">
        <v>45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305</v>
      </c>
      <c r="D14" s="410"/>
      <c r="E14" s="409">
        <v>70</v>
      </c>
      <c r="F14" s="410"/>
      <c r="G14" s="409">
        <v>44</v>
      </c>
      <c r="H14" s="410"/>
      <c r="I14" s="409">
        <v>9</v>
      </c>
      <c r="J14" s="410"/>
      <c r="K14" s="409">
        <v>2</v>
      </c>
      <c r="L14" s="410"/>
      <c r="M14" s="10">
        <v>233</v>
      </c>
      <c r="N14" s="10">
        <v>13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10">
        <v>0</v>
      </c>
      <c r="O15" s="11">
        <v>3142</v>
      </c>
      <c r="P15" s="30">
        <v>1862</v>
      </c>
      <c r="Q15" s="30">
        <v>1754</v>
      </c>
    </row>
    <row r="16" spans="1:17" ht="15" thickBot="1" x14ac:dyDescent="0.35">
      <c r="A16" s="413" t="s">
        <v>24</v>
      </c>
      <c r="B16" s="414"/>
      <c r="C16" s="415">
        <f>SUM(C5:D15)</f>
        <v>7854</v>
      </c>
      <c r="D16" s="416"/>
      <c r="E16" s="415">
        <f>SUM(E5:F15)</f>
        <v>887</v>
      </c>
      <c r="F16" s="416"/>
      <c r="G16" s="415">
        <f>SUM(G5:H15)</f>
        <v>138</v>
      </c>
      <c r="H16" s="416"/>
      <c r="I16" s="415">
        <f>SUM(I5:J15)</f>
        <v>91</v>
      </c>
      <c r="J16" s="416"/>
      <c r="K16" s="415">
        <f>SUM(K5:L15)</f>
        <v>39</v>
      </c>
      <c r="L16" s="416"/>
      <c r="M16" s="13">
        <f>SUM(M5:M15)</f>
        <v>1144</v>
      </c>
      <c r="N16" s="14">
        <f>SUM(N5:N15)</f>
        <v>916</v>
      </c>
      <c r="O16" s="15">
        <f>SUM(O5:O15)</f>
        <v>19729</v>
      </c>
      <c r="P16" s="16">
        <f>SUM(P5:P15)</f>
        <v>15471</v>
      </c>
      <c r="Q16" s="17">
        <f>SUM(Q5:Q15)</f>
        <v>12738</v>
      </c>
    </row>
    <row r="17" spans="1:17" x14ac:dyDescent="0.3">
      <c r="A17" s="425" t="s">
        <v>25</v>
      </c>
      <c r="B17" s="426"/>
      <c r="C17" s="427">
        <v>5276</v>
      </c>
      <c r="D17" s="428"/>
      <c r="E17" s="427">
        <v>140</v>
      </c>
      <c r="F17" s="428"/>
      <c r="G17" s="427">
        <v>4</v>
      </c>
      <c r="H17" s="428"/>
      <c r="I17" s="427">
        <v>0</v>
      </c>
      <c r="J17" s="428"/>
      <c r="K17" s="429">
        <v>0</v>
      </c>
      <c r="L17" s="430"/>
      <c r="M17" s="18">
        <v>0</v>
      </c>
      <c r="N17" s="19">
        <v>260</v>
      </c>
      <c r="O17" s="7">
        <v>16503</v>
      </c>
      <c r="P17" s="7">
        <v>13567</v>
      </c>
      <c r="Q17" s="7">
        <v>10976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43.2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92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432</v>
      </c>
      <c r="D24" s="410"/>
      <c r="E24" s="431" t="s">
        <v>78</v>
      </c>
      <c r="F24" s="432"/>
      <c r="G24" s="409">
        <v>19</v>
      </c>
      <c r="H24" s="410"/>
      <c r="I24" s="409">
        <v>26</v>
      </c>
      <c r="J24" s="410"/>
      <c r="K24" s="26">
        <v>0</v>
      </c>
      <c r="L24" s="27">
        <v>16</v>
      </c>
      <c r="M24" s="27">
        <v>4</v>
      </c>
    </row>
    <row r="25" spans="1:17" x14ac:dyDescent="0.3">
      <c r="A25" s="269" t="s">
        <v>16</v>
      </c>
      <c r="B25" s="270"/>
      <c r="C25" s="409">
        <v>109</v>
      </c>
      <c r="D25" s="410"/>
      <c r="E25" s="431" t="s">
        <v>107</v>
      </c>
      <c r="F25" s="432"/>
      <c r="G25" s="409">
        <v>0</v>
      </c>
      <c r="H25" s="410"/>
      <c r="I25" s="409">
        <v>137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60</v>
      </c>
      <c r="D26" s="410"/>
      <c r="E26" s="431" t="s">
        <v>101</v>
      </c>
      <c r="F26" s="432"/>
      <c r="G26" s="409">
        <v>13</v>
      </c>
      <c r="H26" s="410"/>
      <c r="I26" s="409">
        <v>50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32</v>
      </c>
      <c r="D27" s="432"/>
      <c r="E27" s="431" t="s">
        <v>33</v>
      </c>
      <c r="F27" s="432"/>
      <c r="G27" s="409">
        <v>0</v>
      </c>
      <c r="H27" s="410"/>
      <c r="I27" s="409">
        <v>15</v>
      </c>
      <c r="J27" s="410"/>
      <c r="K27" s="9">
        <v>6</v>
      </c>
      <c r="L27" s="29">
        <v>10</v>
      </c>
      <c r="M27" s="28">
        <v>7</v>
      </c>
    </row>
    <row r="28" spans="1:17" x14ac:dyDescent="0.3">
      <c r="A28" s="269" t="s">
        <v>19</v>
      </c>
      <c r="B28" s="270"/>
      <c r="C28" s="433" t="s">
        <v>34</v>
      </c>
      <c r="D28" s="434"/>
      <c r="E28" s="431" t="s">
        <v>105</v>
      </c>
      <c r="F28" s="432"/>
      <c r="G28" s="409">
        <v>0</v>
      </c>
      <c r="H28" s="410"/>
      <c r="I28" s="409">
        <v>13</v>
      </c>
      <c r="J28" s="410"/>
      <c r="K28" s="9">
        <v>4</v>
      </c>
      <c r="L28" s="28">
        <v>9</v>
      </c>
      <c r="M28" s="28">
        <v>7</v>
      </c>
    </row>
    <row r="29" spans="1:17" x14ac:dyDescent="0.3">
      <c r="A29" s="269" t="s">
        <v>20</v>
      </c>
      <c r="B29" s="270"/>
      <c r="C29" s="409">
        <v>80</v>
      </c>
      <c r="D29" s="410"/>
      <c r="E29" s="431" t="s">
        <v>93</v>
      </c>
      <c r="F29" s="432"/>
      <c r="G29" s="409">
        <v>0</v>
      </c>
      <c r="H29" s="410"/>
      <c r="I29" s="409">
        <v>8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3" t="s">
        <v>34</v>
      </c>
      <c r="D30" s="434"/>
      <c r="E30" s="431" t="s">
        <v>95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0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43.2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92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ht="15" customHeight="1" x14ac:dyDescent="0.3">
      <c r="A37" s="435" t="s">
        <v>15</v>
      </c>
      <c r="B37" s="436"/>
      <c r="C37" s="409" t="s">
        <v>38</v>
      </c>
      <c r="D37" s="410"/>
      <c r="E37" s="437" t="s">
        <v>109</v>
      </c>
      <c r="F37" s="438"/>
      <c r="G37" s="409" t="s">
        <v>40</v>
      </c>
      <c r="H37" s="410"/>
      <c r="I37" s="409" t="s">
        <v>41</v>
      </c>
      <c r="J37" s="410"/>
      <c r="K37" s="26">
        <v>0</v>
      </c>
      <c r="L37" s="27" t="s">
        <v>103</v>
      </c>
      <c r="M37" s="27" t="s">
        <v>42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108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102</v>
      </c>
      <c r="D39" s="410"/>
      <c r="E39" s="437" t="s">
        <v>103</v>
      </c>
      <c r="F39" s="438"/>
      <c r="G39" s="409" t="s">
        <v>104</v>
      </c>
      <c r="H39" s="410"/>
      <c r="I39" s="409" t="s">
        <v>86</v>
      </c>
      <c r="J39" s="410"/>
      <c r="K39" s="9" t="s">
        <v>45</v>
      </c>
      <c r="L39" s="28" t="s">
        <v>87</v>
      </c>
      <c r="M39" s="28" t="s">
        <v>88</v>
      </c>
    </row>
    <row r="40" spans="1:13" ht="15" customHeight="1" x14ac:dyDescent="0.3">
      <c r="A40" s="435" t="s">
        <v>18</v>
      </c>
      <c r="B40" s="436"/>
      <c r="C40" s="409">
        <v>0</v>
      </c>
      <c r="D40" s="410"/>
      <c r="E40" s="437" t="s">
        <v>46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ht="15" customHeight="1" x14ac:dyDescent="0.3">
      <c r="A41" s="435" t="s">
        <v>19</v>
      </c>
      <c r="B41" s="436"/>
      <c r="C41" s="439" t="s">
        <v>48</v>
      </c>
      <c r="D41" s="440"/>
      <c r="E41" s="437" t="s">
        <v>106</v>
      </c>
      <c r="F41" s="438"/>
      <c r="G41" s="409">
        <v>0</v>
      </c>
      <c r="H41" s="410"/>
      <c r="I41" s="409" t="s">
        <v>50</v>
      </c>
      <c r="J41" s="410"/>
      <c r="K41" s="9" t="s">
        <v>41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94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39" t="s">
        <v>96</v>
      </c>
      <c r="D43" s="440"/>
      <c r="E43" s="409" t="s">
        <v>97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87</v>
      </c>
      <c r="M43" s="28" t="s">
        <v>90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98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443" t="s">
        <v>58</v>
      </c>
      <c r="D49" s="444"/>
      <c r="E49" s="443" t="s">
        <v>12</v>
      </c>
      <c r="F49" s="444"/>
      <c r="G49" s="443" t="s">
        <v>77</v>
      </c>
      <c r="H49" s="444"/>
      <c r="I49" s="443" t="s">
        <v>92</v>
      </c>
      <c r="J49" s="444"/>
    </row>
    <row r="50" spans="1:10" x14ac:dyDescent="0.3">
      <c r="A50" s="445" t="s">
        <v>59</v>
      </c>
      <c r="B50" s="446"/>
      <c r="C50" s="447">
        <v>9298</v>
      </c>
      <c r="D50" s="448"/>
      <c r="E50" s="447">
        <v>9274</v>
      </c>
      <c r="F50" s="448"/>
      <c r="G50" s="447">
        <v>9226</v>
      </c>
      <c r="H50" s="448"/>
      <c r="I50" s="447">
        <v>9186</v>
      </c>
      <c r="J50" s="448"/>
    </row>
    <row r="51" spans="1:10" x14ac:dyDescent="0.3">
      <c r="A51" s="445" t="s">
        <v>60</v>
      </c>
      <c r="B51" s="446"/>
      <c r="C51" s="447">
        <v>11949</v>
      </c>
      <c r="D51" s="448"/>
      <c r="E51" s="447">
        <v>12159</v>
      </c>
      <c r="F51" s="448"/>
      <c r="G51" s="447">
        <v>12390</v>
      </c>
      <c r="H51" s="448"/>
      <c r="I51" s="447">
        <v>12631</v>
      </c>
      <c r="J51" s="448"/>
    </row>
    <row r="52" spans="1:10" x14ac:dyDescent="0.3">
      <c r="A52" s="445" t="s">
        <v>61</v>
      </c>
      <c r="B52" s="446"/>
      <c r="C52" s="447">
        <v>109630</v>
      </c>
      <c r="D52" s="448"/>
      <c r="E52" s="447">
        <v>109509</v>
      </c>
      <c r="F52" s="448"/>
      <c r="G52" s="447">
        <v>109400</v>
      </c>
      <c r="H52" s="448"/>
      <c r="I52" s="447">
        <v>109407</v>
      </c>
      <c r="J52" s="448"/>
    </row>
    <row r="53" spans="1:10" x14ac:dyDescent="0.3">
      <c r="A53" s="445" t="s">
        <v>62</v>
      </c>
      <c r="B53" s="446"/>
      <c r="C53" s="449">
        <v>234</v>
      </c>
      <c r="D53" s="450"/>
      <c r="E53" s="449">
        <v>234</v>
      </c>
      <c r="F53" s="450"/>
      <c r="G53" s="449">
        <v>234</v>
      </c>
      <c r="H53" s="450"/>
      <c r="I53" s="449">
        <v>234</v>
      </c>
      <c r="J53" s="450"/>
    </row>
    <row r="54" spans="1:10" x14ac:dyDescent="0.3">
      <c r="A54" s="445" t="s">
        <v>63</v>
      </c>
      <c r="B54" s="446"/>
      <c r="C54" s="447">
        <v>48651</v>
      </c>
      <c r="D54" s="448"/>
      <c r="E54" s="447">
        <v>48616</v>
      </c>
      <c r="F54" s="448"/>
      <c r="G54" s="447">
        <v>48566</v>
      </c>
      <c r="H54" s="448"/>
      <c r="I54" s="447">
        <v>48550</v>
      </c>
      <c r="J54" s="448"/>
    </row>
    <row r="55" spans="1:10" x14ac:dyDescent="0.3">
      <c r="A55" s="445" t="s">
        <v>64</v>
      </c>
      <c r="B55" s="446"/>
      <c r="C55" s="449">
        <v>6047</v>
      </c>
      <c r="D55" s="450"/>
      <c r="E55" s="449">
        <v>6048</v>
      </c>
      <c r="F55" s="450"/>
      <c r="G55" s="449">
        <v>6021</v>
      </c>
      <c r="H55" s="450"/>
      <c r="I55" s="449">
        <v>6020</v>
      </c>
      <c r="J55" s="450"/>
    </row>
    <row r="56" spans="1:10" x14ac:dyDescent="0.3">
      <c r="A56" s="445" t="s">
        <v>65</v>
      </c>
      <c r="B56" s="446"/>
      <c r="C56" s="447">
        <v>26734</v>
      </c>
      <c r="D56" s="448"/>
      <c r="E56" s="447">
        <v>26765</v>
      </c>
      <c r="F56" s="448"/>
      <c r="G56" s="447">
        <v>26730</v>
      </c>
      <c r="H56" s="448"/>
      <c r="I56" s="447">
        <v>26723</v>
      </c>
      <c r="J56" s="448"/>
    </row>
    <row r="57" spans="1:10" x14ac:dyDescent="0.3">
      <c r="A57" s="445" t="s">
        <v>66</v>
      </c>
      <c r="B57" s="446"/>
      <c r="C57" s="449">
        <v>4433</v>
      </c>
      <c r="D57" s="450"/>
      <c r="E57" s="449">
        <v>4438</v>
      </c>
      <c r="F57" s="450"/>
      <c r="G57" s="449">
        <v>4436</v>
      </c>
      <c r="H57" s="450"/>
      <c r="I57" s="449">
        <v>4437</v>
      </c>
      <c r="J57" s="450"/>
    </row>
    <row r="58" spans="1:10" x14ac:dyDescent="0.3">
      <c r="A58" s="445" t="s">
        <v>67</v>
      </c>
      <c r="B58" s="446"/>
      <c r="C58" s="451">
        <f>SUM(C50:D57)</f>
        <v>216976</v>
      </c>
      <c r="D58" s="452"/>
      <c r="E58" s="451">
        <f>SUM(E50:F57)</f>
        <v>217043</v>
      </c>
      <c r="F58" s="452"/>
      <c r="G58" s="451">
        <f>SUM(G50:H57)</f>
        <v>217003</v>
      </c>
      <c r="H58" s="452"/>
      <c r="I58" s="451">
        <f>SUM(I50:J57)</f>
        <v>217188</v>
      </c>
      <c r="J58" s="452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85" t="s">
        <v>68</v>
      </c>
      <c r="B60" s="286"/>
      <c r="C60" s="453" t="s">
        <v>58</v>
      </c>
      <c r="D60" s="454"/>
      <c r="E60" s="453" t="s">
        <v>12</v>
      </c>
      <c r="F60" s="454"/>
      <c r="G60" s="453" t="s">
        <v>77</v>
      </c>
      <c r="H60" s="454"/>
      <c r="I60" s="453" t="s">
        <v>92</v>
      </c>
      <c r="J60" s="454"/>
    </row>
    <row r="61" spans="1:10" x14ac:dyDescent="0.3">
      <c r="A61" s="287"/>
      <c r="B61" s="288"/>
      <c r="C61" s="297">
        <v>142760</v>
      </c>
      <c r="D61" s="298"/>
      <c r="E61" s="297">
        <v>142831</v>
      </c>
      <c r="F61" s="298"/>
      <c r="G61" s="297">
        <v>142812</v>
      </c>
      <c r="H61" s="298"/>
      <c r="I61" s="297">
        <v>142905</v>
      </c>
      <c r="J61" s="298"/>
    </row>
    <row r="62" spans="1:10" x14ac:dyDescent="0.3">
      <c r="A62" s="289"/>
      <c r="B62" s="290"/>
      <c r="C62" s="299"/>
      <c r="D62" s="300"/>
      <c r="E62" s="299"/>
      <c r="F62" s="300"/>
      <c r="G62" s="299"/>
      <c r="H62" s="300"/>
      <c r="I62" s="299"/>
      <c r="J62" s="300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7" t="s">
        <v>70</v>
      </c>
      <c r="D66" s="458"/>
      <c r="E66" s="459" t="s">
        <v>71</v>
      </c>
      <c r="F66" s="460"/>
      <c r="G66" s="459" t="s">
        <v>72</v>
      </c>
      <c r="H66" s="460"/>
      <c r="I66" s="459" t="s">
        <v>12</v>
      </c>
      <c r="J66" s="460"/>
    </row>
    <row r="67" spans="1:10" ht="15" customHeight="1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34028</v>
      </c>
      <c r="D69" s="266"/>
      <c r="E69" s="265">
        <v>34399</v>
      </c>
      <c r="F69" s="266"/>
      <c r="G69" s="265">
        <v>34768</v>
      </c>
      <c r="H69" s="266"/>
      <c r="I69" s="265">
        <v>34999</v>
      </c>
      <c r="J69" s="266"/>
    </row>
    <row r="70" spans="1:10" x14ac:dyDescent="0.3">
      <c r="A70" s="269" t="s">
        <v>16</v>
      </c>
      <c r="B70" s="270"/>
      <c r="C70" s="265">
        <v>7675</v>
      </c>
      <c r="D70" s="266"/>
      <c r="E70" s="265">
        <v>7731</v>
      </c>
      <c r="F70" s="266"/>
      <c r="G70" s="265">
        <v>7882</v>
      </c>
      <c r="H70" s="266"/>
      <c r="I70" s="265">
        <v>7925</v>
      </c>
      <c r="J70" s="266"/>
    </row>
    <row r="71" spans="1:10" x14ac:dyDescent="0.3">
      <c r="A71" s="267" t="s">
        <v>17</v>
      </c>
      <c r="B71" s="268"/>
      <c r="C71" s="265">
        <v>6925</v>
      </c>
      <c r="D71" s="266"/>
      <c r="E71" s="265">
        <v>7042</v>
      </c>
      <c r="F71" s="266"/>
      <c r="G71" s="265">
        <v>7191</v>
      </c>
      <c r="H71" s="266"/>
      <c r="I71" s="265">
        <v>7254</v>
      </c>
      <c r="J71" s="266"/>
    </row>
    <row r="72" spans="1:10" x14ac:dyDescent="0.3">
      <c r="A72" s="267" t="s">
        <v>75</v>
      </c>
      <c r="B72" s="268"/>
      <c r="C72" s="265">
        <v>1815</v>
      </c>
      <c r="D72" s="266"/>
      <c r="E72" s="265">
        <v>1869</v>
      </c>
      <c r="F72" s="266"/>
      <c r="G72" s="265">
        <v>1913</v>
      </c>
      <c r="H72" s="266"/>
      <c r="I72" s="265">
        <v>1936</v>
      </c>
      <c r="J72" s="266"/>
    </row>
    <row r="73" spans="1:10" x14ac:dyDescent="0.3">
      <c r="A73" s="269" t="s">
        <v>18</v>
      </c>
      <c r="B73" s="270"/>
      <c r="C73" s="265">
        <v>5548</v>
      </c>
      <c r="D73" s="266"/>
      <c r="E73" s="265">
        <v>5672</v>
      </c>
      <c r="F73" s="266"/>
      <c r="G73" s="265">
        <v>5804</v>
      </c>
      <c r="H73" s="266"/>
      <c r="I73" s="265">
        <v>5839</v>
      </c>
      <c r="J73" s="266"/>
    </row>
    <row r="74" spans="1:10" x14ac:dyDescent="0.3">
      <c r="A74" s="267" t="s">
        <v>19</v>
      </c>
      <c r="B74" s="268"/>
      <c r="C74" s="265">
        <v>5179</v>
      </c>
      <c r="D74" s="266"/>
      <c r="E74" s="265">
        <v>5228</v>
      </c>
      <c r="F74" s="266"/>
      <c r="G74" s="265">
        <v>5276</v>
      </c>
      <c r="H74" s="266"/>
      <c r="I74" s="265">
        <v>5310</v>
      </c>
      <c r="J74" s="266"/>
    </row>
    <row r="75" spans="1:10" x14ac:dyDescent="0.3">
      <c r="A75" s="269" t="s">
        <v>20</v>
      </c>
      <c r="B75" s="270"/>
      <c r="C75" s="265">
        <v>8698</v>
      </c>
      <c r="D75" s="266"/>
      <c r="E75" s="265">
        <v>8830</v>
      </c>
      <c r="F75" s="266"/>
      <c r="G75" s="265">
        <v>9073</v>
      </c>
      <c r="H75" s="266"/>
      <c r="I75" s="265">
        <v>9151</v>
      </c>
      <c r="J75" s="266"/>
    </row>
    <row r="76" spans="1:10" x14ac:dyDescent="0.3">
      <c r="A76" s="267" t="s">
        <v>21</v>
      </c>
      <c r="B76" s="268"/>
      <c r="C76" s="265">
        <v>1738</v>
      </c>
      <c r="D76" s="266"/>
      <c r="E76" s="265">
        <v>1761</v>
      </c>
      <c r="F76" s="266"/>
      <c r="G76" s="265">
        <v>1780</v>
      </c>
      <c r="H76" s="266"/>
      <c r="I76" s="265">
        <v>1791</v>
      </c>
      <c r="J76" s="266"/>
    </row>
    <row r="77" spans="1:10" x14ac:dyDescent="0.3">
      <c r="A77" s="269" t="s">
        <v>22</v>
      </c>
      <c r="B77" s="270"/>
      <c r="C77" s="265">
        <v>6742</v>
      </c>
      <c r="D77" s="266"/>
      <c r="E77" s="265">
        <v>6801</v>
      </c>
      <c r="F77" s="266"/>
      <c r="G77" s="265">
        <v>6898</v>
      </c>
      <c r="H77" s="266"/>
      <c r="I77" s="265">
        <v>6941</v>
      </c>
      <c r="J77" s="266"/>
    </row>
    <row r="78" spans="1:10" x14ac:dyDescent="0.3">
      <c r="A78" s="263" t="s">
        <v>76</v>
      </c>
      <c r="B78" s="264"/>
      <c r="C78" s="265">
        <f>SUM(C69:C77)</f>
        <v>78348</v>
      </c>
      <c r="D78" s="266"/>
      <c r="E78" s="265">
        <f>SUM(E69:E77)</f>
        <v>79333</v>
      </c>
      <c r="F78" s="266"/>
      <c r="G78" s="265">
        <f>SUM(G69:G77)</f>
        <v>80585</v>
      </c>
      <c r="H78" s="266"/>
      <c r="I78" s="265">
        <v>81146</v>
      </c>
      <c r="J78" s="266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8"/>
  <sheetViews>
    <sheetView workbookViewId="0">
      <selection activeCell="E32" sqref="E32"/>
    </sheetView>
  </sheetViews>
  <sheetFormatPr defaultRowHeight="14.4" x14ac:dyDescent="0.3"/>
  <cols>
    <col min="2" max="2" width="18.88671875" customWidth="1"/>
    <col min="12" max="12" width="14.88671875" customWidth="1"/>
    <col min="13" max="13" width="14" customWidth="1"/>
  </cols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2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ht="30.75" customHeight="1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110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7"/>
      <c r="O4" s="397"/>
      <c r="P4" s="397"/>
      <c r="Q4" s="398"/>
    </row>
    <row r="5" spans="1:17" x14ac:dyDescent="0.3">
      <c r="A5" s="403" t="s">
        <v>13</v>
      </c>
      <c r="B5" s="404"/>
      <c r="C5" s="405">
        <v>5276</v>
      </c>
      <c r="D5" s="406"/>
      <c r="E5" s="405">
        <v>140</v>
      </c>
      <c r="F5" s="406"/>
      <c r="G5" s="405">
        <v>4</v>
      </c>
      <c r="H5" s="406"/>
      <c r="I5" s="405">
        <v>0</v>
      </c>
      <c r="J5" s="406"/>
      <c r="K5" s="407">
        <v>0</v>
      </c>
      <c r="L5" s="408"/>
      <c r="M5" s="5">
        <v>0</v>
      </c>
      <c r="N5" s="6">
        <v>260</v>
      </c>
      <c r="O5" s="7">
        <v>16103</v>
      </c>
      <c r="P5" s="7">
        <v>13365</v>
      </c>
      <c r="Q5" s="7">
        <v>10696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413</v>
      </c>
      <c r="D7" s="410"/>
      <c r="E7" s="409">
        <v>172</v>
      </c>
      <c r="F7" s="410"/>
      <c r="G7" s="409">
        <v>86</v>
      </c>
      <c r="H7" s="410"/>
      <c r="I7" s="409">
        <v>30</v>
      </c>
      <c r="J7" s="410"/>
      <c r="K7" s="409">
        <v>27</v>
      </c>
      <c r="L7" s="410"/>
      <c r="M7" s="9">
        <v>105</v>
      </c>
      <c r="N7" s="9">
        <v>118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374</v>
      </c>
      <c r="D8" s="410"/>
      <c r="E8" s="409">
        <v>6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30</v>
      </c>
      <c r="N8" s="9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382</v>
      </c>
      <c r="D9" s="410"/>
      <c r="E9" s="409">
        <v>57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36</v>
      </c>
      <c r="N9" s="9">
        <v>25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250</v>
      </c>
      <c r="D10" s="410"/>
      <c r="E10" s="409">
        <v>102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258</v>
      </c>
      <c r="N10" s="9">
        <v>62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172</v>
      </c>
      <c r="D11" s="410"/>
      <c r="E11" s="409">
        <v>58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10">
        <v>177</v>
      </c>
      <c r="N11" s="10">
        <v>285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2</v>
      </c>
      <c r="D12" s="410"/>
      <c r="E12" s="409">
        <v>85</v>
      </c>
      <c r="F12" s="410"/>
      <c r="G12" s="409">
        <v>0</v>
      </c>
      <c r="H12" s="410"/>
      <c r="I12" s="409">
        <v>3</v>
      </c>
      <c r="J12" s="410"/>
      <c r="K12" s="409">
        <v>0</v>
      </c>
      <c r="L12" s="410"/>
      <c r="M12" s="9">
        <v>75</v>
      </c>
      <c r="N12" s="9">
        <v>20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273</v>
      </c>
      <c r="D13" s="410"/>
      <c r="E13" s="409">
        <v>57</v>
      </c>
      <c r="F13" s="410"/>
      <c r="G13" s="409">
        <v>1</v>
      </c>
      <c r="H13" s="410"/>
      <c r="I13" s="409">
        <v>18</v>
      </c>
      <c r="J13" s="410"/>
      <c r="K13" s="409">
        <v>3</v>
      </c>
      <c r="L13" s="410"/>
      <c r="M13" s="9">
        <v>115</v>
      </c>
      <c r="N13" s="9">
        <v>44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283</v>
      </c>
      <c r="D14" s="410"/>
      <c r="E14" s="409">
        <v>151</v>
      </c>
      <c r="F14" s="410"/>
      <c r="G14" s="409">
        <v>44</v>
      </c>
      <c r="H14" s="410"/>
      <c r="I14" s="409">
        <v>2</v>
      </c>
      <c r="J14" s="410"/>
      <c r="K14" s="409">
        <v>2</v>
      </c>
      <c r="L14" s="410"/>
      <c r="M14" s="10">
        <v>182</v>
      </c>
      <c r="N14" s="10">
        <v>23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10">
        <v>0</v>
      </c>
      <c r="O15" s="11">
        <v>3030</v>
      </c>
      <c r="P15" s="30">
        <v>1871</v>
      </c>
      <c r="Q15" s="30">
        <v>1991</v>
      </c>
    </row>
    <row r="16" spans="1:17" ht="15" thickBot="1" x14ac:dyDescent="0.35">
      <c r="A16" s="413" t="s">
        <v>24</v>
      </c>
      <c r="B16" s="414"/>
      <c r="C16" s="415">
        <f>SUM(C5:D15)</f>
        <v>7645</v>
      </c>
      <c r="D16" s="416"/>
      <c r="E16" s="415">
        <f>SUM(E5:F15)</f>
        <v>828</v>
      </c>
      <c r="F16" s="416"/>
      <c r="G16" s="415">
        <f>SUM(G5:H15)</f>
        <v>138</v>
      </c>
      <c r="H16" s="416"/>
      <c r="I16" s="415">
        <f>SUM(I5:J15)</f>
        <v>66</v>
      </c>
      <c r="J16" s="416"/>
      <c r="K16" s="415">
        <f>SUM(K5:L15)</f>
        <v>32</v>
      </c>
      <c r="L16" s="416"/>
      <c r="M16" s="13">
        <f>SUM(M5:M15)</f>
        <v>978</v>
      </c>
      <c r="N16" s="14">
        <f>SUM(N5:N15)</f>
        <v>848</v>
      </c>
      <c r="O16" s="15">
        <f>SUM(O5:O15)</f>
        <v>19217</v>
      </c>
      <c r="P16" s="16">
        <f>SUM(P5:P15)</f>
        <v>15278</v>
      </c>
      <c r="Q16" s="17">
        <f>SUM(Q5:Q15)</f>
        <v>12695</v>
      </c>
    </row>
    <row r="17" spans="1:17" x14ac:dyDescent="0.3">
      <c r="A17" s="425" t="s">
        <v>25</v>
      </c>
      <c r="B17" s="426"/>
      <c r="C17" s="427">
        <v>5176</v>
      </c>
      <c r="D17" s="428"/>
      <c r="E17" s="427">
        <v>140</v>
      </c>
      <c r="F17" s="428"/>
      <c r="G17" s="427">
        <v>4</v>
      </c>
      <c r="H17" s="428"/>
      <c r="I17" s="427">
        <v>0</v>
      </c>
      <c r="J17" s="428"/>
      <c r="K17" s="429">
        <v>0</v>
      </c>
      <c r="L17" s="430"/>
      <c r="M17" s="18">
        <v>0</v>
      </c>
      <c r="N17" s="19">
        <v>260</v>
      </c>
      <c r="O17" s="7">
        <v>16103</v>
      </c>
      <c r="P17" s="7">
        <v>13365</v>
      </c>
      <c r="Q17" s="7">
        <v>10696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43.2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110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433</v>
      </c>
      <c r="D24" s="410"/>
      <c r="E24" s="431" t="s">
        <v>78</v>
      </c>
      <c r="F24" s="432"/>
      <c r="G24" s="409">
        <v>19</v>
      </c>
      <c r="H24" s="410"/>
      <c r="I24" s="409">
        <v>22</v>
      </c>
      <c r="J24" s="410"/>
      <c r="K24" s="26">
        <v>0</v>
      </c>
      <c r="L24" s="27">
        <v>19</v>
      </c>
      <c r="M24" s="27">
        <v>4</v>
      </c>
    </row>
    <row r="25" spans="1:17" x14ac:dyDescent="0.3">
      <c r="A25" s="269" t="s">
        <v>16</v>
      </c>
      <c r="B25" s="270"/>
      <c r="C25" s="409">
        <v>114</v>
      </c>
      <c r="D25" s="410"/>
      <c r="E25" s="431" t="s">
        <v>121</v>
      </c>
      <c r="F25" s="432"/>
      <c r="G25" s="409">
        <v>0</v>
      </c>
      <c r="H25" s="410"/>
      <c r="I25" s="409">
        <v>87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56</v>
      </c>
      <c r="D26" s="410"/>
      <c r="E26" s="431" t="s">
        <v>118</v>
      </c>
      <c r="F26" s="432"/>
      <c r="G26" s="409">
        <v>13</v>
      </c>
      <c r="H26" s="410"/>
      <c r="I26" s="409">
        <v>49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32</v>
      </c>
      <c r="D27" s="432"/>
      <c r="E27" s="431" t="s">
        <v>114</v>
      </c>
      <c r="F27" s="432"/>
      <c r="G27" s="409">
        <v>0</v>
      </c>
      <c r="H27" s="410"/>
      <c r="I27" s="409">
        <v>15</v>
      </c>
      <c r="J27" s="410"/>
      <c r="K27" s="9">
        <v>6</v>
      </c>
      <c r="L27" s="29">
        <v>10</v>
      </c>
      <c r="M27" s="28">
        <v>7</v>
      </c>
    </row>
    <row r="28" spans="1:17" x14ac:dyDescent="0.3">
      <c r="A28" s="269" t="s">
        <v>19</v>
      </c>
      <c r="B28" s="270"/>
      <c r="C28" s="433" t="s">
        <v>34</v>
      </c>
      <c r="D28" s="434"/>
      <c r="E28" s="431" t="s">
        <v>105</v>
      </c>
      <c r="F28" s="432"/>
      <c r="G28" s="409">
        <v>0</v>
      </c>
      <c r="H28" s="410"/>
      <c r="I28" s="409">
        <v>13</v>
      </c>
      <c r="J28" s="410"/>
      <c r="K28" s="9">
        <v>4</v>
      </c>
      <c r="L28" s="28">
        <v>9</v>
      </c>
      <c r="M28" s="28">
        <v>7</v>
      </c>
    </row>
    <row r="29" spans="1:17" x14ac:dyDescent="0.3">
      <c r="A29" s="269" t="s">
        <v>20</v>
      </c>
      <c r="B29" s="270"/>
      <c r="C29" s="409">
        <v>80</v>
      </c>
      <c r="D29" s="410"/>
      <c r="E29" s="431" t="s">
        <v>112</v>
      </c>
      <c r="F29" s="432"/>
      <c r="G29" s="409">
        <v>0</v>
      </c>
      <c r="H29" s="410"/>
      <c r="I29" s="409">
        <v>8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3" t="s">
        <v>34</v>
      </c>
      <c r="D30" s="434"/>
      <c r="E30" s="431" t="s">
        <v>95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0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43.2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110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ht="15" customHeight="1" x14ac:dyDescent="0.3">
      <c r="A37" s="435" t="s">
        <v>15</v>
      </c>
      <c r="B37" s="436"/>
      <c r="C37" s="409" t="s">
        <v>38</v>
      </c>
      <c r="D37" s="410"/>
      <c r="E37" s="437" t="s">
        <v>109</v>
      </c>
      <c r="F37" s="438"/>
      <c r="G37" s="409" t="s">
        <v>40</v>
      </c>
      <c r="H37" s="410"/>
      <c r="I37" s="409" t="s">
        <v>41</v>
      </c>
      <c r="J37" s="410"/>
      <c r="K37" s="26">
        <v>0</v>
      </c>
      <c r="L37" s="27" t="s">
        <v>123</v>
      </c>
      <c r="M37" s="27" t="s">
        <v>124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122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119</v>
      </c>
      <c r="D39" s="410"/>
      <c r="E39" s="437" t="s">
        <v>120</v>
      </c>
      <c r="F39" s="438"/>
      <c r="G39" s="409" t="s">
        <v>104</v>
      </c>
      <c r="H39" s="410"/>
      <c r="I39" s="409" t="s">
        <v>86</v>
      </c>
      <c r="J39" s="410"/>
      <c r="K39" s="9" t="s">
        <v>45</v>
      </c>
      <c r="L39" s="28" t="s">
        <v>53</v>
      </c>
      <c r="M39" s="28" t="s">
        <v>88</v>
      </c>
    </row>
    <row r="40" spans="1:13" ht="15" customHeight="1" x14ac:dyDescent="0.3">
      <c r="A40" s="435" t="s">
        <v>18</v>
      </c>
      <c r="B40" s="436"/>
      <c r="C40" s="409">
        <v>0</v>
      </c>
      <c r="D40" s="410"/>
      <c r="E40" s="437" t="s">
        <v>115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ht="15" customHeight="1" x14ac:dyDescent="0.3">
      <c r="A41" s="435" t="s">
        <v>19</v>
      </c>
      <c r="B41" s="436"/>
      <c r="C41" s="439" t="s">
        <v>116</v>
      </c>
      <c r="D41" s="440"/>
      <c r="E41" s="437" t="s">
        <v>106</v>
      </c>
      <c r="F41" s="438"/>
      <c r="G41" s="409">
        <v>0</v>
      </c>
      <c r="H41" s="410"/>
      <c r="I41" s="409" t="s">
        <v>117</v>
      </c>
      <c r="J41" s="410"/>
      <c r="K41" s="9" t="s">
        <v>96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94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39" t="s">
        <v>99</v>
      </c>
      <c r="D43" s="440"/>
      <c r="E43" s="409" t="s">
        <v>111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87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443" t="s">
        <v>12</v>
      </c>
      <c r="D49" s="444"/>
      <c r="E49" s="443" t="s">
        <v>77</v>
      </c>
      <c r="F49" s="444"/>
      <c r="G49" s="443" t="s">
        <v>92</v>
      </c>
      <c r="H49" s="444"/>
      <c r="I49" s="443" t="s">
        <v>110</v>
      </c>
      <c r="J49" s="444"/>
    </row>
    <row r="50" spans="1:10" x14ac:dyDescent="0.3">
      <c r="A50" s="445" t="s">
        <v>59</v>
      </c>
      <c r="B50" s="446"/>
      <c r="C50" s="447">
        <v>9274</v>
      </c>
      <c r="D50" s="448"/>
      <c r="E50" s="447">
        <v>9226</v>
      </c>
      <c r="F50" s="448"/>
      <c r="G50" s="447">
        <v>9186</v>
      </c>
      <c r="H50" s="448"/>
      <c r="I50" s="447">
        <v>9157</v>
      </c>
      <c r="J50" s="448"/>
    </row>
    <row r="51" spans="1:10" x14ac:dyDescent="0.3">
      <c r="A51" s="445" t="s">
        <v>60</v>
      </c>
      <c r="B51" s="446"/>
      <c r="C51" s="447">
        <v>12159</v>
      </c>
      <c r="D51" s="448"/>
      <c r="E51" s="447">
        <v>12390</v>
      </c>
      <c r="F51" s="448"/>
      <c r="G51" s="447">
        <v>12631</v>
      </c>
      <c r="H51" s="448"/>
      <c r="I51" s="447">
        <v>12784</v>
      </c>
      <c r="J51" s="448"/>
    </row>
    <row r="52" spans="1:10" x14ac:dyDescent="0.3">
      <c r="A52" s="445" t="s">
        <v>61</v>
      </c>
      <c r="B52" s="446"/>
      <c r="C52" s="447">
        <v>109509</v>
      </c>
      <c r="D52" s="448"/>
      <c r="E52" s="447">
        <v>109400</v>
      </c>
      <c r="F52" s="448"/>
      <c r="G52" s="447">
        <v>109407</v>
      </c>
      <c r="H52" s="448"/>
      <c r="I52" s="447">
        <v>109372</v>
      </c>
      <c r="J52" s="448"/>
    </row>
    <row r="53" spans="1:10" x14ac:dyDescent="0.3">
      <c r="A53" s="445" t="s">
        <v>62</v>
      </c>
      <c r="B53" s="446"/>
      <c r="C53" s="449">
        <v>234</v>
      </c>
      <c r="D53" s="450"/>
      <c r="E53" s="449">
        <v>234</v>
      </c>
      <c r="F53" s="450"/>
      <c r="G53" s="449">
        <v>234</v>
      </c>
      <c r="H53" s="450"/>
      <c r="I53" s="449">
        <v>234</v>
      </c>
      <c r="J53" s="450"/>
    </row>
    <row r="54" spans="1:10" x14ac:dyDescent="0.3">
      <c r="A54" s="445" t="s">
        <v>63</v>
      </c>
      <c r="B54" s="446"/>
      <c r="C54" s="447">
        <v>48616</v>
      </c>
      <c r="D54" s="448"/>
      <c r="E54" s="447">
        <v>48566</v>
      </c>
      <c r="F54" s="448"/>
      <c r="G54" s="447">
        <v>48550</v>
      </c>
      <c r="H54" s="448"/>
      <c r="I54" s="447">
        <v>48556</v>
      </c>
      <c r="J54" s="448"/>
    </row>
    <row r="55" spans="1:10" x14ac:dyDescent="0.3">
      <c r="A55" s="445" t="s">
        <v>64</v>
      </c>
      <c r="B55" s="446"/>
      <c r="C55" s="449">
        <v>6048</v>
      </c>
      <c r="D55" s="450"/>
      <c r="E55" s="449">
        <v>6021</v>
      </c>
      <c r="F55" s="450"/>
      <c r="G55" s="449">
        <v>6020</v>
      </c>
      <c r="H55" s="450"/>
      <c r="I55" s="449">
        <v>6018</v>
      </c>
      <c r="J55" s="450"/>
    </row>
    <row r="56" spans="1:10" x14ac:dyDescent="0.3">
      <c r="A56" s="445" t="s">
        <v>65</v>
      </c>
      <c r="B56" s="446"/>
      <c r="C56" s="447">
        <v>26765</v>
      </c>
      <c r="D56" s="448"/>
      <c r="E56" s="447">
        <v>26730</v>
      </c>
      <c r="F56" s="448"/>
      <c r="G56" s="447">
        <v>26723</v>
      </c>
      <c r="H56" s="448"/>
      <c r="I56" s="447">
        <v>26719</v>
      </c>
      <c r="J56" s="448"/>
    </row>
    <row r="57" spans="1:10" x14ac:dyDescent="0.3">
      <c r="A57" s="445" t="s">
        <v>66</v>
      </c>
      <c r="B57" s="446"/>
      <c r="C57" s="449">
        <v>4438</v>
      </c>
      <c r="D57" s="450"/>
      <c r="E57" s="449">
        <v>4436</v>
      </c>
      <c r="F57" s="450"/>
      <c r="G57" s="449">
        <v>4437</v>
      </c>
      <c r="H57" s="450"/>
      <c r="I57" s="449">
        <v>4436</v>
      </c>
      <c r="J57" s="450"/>
    </row>
    <row r="58" spans="1:10" x14ac:dyDescent="0.3">
      <c r="A58" s="445" t="s">
        <v>67</v>
      </c>
      <c r="B58" s="446"/>
      <c r="C58" s="451">
        <f>SUM(C50:D57)</f>
        <v>217043</v>
      </c>
      <c r="D58" s="452"/>
      <c r="E58" s="451">
        <f>SUM(E50:F57)</f>
        <v>217003</v>
      </c>
      <c r="F58" s="452"/>
      <c r="G58" s="451">
        <f>SUM(G50:H57)</f>
        <v>217188</v>
      </c>
      <c r="H58" s="452"/>
      <c r="I58" s="451">
        <f>SUM(I50:J57)</f>
        <v>217276</v>
      </c>
      <c r="J58" s="452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85" t="s">
        <v>68</v>
      </c>
      <c r="B60" s="286"/>
      <c r="C60" s="453" t="s">
        <v>12</v>
      </c>
      <c r="D60" s="454"/>
      <c r="E60" s="453" t="s">
        <v>77</v>
      </c>
      <c r="F60" s="454"/>
      <c r="G60" s="453" t="s">
        <v>92</v>
      </c>
      <c r="H60" s="454"/>
      <c r="I60" s="453" t="s">
        <v>110</v>
      </c>
      <c r="J60" s="454"/>
    </row>
    <row r="61" spans="1:10" x14ac:dyDescent="0.3">
      <c r="A61" s="287"/>
      <c r="B61" s="288"/>
      <c r="C61" s="297">
        <v>142831</v>
      </c>
      <c r="D61" s="298"/>
      <c r="E61" s="297">
        <v>142812</v>
      </c>
      <c r="F61" s="298"/>
      <c r="G61" s="297">
        <v>142905</v>
      </c>
      <c r="H61" s="298"/>
      <c r="I61" s="297">
        <v>142982</v>
      </c>
      <c r="J61" s="298"/>
    </row>
    <row r="62" spans="1:10" x14ac:dyDescent="0.3">
      <c r="A62" s="289"/>
      <c r="B62" s="290"/>
      <c r="C62" s="299"/>
      <c r="D62" s="300"/>
      <c r="E62" s="299"/>
      <c r="F62" s="300"/>
      <c r="G62" s="299"/>
      <c r="H62" s="300"/>
      <c r="I62" s="299"/>
      <c r="J62" s="300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7" t="s">
        <v>70</v>
      </c>
      <c r="D66" s="458"/>
      <c r="E66" s="459" t="s">
        <v>71</v>
      </c>
      <c r="F66" s="460"/>
      <c r="G66" s="459" t="s">
        <v>72</v>
      </c>
      <c r="H66" s="460"/>
      <c r="I66" s="459" t="s">
        <v>12</v>
      </c>
      <c r="J66" s="460"/>
    </row>
    <row r="67" spans="1:10" ht="15" customHeight="1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34028</v>
      </c>
      <c r="D69" s="266"/>
      <c r="E69" s="265">
        <v>34399</v>
      </c>
      <c r="F69" s="266"/>
      <c r="G69" s="265">
        <v>34768</v>
      </c>
      <c r="H69" s="266"/>
      <c r="I69" s="265">
        <v>34999</v>
      </c>
      <c r="J69" s="266"/>
    </row>
    <row r="70" spans="1:10" x14ac:dyDescent="0.3">
      <c r="A70" s="269" t="s">
        <v>16</v>
      </c>
      <c r="B70" s="270"/>
      <c r="C70" s="265">
        <v>7675</v>
      </c>
      <c r="D70" s="266"/>
      <c r="E70" s="265">
        <v>7731</v>
      </c>
      <c r="F70" s="266"/>
      <c r="G70" s="265">
        <v>7882</v>
      </c>
      <c r="H70" s="266"/>
      <c r="I70" s="265">
        <v>7925</v>
      </c>
      <c r="J70" s="266"/>
    </row>
    <row r="71" spans="1:10" x14ac:dyDescent="0.3">
      <c r="A71" s="267" t="s">
        <v>17</v>
      </c>
      <c r="B71" s="268"/>
      <c r="C71" s="265">
        <v>6925</v>
      </c>
      <c r="D71" s="266"/>
      <c r="E71" s="265">
        <v>7042</v>
      </c>
      <c r="F71" s="266"/>
      <c r="G71" s="265">
        <v>7191</v>
      </c>
      <c r="H71" s="266"/>
      <c r="I71" s="265">
        <v>7254</v>
      </c>
      <c r="J71" s="266"/>
    </row>
    <row r="72" spans="1:10" x14ac:dyDescent="0.3">
      <c r="A72" s="267" t="s">
        <v>75</v>
      </c>
      <c r="B72" s="268"/>
      <c r="C72" s="265">
        <v>1815</v>
      </c>
      <c r="D72" s="266"/>
      <c r="E72" s="265">
        <v>1869</v>
      </c>
      <c r="F72" s="266"/>
      <c r="G72" s="265">
        <v>1913</v>
      </c>
      <c r="H72" s="266"/>
      <c r="I72" s="265">
        <v>1936</v>
      </c>
      <c r="J72" s="266"/>
    </row>
    <row r="73" spans="1:10" x14ac:dyDescent="0.3">
      <c r="A73" s="269" t="s">
        <v>18</v>
      </c>
      <c r="B73" s="270"/>
      <c r="C73" s="265">
        <v>5548</v>
      </c>
      <c r="D73" s="266"/>
      <c r="E73" s="265">
        <v>5672</v>
      </c>
      <c r="F73" s="266"/>
      <c r="G73" s="265">
        <v>5804</v>
      </c>
      <c r="H73" s="266"/>
      <c r="I73" s="265">
        <v>5839</v>
      </c>
      <c r="J73" s="266"/>
    </row>
    <row r="74" spans="1:10" x14ac:dyDescent="0.3">
      <c r="A74" s="267" t="s">
        <v>19</v>
      </c>
      <c r="B74" s="268"/>
      <c r="C74" s="265">
        <v>5179</v>
      </c>
      <c r="D74" s="266"/>
      <c r="E74" s="265">
        <v>5228</v>
      </c>
      <c r="F74" s="266"/>
      <c r="G74" s="265">
        <v>5276</v>
      </c>
      <c r="H74" s="266"/>
      <c r="I74" s="265">
        <v>5310</v>
      </c>
      <c r="J74" s="266"/>
    </row>
    <row r="75" spans="1:10" x14ac:dyDescent="0.3">
      <c r="A75" s="269" t="s">
        <v>20</v>
      </c>
      <c r="B75" s="270"/>
      <c r="C75" s="265">
        <v>8698</v>
      </c>
      <c r="D75" s="266"/>
      <c r="E75" s="265">
        <v>8830</v>
      </c>
      <c r="F75" s="266"/>
      <c r="G75" s="265">
        <v>9073</v>
      </c>
      <c r="H75" s="266"/>
      <c r="I75" s="265">
        <v>9151</v>
      </c>
      <c r="J75" s="266"/>
    </row>
    <row r="76" spans="1:10" x14ac:dyDescent="0.3">
      <c r="A76" s="267" t="s">
        <v>21</v>
      </c>
      <c r="B76" s="268"/>
      <c r="C76" s="265">
        <v>1738</v>
      </c>
      <c r="D76" s="266"/>
      <c r="E76" s="265">
        <v>1761</v>
      </c>
      <c r="F76" s="266"/>
      <c r="G76" s="265">
        <v>1780</v>
      </c>
      <c r="H76" s="266"/>
      <c r="I76" s="265">
        <v>1791</v>
      </c>
      <c r="J76" s="266"/>
    </row>
    <row r="77" spans="1:10" x14ac:dyDescent="0.3">
      <c r="A77" s="269" t="s">
        <v>22</v>
      </c>
      <c r="B77" s="270"/>
      <c r="C77" s="265">
        <v>6742</v>
      </c>
      <c r="D77" s="266"/>
      <c r="E77" s="265">
        <v>6801</v>
      </c>
      <c r="F77" s="266"/>
      <c r="G77" s="265">
        <v>6898</v>
      </c>
      <c r="H77" s="266"/>
      <c r="I77" s="265">
        <v>6941</v>
      </c>
      <c r="J77" s="266"/>
    </row>
    <row r="78" spans="1:10" x14ac:dyDescent="0.3">
      <c r="A78" s="263" t="s">
        <v>76</v>
      </c>
      <c r="B78" s="264"/>
      <c r="C78" s="265">
        <f>SUM(C69:C77)</f>
        <v>78348</v>
      </c>
      <c r="D78" s="266"/>
      <c r="E78" s="265">
        <f>SUM(E69:E77)</f>
        <v>79333</v>
      </c>
      <c r="F78" s="266"/>
      <c r="G78" s="265">
        <f>SUM(G69:G77)</f>
        <v>80585</v>
      </c>
      <c r="H78" s="266"/>
      <c r="I78" s="265">
        <v>81146</v>
      </c>
      <c r="J78" s="266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topLeftCell="A4" workbookViewId="0">
      <selection activeCell="N61" sqref="N61"/>
    </sheetView>
  </sheetViews>
  <sheetFormatPr defaultRowHeight="14.4" x14ac:dyDescent="0.3"/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2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125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7"/>
      <c r="O4" s="397"/>
      <c r="P4" s="397"/>
      <c r="Q4" s="398"/>
    </row>
    <row r="5" spans="1:17" x14ac:dyDescent="0.3">
      <c r="A5" s="403" t="s">
        <v>13</v>
      </c>
      <c r="B5" s="404"/>
      <c r="C5" s="405">
        <v>5176</v>
      </c>
      <c r="D5" s="406"/>
      <c r="E5" s="405">
        <v>310</v>
      </c>
      <c r="F5" s="406"/>
      <c r="G5" s="405">
        <v>1</v>
      </c>
      <c r="H5" s="406"/>
      <c r="I5" s="405">
        <v>0</v>
      </c>
      <c r="J5" s="406"/>
      <c r="K5" s="407">
        <v>0</v>
      </c>
      <c r="L5" s="408"/>
      <c r="M5" s="5">
        <v>0</v>
      </c>
      <c r="N5" s="6">
        <v>260</v>
      </c>
      <c r="O5" s="7">
        <v>2908</v>
      </c>
      <c r="P5" s="7">
        <v>2052</v>
      </c>
      <c r="Q5" s="7">
        <v>2131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390</v>
      </c>
      <c r="D7" s="410"/>
      <c r="E7" s="409">
        <v>156</v>
      </c>
      <c r="F7" s="410"/>
      <c r="G7" s="409">
        <v>86</v>
      </c>
      <c r="H7" s="410"/>
      <c r="I7" s="409">
        <v>29</v>
      </c>
      <c r="J7" s="410"/>
      <c r="K7" s="409">
        <v>24</v>
      </c>
      <c r="L7" s="410"/>
      <c r="M7" s="9">
        <v>116</v>
      </c>
      <c r="N7" s="9">
        <v>118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361</v>
      </c>
      <c r="D8" s="410"/>
      <c r="E8" s="409">
        <v>6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24</v>
      </c>
      <c r="N8" s="9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361</v>
      </c>
      <c r="D9" s="410"/>
      <c r="E9" s="409">
        <v>48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35</v>
      </c>
      <c r="N9" s="9">
        <v>24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230</v>
      </c>
      <c r="D10" s="410"/>
      <c r="E10" s="409">
        <v>74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134</v>
      </c>
      <c r="N10" s="9">
        <v>50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115</v>
      </c>
      <c r="D11" s="410"/>
      <c r="E11" s="409">
        <v>8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10">
        <v>172</v>
      </c>
      <c r="N11" s="10">
        <v>277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2</v>
      </c>
      <c r="D12" s="410"/>
      <c r="E12" s="409">
        <v>65</v>
      </c>
      <c r="F12" s="410"/>
      <c r="G12" s="409">
        <v>0</v>
      </c>
      <c r="H12" s="410"/>
      <c r="I12" s="409">
        <v>0</v>
      </c>
      <c r="J12" s="410"/>
      <c r="K12" s="409">
        <v>0</v>
      </c>
      <c r="L12" s="410"/>
      <c r="M12" s="9">
        <v>60</v>
      </c>
      <c r="N12" s="9">
        <v>19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250</v>
      </c>
      <c r="D13" s="410"/>
      <c r="E13" s="409">
        <v>57</v>
      </c>
      <c r="F13" s="410"/>
      <c r="G13" s="409">
        <v>1</v>
      </c>
      <c r="H13" s="410"/>
      <c r="I13" s="409">
        <v>11</v>
      </c>
      <c r="J13" s="410"/>
      <c r="K13" s="409">
        <v>3</v>
      </c>
      <c r="L13" s="410"/>
      <c r="M13" s="9">
        <v>111</v>
      </c>
      <c r="N13" s="9">
        <v>43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361</v>
      </c>
      <c r="D14" s="410"/>
      <c r="E14" s="409">
        <v>135</v>
      </c>
      <c r="F14" s="410"/>
      <c r="G14" s="409">
        <v>39</v>
      </c>
      <c r="H14" s="410"/>
      <c r="I14" s="409">
        <v>2</v>
      </c>
      <c r="J14" s="410"/>
      <c r="K14" s="409">
        <v>2</v>
      </c>
      <c r="L14" s="410"/>
      <c r="M14" s="10">
        <v>169</v>
      </c>
      <c r="N14" s="10">
        <v>23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10">
        <v>0</v>
      </c>
      <c r="O15" s="11">
        <v>15783</v>
      </c>
      <c r="P15" s="30">
        <v>12875</v>
      </c>
      <c r="Q15" s="30">
        <v>10369</v>
      </c>
    </row>
    <row r="16" spans="1:17" ht="15" thickBot="1" x14ac:dyDescent="0.35">
      <c r="A16" s="413" t="s">
        <v>24</v>
      </c>
      <c r="B16" s="414"/>
      <c r="C16" s="415">
        <f>SUM(C5:D15)</f>
        <v>7466</v>
      </c>
      <c r="D16" s="416"/>
      <c r="E16" s="415">
        <f>SUM(E5:F15)</f>
        <v>859</v>
      </c>
      <c r="F16" s="416"/>
      <c r="G16" s="415">
        <f>SUM(G5:H15)</f>
        <v>130</v>
      </c>
      <c r="H16" s="416"/>
      <c r="I16" s="415">
        <f>SUM(I5:J15)</f>
        <v>55</v>
      </c>
      <c r="J16" s="416"/>
      <c r="K16" s="415">
        <f>SUM(K5:L15)</f>
        <v>29</v>
      </c>
      <c r="L16" s="416"/>
      <c r="M16" s="13">
        <f>SUM(M5:M15)</f>
        <v>821</v>
      </c>
      <c r="N16" s="14">
        <f>SUM(N5:N15)</f>
        <v>825</v>
      </c>
      <c r="O16" s="15">
        <f>SUM(O5:O15)</f>
        <v>18775</v>
      </c>
      <c r="P16" s="16">
        <f>SUM(P5:P15)</f>
        <v>14969</v>
      </c>
      <c r="Q16" s="17">
        <f>SUM(Q5:Q15)</f>
        <v>12508</v>
      </c>
    </row>
    <row r="17" spans="1:17" x14ac:dyDescent="0.3">
      <c r="A17" s="425" t="s">
        <v>25</v>
      </c>
      <c r="B17" s="426"/>
      <c r="C17" s="427">
        <v>5176</v>
      </c>
      <c r="D17" s="428"/>
      <c r="E17" s="427">
        <v>310</v>
      </c>
      <c r="F17" s="428"/>
      <c r="G17" s="427">
        <v>1</v>
      </c>
      <c r="H17" s="428"/>
      <c r="I17" s="427">
        <v>0</v>
      </c>
      <c r="J17" s="428"/>
      <c r="K17" s="429">
        <v>0</v>
      </c>
      <c r="L17" s="430"/>
      <c r="M17" s="18">
        <v>0</v>
      </c>
      <c r="N17" s="19">
        <v>260</v>
      </c>
      <c r="O17" s="7">
        <v>2908</v>
      </c>
      <c r="P17" s="7">
        <v>2052</v>
      </c>
      <c r="Q17" s="7">
        <v>2131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57.6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125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445</v>
      </c>
      <c r="D24" s="410"/>
      <c r="E24" s="431" t="s">
        <v>140</v>
      </c>
      <c r="F24" s="432"/>
      <c r="G24" s="409">
        <v>19</v>
      </c>
      <c r="H24" s="410"/>
      <c r="I24" s="409">
        <v>40</v>
      </c>
      <c r="J24" s="410"/>
      <c r="K24" s="26">
        <v>0</v>
      </c>
      <c r="L24" s="27">
        <v>22</v>
      </c>
      <c r="M24" s="27">
        <v>4</v>
      </c>
    </row>
    <row r="25" spans="1:17" x14ac:dyDescent="0.3">
      <c r="A25" s="269" t="s">
        <v>16</v>
      </c>
      <c r="B25" s="270"/>
      <c r="C25" s="409">
        <v>110</v>
      </c>
      <c r="D25" s="410"/>
      <c r="E25" s="431" t="s">
        <v>126</v>
      </c>
      <c r="F25" s="432"/>
      <c r="G25" s="409">
        <v>0</v>
      </c>
      <c r="H25" s="410"/>
      <c r="I25" s="409">
        <v>83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61</v>
      </c>
      <c r="D26" s="410"/>
      <c r="E26" s="431" t="s">
        <v>127</v>
      </c>
      <c r="F26" s="432"/>
      <c r="G26" s="409">
        <v>30</v>
      </c>
      <c r="H26" s="410"/>
      <c r="I26" s="409">
        <v>46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128</v>
      </c>
      <c r="D27" s="432"/>
      <c r="E27" s="431" t="s">
        <v>129</v>
      </c>
      <c r="F27" s="432"/>
      <c r="G27" s="409">
        <v>0</v>
      </c>
      <c r="H27" s="410"/>
      <c r="I27" s="409">
        <v>15</v>
      </c>
      <c r="J27" s="410"/>
      <c r="K27" s="9">
        <v>6</v>
      </c>
      <c r="L27" s="29">
        <v>10</v>
      </c>
      <c r="M27" s="28">
        <v>7</v>
      </c>
    </row>
    <row r="28" spans="1:17" x14ac:dyDescent="0.3">
      <c r="A28" s="269" t="s">
        <v>19</v>
      </c>
      <c r="B28" s="270"/>
      <c r="C28" s="433" t="s">
        <v>34</v>
      </c>
      <c r="D28" s="434"/>
      <c r="E28" s="431" t="s">
        <v>105</v>
      </c>
      <c r="F28" s="432"/>
      <c r="G28" s="409">
        <v>0</v>
      </c>
      <c r="H28" s="410"/>
      <c r="I28" s="409">
        <v>13</v>
      </c>
      <c r="J28" s="410"/>
      <c r="K28" s="9">
        <v>4</v>
      </c>
      <c r="L28" s="28">
        <v>9</v>
      </c>
      <c r="M28" s="28">
        <v>7</v>
      </c>
    </row>
    <row r="29" spans="1:17" x14ac:dyDescent="0.3">
      <c r="A29" s="269" t="s">
        <v>20</v>
      </c>
      <c r="B29" s="270"/>
      <c r="C29" s="409">
        <v>68</v>
      </c>
      <c r="D29" s="410"/>
      <c r="E29" s="431" t="s">
        <v>130</v>
      </c>
      <c r="F29" s="432"/>
      <c r="G29" s="409">
        <v>0</v>
      </c>
      <c r="H29" s="410"/>
      <c r="I29" s="409">
        <v>8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3" t="s">
        <v>131</v>
      </c>
      <c r="D30" s="434"/>
      <c r="E30" s="431" t="s">
        <v>132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12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57.6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125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x14ac:dyDescent="0.3">
      <c r="A37" s="435" t="s">
        <v>15</v>
      </c>
      <c r="B37" s="436"/>
      <c r="C37" s="409" t="s">
        <v>141</v>
      </c>
      <c r="D37" s="410"/>
      <c r="E37" s="437" t="s">
        <v>142</v>
      </c>
      <c r="F37" s="438"/>
      <c r="G37" s="409" t="s">
        <v>40</v>
      </c>
      <c r="H37" s="410"/>
      <c r="I37" s="409" t="s">
        <v>143</v>
      </c>
      <c r="J37" s="410"/>
      <c r="K37" s="26">
        <v>0</v>
      </c>
      <c r="L37" s="27" t="s">
        <v>144</v>
      </c>
      <c r="M37" s="27" t="s">
        <v>145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133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134</v>
      </c>
      <c r="D39" s="410"/>
      <c r="E39" s="437" t="s">
        <v>135</v>
      </c>
      <c r="F39" s="438"/>
      <c r="G39" s="409" t="s">
        <v>136</v>
      </c>
      <c r="H39" s="410"/>
      <c r="I39" s="409" t="s">
        <v>86</v>
      </c>
      <c r="J39" s="410"/>
      <c r="K39" s="9" t="s">
        <v>45</v>
      </c>
      <c r="L39" s="28" t="s">
        <v>53</v>
      </c>
      <c r="M39" s="28" t="s">
        <v>88</v>
      </c>
    </row>
    <row r="40" spans="1:13" x14ac:dyDescent="0.3">
      <c r="A40" s="435" t="s">
        <v>18</v>
      </c>
      <c r="B40" s="436"/>
      <c r="C40" s="409">
        <v>0</v>
      </c>
      <c r="D40" s="410"/>
      <c r="E40" s="437" t="s">
        <v>137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x14ac:dyDescent="0.3">
      <c r="A41" s="435" t="s">
        <v>19</v>
      </c>
      <c r="B41" s="436"/>
      <c r="C41" s="439" t="s">
        <v>116</v>
      </c>
      <c r="D41" s="440"/>
      <c r="E41" s="437" t="s">
        <v>106</v>
      </c>
      <c r="F41" s="438"/>
      <c r="G41" s="409">
        <v>0</v>
      </c>
      <c r="H41" s="410"/>
      <c r="I41" s="409" t="s">
        <v>117</v>
      </c>
      <c r="J41" s="410"/>
      <c r="K41" s="9" t="s">
        <v>96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94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39" t="s">
        <v>99</v>
      </c>
      <c r="D43" s="440"/>
      <c r="E43" s="409" t="s">
        <v>138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139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443" t="s">
        <v>77</v>
      </c>
      <c r="D49" s="444"/>
      <c r="E49" s="443" t="s">
        <v>92</v>
      </c>
      <c r="F49" s="444"/>
      <c r="G49" s="443" t="s">
        <v>110</v>
      </c>
      <c r="H49" s="444"/>
      <c r="I49" s="443" t="s">
        <v>125</v>
      </c>
      <c r="J49" s="444"/>
    </row>
    <row r="50" spans="1:10" x14ac:dyDescent="0.3">
      <c r="A50" s="445" t="s">
        <v>59</v>
      </c>
      <c r="B50" s="446"/>
      <c r="C50" s="447">
        <v>9226</v>
      </c>
      <c r="D50" s="448"/>
      <c r="E50" s="447">
        <v>9186</v>
      </c>
      <c r="F50" s="448"/>
      <c r="G50" s="447">
        <v>9157</v>
      </c>
      <c r="H50" s="448"/>
      <c r="I50" s="447">
        <v>9126</v>
      </c>
      <c r="J50" s="448"/>
    </row>
    <row r="51" spans="1:10" x14ac:dyDescent="0.3">
      <c r="A51" s="445" t="s">
        <v>60</v>
      </c>
      <c r="B51" s="446"/>
      <c r="C51" s="447">
        <v>12390</v>
      </c>
      <c r="D51" s="448"/>
      <c r="E51" s="447">
        <v>12631</v>
      </c>
      <c r="F51" s="448"/>
      <c r="G51" s="447">
        <v>12784</v>
      </c>
      <c r="H51" s="448"/>
      <c r="I51" s="447">
        <v>12912</v>
      </c>
      <c r="J51" s="448"/>
    </row>
    <row r="52" spans="1:10" x14ac:dyDescent="0.3">
      <c r="A52" s="445" t="s">
        <v>61</v>
      </c>
      <c r="B52" s="446"/>
      <c r="C52" s="447">
        <v>109400</v>
      </c>
      <c r="D52" s="448"/>
      <c r="E52" s="447">
        <v>109407</v>
      </c>
      <c r="F52" s="448"/>
      <c r="G52" s="447">
        <v>109372</v>
      </c>
      <c r="H52" s="448"/>
      <c r="I52" s="447">
        <v>109340</v>
      </c>
      <c r="J52" s="448"/>
    </row>
    <row r="53" spans="1:10" x14ac:dyDescent="0.3">
      <c r="A53" s="445" t="s">
        <v>62</v>
      </c>
      <c r="B53" s="446"/>
      <c r="C53" s="449">
        <v>234</v>
      </c>
      <c r="D53" s="450"/>
      <c r="E53" s="449">
        <v>234</v>
      </c>
      <c r="F53" s="450"/>
      <c r="G53" s="449">
        <v>234</v>
      </c>
      <c r="H53" s="450"/>
      <c r="I53" s="449">
        <v>234</v>
      </c>
      <c r="J53" s="450"/>
    </row>
    <row r="54" spans="1:10" x14ac:dyDescent="0.3">
      <c r="A54" s="445" t="s">
        <v>63</v>
      </c>
      <c r="B54" s="446"/>
      <c r="C54" s="447">
        <v>48566</v>
      </c>
      <c r="D54" s="448"/>
      <c r="E54" s="447">
        <v>48550</v>
      </c>
      <c r="F54" s="448"/>
      <c r="G54" s="447">
        <v>48556</v>
      </c>
      <c r="H54" s="448"/>
      <c r="I54" s="447">
        <v>48579</v>
      </c>
      <c r="J54" s="448"/>
    </row>
    <row r="55" spans="1:10" x14ac:dyDescent="0.3">
      <c r="A55" s="445" t="s">
        <v>64</v>
      </c>
      <c r="B55" s="446"/>
      <c r="C55" s="449">
        <v>6021</v>
      </c>
      <c r="D55" s="450"/>
      <c r="E55" s="449">
        <v>6020</v>
      </c>
      <c r="F55" s="450"/>
      <c r="G55" s="449">
        <v>6018</v>
      </c>
      <c r="H55" s="450"/>
      <c r="I55" s="449">
        <v>6016</v>
      </c>
      <c r="J55" s="450"/>
    </row>
    <row r="56" spans="1:10" x14ac:dyDescent="0.3">
      <c r="A56" s="445" t="s">
        <v>65</v>
      </c>
      <c r="B56" s="446"/>
      <c r="C56" s="447">
        <v>26730</v>
      </c>
      <c r="D56" s="448"/>
      <c r="E56" s="447">
        <v>26723</v>
      </c>
      <c r="F56" s="448"/>
      <c r="G56" s="447">
        <v>26719</v>
      </c>
      <c r="H56" s="448"/>
      <c r="I56" s="447">
        <v>26708</v>
      </c>
      <c r="J56" s="448"/>
    </row>
    <row r="57" spans="1:10" x14ac:dyDescent="0.3">
      <c r="A57" s="445" t="s">
        <v>66</v>
      </c>
      <c r="B57" s="446"/>
      <c r="C57" s="449">
        <v>4436</v>
      </c>
      <c r="D57" s="450"/>
      <c r="E57" s="449">
        <v>4437</v>
      </c>
      <c r="F57" s="450"/>
      <c r="G57" s="449">
        <v>4436</v>
      </c>
      <c r="H57" s="450"/>
      <c r="I57" s="449">
        <v>4438</v>
      </c>
      <c r="J57" s="450"/>
    </row>
    <row r="58" spans="1:10" x14ac:dyDescent="0.3">
      <c r="A58" s="445" t="s">
        <v>67</v>
      </c>
      <c r="B58" s="446"/>
      <c r="C58" s="451">
        <f>SUM(C50:D57)</f>
        <v>217003</v>
      </c>
      <c r="D58" s="452"/>
      <c r="E58" s="451">
        <f>SUM(E50:F57)</f>
        <v>217188</v>
      </c>
      <c r="F58" s="452"/>
      <c r="G58" s="451">
        <f>SUM(G50:H57)</f>
        <v>217276</v>
      </c>
      <c r="H58" s="452"/>
      <c r="I58" s="451">
        <f>SUM(I50:J57)</f>
        <v>217353</v>
      </c>
      <c r="J58" s="452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85" t="s">
        <v>68</v>
      </c>
      <c r="B60" s="286"/>
      <c r="C60" s="453" t="s">
        <v>77</v>
      </c>
      <c r="D60" s="454"/>
      <c r="E60" s="453" t="s">
        <v>92</v>
      </c>
      <c r="F60" s="454"/>
      <c r="G60" s="453" t="s">
        <v>110</v>
      </c>
      <c r="H60" s="454"/>
      <c r="I60" s="453" t="s">
        <v>125</v>
      </c>
      <c r="J60" s="454"/>
    </row>
    <row r="61" spans="1:10" x14ac:dyDescent="0.3">
      <c r="A61" s="287"/>
      <c r="B61" s="288"/>
      <c r="C61" s="297">
        <v>142812</v>
      </c>
      <c r="D61" s="298"/>
      <c r="E61" s="297">
        <v>142905</v>
      </c>
      <c r="F61" s="298"/>
      <c r="G61" s="297">
        <v>142982</v>
      </c>
      <c r="H61" s="298"/>
      <c r="I61" s="297">
        <v>143037</v>
      </c>
      <c r="J61" s="298"/>
    </row>
    <row r="62" spans="1:10" x14ac:dyDescent="0.3">
      <c r="A62" s="289"/>
      <c r="B62" s="290"/>
      <c r="C62" s="299"/>
      <c r="D62" s="300"/>
      <c r="E62" s="299"/>
      <c r="F62" s="300"/>
      <c r="G62" s="299"/>
      <c r="H62" s="300"/>
      <c r="I62" s="299"/>
      <c r="J62" s="300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7" t="s">
        <v>70</v>
      </c>
      <c r="D66" s="458"/>
      <c r="E66" s="459" t="s">
        <v>71</v>
      </c>
      <c r="F66" s="460"/>
      <c r="G66" s="459" t="s">
        <v>72</v>
      </c>
      <c r="H66" s="460"/>
      <c r="I66" s="459" t="s">
        <v>12</v>
      </c>
      <c r="J66" s="460"/>
    </row>
    <row r="67" spans="1:10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34028</v>
      </c>
      <c r="D69" s="266"/>
      <c r="E69" s="265">
        <v>34399</v>
      </c>
      <c r="F69" s="266"/>
      <c r="G69" s="265">
        <v>34768</v>
      </c>
      <c r="H69" s="266"/>
      <c r="I69" s="265">
        <v>34999</v>
      </c>
      <c r="J69" s="266"/>
    </row>
    <row r="70" spans="1:10" x14ac:dyDescent="0.3">
      <c r="A70" s="269" t="s">
        <v>16</v>
      </c>
      <c r="B70" s="270"/>
      <c r="C70" s="265">
        <v>7675</v>
      </c>
      <c r="D70" s="266"/>
      <c r="E70" s="265">
        <v>7731</v>
      </c>
      <c r="F70" s="266"/>
      <c r="G70" s="265">
        <v>7882</v>
      </c>
      <c r="H70" s="266"/>
      <c r="I70" s="265">
        <v>7925</v>
      </c>
      <c r="J70" s="266"/>
    </row>
    <row r="71" spans="1:10" x14ac:dyDescent="0.3">
      <c r="A71" s="267" t="s">
        <v>17</v>
      </c>
      <c r="B71" s="268"/>
      <c r="C71" s="265">
        <v>6925</v>
      </c>
      <c r="D71" s="266"/>
      <c r="E71" s="265">
        <v>7042</v>
      </c>
      <c r="F71" s="266"/>
      <c r="G71" s="265">
        <v>7191</v>
      </c>
      <c r="H71" s="266"/>
      <c r="I71" s="265">
        <v>7254</v>
      </c>
      <c r="J71" s="266"/>
    </row>
    <row r="72" spans="1:10" x14ac:dyDescent="0.3">
      <c r="A72" s="267" t="s">
        <v>75</v>
      </c>
      <c r="B72" s="268"/>
      <c r="C72" s="265">
        <v>1815</v>
      </c>
      <c r="D72" s="266"/>
      <c r="E72" s="265">
        <v>1869</v>
      </c>
      <c r="F72" s="266"/>
      <c r="G72" s="265">
        <v>1913</v>
      </c>
      <c r="H72" s="266"/>
      <c r="I72" s="265">
        <v>1936</v>
      </c>
      <c r="J72" s="266"/>
    </row>
    <row r="73" spans="1:10" x14ac:dyDescent="0.3">
      <c r="A73" s="269" t="s">
        <v>18</v>
      </c>
      <c r="B73" s="270"/>
      <c r="C73" s="265">
        <v>5548</v>
      </c>
      <c r="D73" s="266"/>
      <c r="E73" s="265">
        <v>5672</v>
      </c>
      <c r="F73" s="266"/>
      <c r="G73" s="265">
        <v>5804</v>
      </c>
      <c r="H73" s="266"/>
      <c r="I73" s="265">
        <v>5839</v>
      </c>
      <c r="J73" s="266"/>
    </row>
    <row r="74" spans="1:10" x14ac:dyDescent="0.3">
      <c r="A74" s="267" t="s">
        <v>19</v>
      </c>
      <c r="B74" s="268"/>
      <c r="C74" s="265">
        <v>5179</v>
      </c>
      <c r="D74" s="266"/>
      <c r="E74" s="265">
        <v>5228</v>
      </c>
      <c r="F74" s="266"/>
      <c r="G74" s="265">
        <v>5276</v>
      </c>
      <c r="H74" s="266"/>
      <c r="I74" s="265">
        <v>5310</v>
      </c>
      <c r="J74" s="266"/>
    </row>
    <row r="75" spans="1:10" x14ac:dyDescent="0.3">
      <c r="A75" s="269" t="s">
        <v>20</v>
      </c>
      <c r="B75" s="270"/>
      <c r="C75" s="265">
        <v>8698</v>
      </c>
      <c r="D75" s="266"/>
      <c r="E75" s="265">
        <v>8830</v>
      </c>
      <c r="F75" s="266"/>
      <c r="G75" s="265">
        <v>9073</v>
      </c>
      <c r="H75" s="266"/>
      <c r="I75" s="265">
        <v>9151</v>
      </c>
      <c r="J75" s="266"/>
    </row>
    <row r="76" spans="1:10" x14ac:dyDescent="0.3">
      <c r="A76" s="267" t="s">
        <v>21</v>
      </c>
      <c r="B76" s="268"/>
      <c r="C76" s="265">
        <v>1738</v>
      </c>
      <c r="D76" s="266"/>
      <c r="E76" s="265">
        <v>1761</v>
      </c>
      <c r="F76" s="266"/>
      <c r="G76" s="265">
        <v>1780</v>
      </c>
      <c r="H76" s="266"/>
      <c r="I76" s="265">
        <v>1791</v>
      </c>
      <c r="J76" s="266"/>
    </row>
    <row r="77" spans="1:10" x14ac:dyDescent="0.3">
      <c r="A77" s="269" t="s">
        <v>22</v>
      </c>
      <c r="B77" s="270"/>
      <c r="C77" s="265">
        <v>6742</v>
      </c>
      <c r="D77" s="266"/>
      <c r="E77" s="265">
        <v>6801</v>
      </c>
      <c r="F77" s="266"/>
      <c r="G77" s="265">
        <v>6898</v>
      </c>
      <c r="H77" s="266"/>
      <c r="I77" s="265">
        <v>6941</v>
      </c>
      <c r="J77" s="266"/>
    </row>
    <row r="78" spans="1:10" x14ac:dyDescent="0.3">
      <c r="A78" s="263" t="s">
        <v>76</v>
      </c>
      <c r="B78" s="264"/>
      <c r="C78" s="265">
        <f>SUM(C69:C77)</f>
        <v>78348</v>
      </c>
      <c r="D78" s="266"/>
      <c r="E78" s="265">
        <f>SUM(E69:E77)</f>
        <v>79333</v>
      </c>
      <c r="F78" s="266"/>
      <c r="G78" s="265">
        <f>SUM(G69:G77)</f>
        <v>80585</v>
      </c>
      <c r="H78" s="266"/>
      <c r="I78" s="265">
        <v>81146</v>
      </c>
      <c r="J78" s="266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4"/>
  <sheetViews>
    <sheetView workbookViewId="0">
      <selection activeCell="M76" sqref="M76"/>
    </sheetView>
  </sheetViews>
  <sheetFormatPr defaultRowHeight="14.4" x14ac:dyDescent="0.3"/>
  <cols>
    <col min="2" max="2" width="18.88671875" customWidth="1"/>
    <col min="12" max="12" width="14.88671875" customWidth="1"/>
    <col min="13" max="13" width="14" customWidth="1"/>
  </cols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2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ht="30.75" customHeight="1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ht="15" thickBot="1" x14ac:dyDescent="0.35">
      <c r="A4" s="263" t="s">
        <v>11</v>
      </c>
      <c r="B4" s="264"/>
      <c r="C4" s="395" t="s">
        <v>146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7"/>
      <c r="O4" s="396"/>
      <c r="P4" s="396"/>
      <c r="Q4" s="485"/>
    </row>
    <row r="5" spans="1:17" ht="15" thickBot="1" x14ac:dyDescent="0.35">
      <c r="A5" s="403" t="s">
        <v>13</v>
      </c>
      <c r="B5" s="404"/>
      <c r="C5" s="405">
        <v>5076</v>
      </c>
      <c r="D5" s="406"/>
      <c r="E5" s="405">
        <v>138</v>
      </c>
      <c r="F5" s="406"/>
      <c r="G5" s="405">
        <v>1</v>
      </c>
      <c r="H5" s="406"/>
      <c r="I5" s="405">
        <v>0</v>
      </c>
      <c r="J5" s="406"/>
      <c r="K5" s="405">
        <v>0</v>
      </c>
      <c r="L5" s="406"/>
      <c r="M5" s="6">
        <v>0</v>
      </c>
      <c r="N5" s="31">
        <v>260</v>
      </c>
      <c r="O5" s="33">
        <v>15608</v>
      </c>
      <c r="P5" s="34">
        <v>12770</v>
      </c>
      <c r="Q5" s="34">
        <v>10290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450</v>
      </c>
      <c r="D7" s="410"/>
      <c r="E7" s="409">
        <v>143</v>
      </c>
      <c r="F7" s="410"/>
      <c r="G7" s="409">
        <v>85</v>
      </c>
      <c r="H7" s="410"/>
      <c r="I7" s="409">
        <v>27</v>
      </c>
      <c r="J7" s="410"/>
      <c r="K7" s="409">
        <v>24</v>
      </c>
      <c r="L7" s="410"/>
      <c r="M7" s="9">
        <v>239</v>
      </c>
      <c r="N7" s="9">
        <v>118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343</v>
      </c>
      <c r="D8" s="410"/>
      <c r="E8" s="409">
        <v>6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15</v>
      </c>
      <c r="N8" s="9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344</v>
      </c>
      <c r="D9" s="410"/>
      <c r="E9" s="409">
        <v>38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23</v>
      </c>
      <c r="N9" s="9">
        <v>20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140</v>
      </c>
      <c r="D10" s="410"/>
      <c r="E10" s="409">
        <v>52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122</v>
      </c>
      <c r="N10" s="9">
        <v>37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102</v>
      </c>
      <c r="D11" s="410"/>
      <c r="E11" s="409">
        <v>0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10">
        <v>65</v>
      </c>
      <c r="N11" s="10">
        <v>265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2</v>
      </c>
      <c r="D12" s="410"/>
      <c r="E12" s="409">
        <v>55</v>
      </c>
      <c r="F12" s="410"/>
      <c r="G12" s="409">
        <v>0</v>
      </c>
      <c r="H12" s="410"/>
      <c r="I12" s="409">
        <v>0</v>
      </c>
      <c r="J12" s="410"/>
      <c r="K12" s="409">
        <v>0</v>
      </c>
      <c r="L12" s="410"/>
      <c r="M12" s="9">
        <v>8</v>
      </c>
      <c r="N12" s="9">
        <v>19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247</v>
      </c>
      <c r="D13" s="410"/>
      <c r="E13" s="409">
        <v>54</v>
      </c>
      <c r="F13" s="410"/>
      <c r="G13" s="409">
        <v>1</v>
      </c>
      <c r="H13" s="410"/>
      <c r="I13" s="409">
        <v>10</v>
      </c>
      <c r="J13" s="410"/>
      <c r="K13" s="409">
        <v>3</v>
      </c>
      <c r="L13" s="410"/>
      <c r="M13" s="9">
        <v>109</v>
      </c>
      <c r="N13" s="9">
        <v>43</v>
      </c>
      <c r="O13" s="9">
        <v>0</v>
      </c>
      <c r="P13" s="9">
        <v>0</v>
      </c>
      <c r="Q13" s="9">
        <v>0</v>
      </c>
    </row>
    <row r="14" spans="1:17" ht="15" thickBot="1" x14ac:dyDescent="0.35">
      <c r="A14" s="411" t="s">
        <v>22</v>
      </c>
      <c r="B14" s="412"/>
      <c r="C14" s="409">
        <v>340</v>
      </c>
      <c r="D14" s="410"/>
      <c r="E14" s="409">
        <v>123</v>
      </c>
      <c r="F14" s="410"/>
      <c r="G14" s="409">
        <v>44</v>
      </c>
      <c r="H14" s="410"/>
      <c r="I14" s="409">
        <v>2</v>
      </c>
      <c r="J14" s="410"/>
      <c r="K14" s="409">
        <v>2</v>
      </c>
      <c r="L14" s="410"/>
      <c r="M14" s="10">
        <v>158</v>
      </c>
      <c r="N14" s="10">
        <v>23</v>
      </c>
      <c r="O14" s="10">
        <v>0</v>
      </c>
      <c r="P14" s="10">
        <v>0</v>
      </c>
      <c r="Q14" s="10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32">
        <v>0</v>
      </c>
      <c r="O15" s="35">
        <v>2660</v>
      </c>
      <c r="P15" s="36">
        <v>1952</v>
      </c>
      <c r="Q15" s="36">
        <v>2003</v>
      </c>
    </row>
    <row r="16" spans="1:17" ht="15" thickBot="1" x14ac:dyDescent="0.35">
      <c r="A16" s="413" t="s">
        <v>24</v>
      </c>
      <c r="B16" s="414"/>
      <c r="C16" s="415">
        <f>SUM(C5:D15)</f>
        <v>7264</v>
      </c>
      <c r="D16" s="416"/>
      <c r="E16" s="415">
        <f>SUM(E5:F15)</f>
        <v>609</v>
      </c>
      <c r="F16" s="416"/>
      <c r="G16" s="415">
        <f>SUM(G5:H15)</f>
        <v>134</v>
      </c>
      <c r="H16" s="416"/>
      <c r="I16" s="415">
        <f>SUM(I5:J15)</f>
        <v>52</v>
      </c>
      <c r="J16" s="416"/>
      <c r="K16" s="415">
        <f>SUM(K5:L15)</f>
        <v>29</v>
      </c>
      <c r="L16" s="416"/>
      <c r="M16" s="13">
        <f>SUM(M5:M15)</f>
        <v>739</v>
      </c>
      <c r="N16" s="14">
        <f>SUM(N5:N15)</f>
        <v>796</v>
      </c>
      <c r="O16" s="15">
        <f>SUM(O5:O15)</f>
        <v>18352</v>
      </c>
      <c r="P16" s="16">
        <f>SUM(P5:P15)</f>
        <v>14764</v>
      </c>
      <c r="Q16" s="17">
        <f>SUM(Q5:Q15)</f>
        <v>12301</v>
      </c>
    </row>
    <row r="17" spans="1:17" ht="15" thickBot="1" x14ac:dyDescent="0.35">
      <c r="A17" s="425" t="s">
        <v>25</v>
      </c>
      <c r="B17" s="426"/>
      <c r="C17" s="427">
        <v>5076</v>
      </c>
      <c r="D17" s="428"/>
      <c r="E17" s="427">
        <v>138</v>
      </c>
      <c r="F17" s="428"/>
      <c r="G17" s="427">
        <v>1</v>
      </c>
      <c r="H17" s="428"/>
      <c r="I17" s="427">
        <v>0</v>
      </c>
      <c r="J17" s="428"/>
      <c r="K17" s="427">
        <v>0</v>
      </c>
      <c r="L17" s="428"/>
      <c r="M17" s="37">
        <v>0</v>
      </c>
      <c r="N17" s="38">
        <v>260</v>
      </c>
      <c r="O17" s="39">
        <v>15608</v>
      </c>
      <c r="P17" s="40">
        <v>12770</v>
      </c>
      <c r="Q17" s="40">
        <v>10290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43.2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146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465</v>
      </c>
      <c r="D24" s="410"/>
      <c r="E24" s="431" t="s">
        <v>147</v>
      </c>
      <c r="F24" s="432"/>
      <c r="G24" s="409">
        <v>0</v>
      </c>
      <c r="H24" s="410"/>
      <c r="I24" s="409">
        <v>19</v>
      </c>
      <c r="J24" s="410"/>
      <c r="K24" s="26">
        <v>0</v>
      </c>
      <c r="L24" s="27">
        <v>25</v>
      </c>
      <c r="M24" s="27">
        <v>6</v>
      </c>
    </row>
    <row r="25" spans="1:17" x14ac:dyDescent="0.3">
      <c r="A25" s="269" t="s">
        <v>16</v>
      </c>
      <c r="B25" s="270"/>
      <c r="C25" s="409">
        <v>114</v>
      </c>
      <c r="D25" s="410"/>
      <c r="E25" s="431" t="s">
        <v>148</v>
      </c>
      <c r="F25" s="432"/>
      <c r="G25" s="409">
        <v>0</v>
      </c>
      <c r="H25" s="410"/>
      <c r="I25" s="409">
        <v>51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70</v>
      </c>
      <c r="D26" s="410"/>
      <c r="E26" s="431" t="s">
        <v>149</v>
      </c>
      <c r="F26" s="432"/>
      <c r="G26" s="409">
        <v>24</v>
      </c>
      <c r="H26" s="410"/>
      <c r="I26" s="409">
        <v>41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128</v>
      </c>
      <c r="D27" s="432"/>
      <c r="E27" s="431" t="s">
        <v>150</v>
      </c>
      <c r="F27" s="432"/>
      <c r="G27" s="409">
        <v>0</v>
      </c>
      <c r="H27" s="410"/>
      <c r="I27" s="409">
        <v>15</v>
      </c>
      <c r="J27" s="410"/>
      <c r="K27" s="9">
        <v>6</v>
      </c>
      <c r="L27" s="29">
        <v>10</v>
      </c>
      <c r="M27" s="28">
        <v>7</v>
      </c>
    </row>
    <row r="28" spans="1:17" x14ac:dyDescent="0.3">
      <c r="A28" s="269" t="s">
        <v>19</v>
      </c>
      <c r="B28" s="270"/>
      <c r="C28" s="431" t="s">
        <v>34</v>
      </c>
      <c r="D28" s="432"/>
      <c r="E28" s="431" t="s">
        <v>151</v>
      </c>
      <c r="F28" s="432"/>
      <c r="G28" s="409">
        <v>0</v>
      </c>
      <c r="H28" s="410"/>
      <c r="I28" s="409">
        <v>13</v>
      </c>
      <c r="J28" s="410"/>
      <c r="K28" s="9">
        <v>4</v>
      </c>
      <c r="L28" s="28">
        <v>9</v>
      </c>
      <c r="M28" s="28">
        <v>7</v>
      </c>
    </row>
    <row r="29" spans="1:17" x14ac:dyDescent="0.3">
      <c r="A29" s="269" t="s">
        <v>20</v>
      </c>
      <c r="B29" s="270"/>
      <c r="C29" s="409">
        <v>60</v>
      </c>
      <c r="D29" s="410"/>
      <c r="E29" s="431" t="s">
        <v>152</v>
      </c>
      <c r="F29" s="432"/>
      <c r="G29" s="409">
        <v>0</v>
      </c>
      <c r="H29" s="410"/>
      <c r="I29" s="409">
        <v>0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1" t="s">
        <v>153</v>
      </c>
      <c r="D30" s="432"/>
      <c r="E30" s="431" t="s">
        <v>132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12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43.2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146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ht="15" customHeight="1" x14ac:dyDescent="0.3">
      <c r="A37" s="435" t="s">
        <v>15</v>
      </c>
      <c r="B37" s="436"/>
      <c r="C37" s="409" t="s">
        <v>141</v>
      </c>
      <c r="D37" s="410"/>
      <c r="E37" s="437" t="s">
        <v>142</v>
      </c>
      <c r="F37" s="438"/>
      <c r="G37" s="409" t="s">
        <v>40</v>
      </c>
      <c r="H37" s="410"/>
      <c r="I37" s="409" t="s">
        <v>41</v>
      </c>
      <c r="J37" s="410"/>
      <c r="K37" s="26">
        <v>0</v>
      </c>
      <c r="L37" s="27" t="s">
        <v>154</v>
      </c>
      <c r="M37" s="27" t="s">
        <v>155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156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157</v>
      </c>
      <c r="D39" s="410"/>
      <c r="E39" s="437" t="s">
        <v>158</v>
      </c>
      <c r="F39" s="438"/>
      <c r="G39" s="409" t="s">
        <v>159</v>
      </c>
      <c r="H39" s="410"/>
      <c r="I39" s="409" t="s">
        <v>86</v>
      </c>
      <c r="J39" s="410"/>
      <c r="K39" s="9" t="s">
        <v>45</v>
      </c>
      <c r="L39" s="28" t="s">
        <v>53</v>
      </c>
      <c r="M39" s="28" t="s">
        <v>88</v>
      </c>
    </row>
    <row r="40" spans="1:13" ht="15" customHeight="1" x14ac:dyDescent="0.3">
      <c r="A40" s="435" t="s">
        <v>18</v>
      </c>
      <c r="B40" s="436"/>
      <c r="C40" s="409">
        <v>0</v>
      </c>
      <c r="D40" s="410"/>
      <c r="E40" s="437" t="s">
        <v>160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ht="15" customHeight="1" x14ac:dyDescent="0.3">
      <c r="A41" s="435" t="s">
        <v>19</v>
      </c>
      <c r="B41" s="436"/>
      <c r="C41" s="409" t="s">
        <v>116</v>
      </c>
      <c r="D41" s="410"/>
      <c r="E41" s="437" t="s">
        <v>106</v>
      </c>
      <c r="F41" s="438"/>
      <c r="G41" s="409">
        <v>0</v>
      </c>
      <c r="H41" s="410"/>
      <c r="I41" s="409" t="s">
        <v>117</v>
      </c>
      <c r="J41" s="410"/>
      <c r="K41" s="9" t="s">
        <v>96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94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09" t="s">
        <v>99</v>
      </c>
      <c r="D43" s="410"/>
      <c r="E43" s="409" t="s">
        <v>144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161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4" x14ac:dyDescent="0.3">
      <c r="A49" s="441" t="s">
        <v>56</v>
      </c>
      <c r="B49" s="442"/>
      <c r="C49" s="443" t="s">
        <v>77</v>
      </c>
      <c r="D49" s="283"/>
      <c r="E49" s="443" t="s">
        <v>92</v>
      </c>
      <c r="F49" s="444"/>
      <c r="G49" s="443" t="s">
        <v>110</v>
      </c>
      <c r="H49" s="444"/>
      <c r="I49" s="483" t="s">
        <v>146</v>
      </c>
      <c r="J49" s="484"/>
    </row>
    <row r="50" spans="1:14" x14ac:dyDescent="0.3">
      <c r="A50" s="445" t="s">
        <v>59</v>
      </c>
      <c r="B50" s="446"/>
      <c r="C50" s="447">
        <v>9226</v>
      </c>
      <c r="D50" s="448"/>
      <c r="E50" s="447">
        <v>9186</v>
      </c>
      <c r="F50" s="448"/>
      <c r="G50" s="447">
        <v>9157</v>
      </c>
      <c r="H50" s="478"/>
      <c r="I50" s="482">
        <v>9090</v>
      </c>
      <c r="J50" s="482"/>
    </row>
    <row r="51" spans="1:14" x14ac:dyDescent="0.3">
      <c r="A51" s="445" t="s">
        <v>60</v>
      </c>
      <c r="B51" s="446"/>
      <c r="C51" s="447">
        <v>12390</v>
      </c>
      <c r="D51" s="448"/>
      <c r="E51" s="447">
        <v>12631</v>
      </c>
      <c r="F51" s="448"/>
      <c r="G51" s="447">
        <v>12784</v>
      </c>
      <c r="H51" s="478"/>
      <c r="I51" s="482">
        <v>13005</v>
      </c>
      <c r="J51" s="482"/>
    </row>
    <row r="52" spans="1:14" x14ac:dyDescent="0.3">
      <c r="A52" s="445" t="s">
        <v>61</v>
      </c>
      <c r="B52" s="446"/>
      <c r="C52" s="447">
        <v>109400</v>
      </c>
      <c r="D52" s="448"/>
      <c r="E52" s="447">
        <v>109407</v>
      </c>
      <c r="F52" s="448"/>
      <c r="G52" s="447">
        <v>109372</v>
      </c>
      <c r="H52" s="478"/>
      <c r="I52" s="479">
        <f>109244+30</f>
        <v>109274</v>
      </c>
      <c r="J52" s="480"/>
    </row>
    <row r="53" spans="1:14" x14ac:dyDescent="0.3">
      <c r="A53" s="445" t="s">
        <v>62</v>
      </c>
      <c r="B53" s="446"/>
      <c r="C53" s="449">
        <v>234</v>
      </c>
      <c r="D53" s="450"/>
      <c r="E53" s="449">
        <v>234</v>
      </c>
      <c r="F53" s="450"/>
      <c r="G53" s="449">
        <v>234</v>
      </c>
      <c r="H53" s="481"/>
      <c r="I53" s="479">
        <v>235</v>
      </c>
      <c r="J53" s="480"/>
    </row>
    <row r="54" spans="1:14" x14ac:dyDescent="0.3">
      <c r="A54" s="445" t="s">
        <v>63</v>
      </c>
      <c r="B54" s="446"/>
      <c r="C54" s="447">
        <v>48566</v>
      </c>
      <c r="D54" s="448"/>
      <c r="E54" s="447">
        <v>48550</v>
      </c>
      <c r="F54" s="448"/>
      <c r="G54" s="447">
        <v>48556</v>
      </c>
      <c r="H54" s="478"/>
      <c r="I54" s="479">
        <v>48589</v>
      </c>
      <c r="J54" s="480"/>
    </row>
    <row r="55" spans="1:14" x14ac:dyDescent="0.3">
      <c r="A55" s="445" t="s">
        <v>64</v>
      </c>
      <c r="B55" s="446"/>
      <c r="C55" s="449">
        <v>6021</v>
      </c>
      <c r="D55" s="450"/>
      <c r="E55" s="449">
        <v>6020</v>
      </c>
      <c r="F55" s="450"/>
      <c r="G55" s="449">
        <v>6018</v>
      </c>
      <c r="H55" s="481"/>
      <c r="I55" s="479">
        <v>5993</v>
      </c>
      <c r="J55" s="480"/>
    </row>
    <row r="56" spans="1:14" x14ac:dyDescent="0.3">
      <c r="A56" s="445" t="s">
        <v>65</v>
      </c>
      <c r="B56" s="446"/>
      <c r="C56" s="447">
        <v>26730</v>
      </c>
      <c r="D56" s="448"/>
      <c r="E56" s="447">
        <v>26723</v>
      </c>
      <c r="F56" s="448"/>
      <c r="G56" s="447">
        <v>26719</v>
      </c>
      <c r="H56" s="478"/>
      <c r="I56" s="479">
        <f>4681+21990</f>
        <v>26671</v>
      </c>
      <c r="J56" s="480"/>
    </row>
    <row r="57" spans="1:14" x14ac:dyDescent="0.3">
      <c r="A57" s="445" t="s">
        <v>66</v>
      </c>
      <c r="B57" s="446"/>
      <c r="C57" s="449">
        <v>4436</v>
      </c>
      <c r="D57" s="450"/>
      <c r="E57" s="449">
        <v>4437</v>
      </c>
      <c r="F57" s="450"/>
      <c r="G57" s="449">
        <v>4436</v>
      </c>
      <c r="H57" s="481"/>
      <c r="I57" s="479">
        <v>4440</v>
      </c>
      <c r="J57" s="480"/>
      <c r="N57" s="41"/>
    </row>
    <row r="58" spans="1:14" ht="15" thickBot="1" x14ac:dyDescent="0.35">
      <c r="A58" s="445" t="s">
        <v>67</v>
      </c>
      <c r="B58" s="446"/>
      <c r="C58" s="451">
        <f>SUM(C50:D57)</f>
        <v>217003</v>
      </c>
      <c r="D58" s="452"/>
      <c r="E58" s="451">
        <f>SUM(E50:F57)</f>
        <v>217188</v>
      </c>
      <c r="F58" s="452"/>
      <c r="G58" s="451">
        <f>SUM(G50:H57)</f>
        <v>217276</v>
      </c>
      <c r="H58" s="470"/>
      <c r="I58" s="471">
        <f>SUM(I50:J57)</f>
        <v>217297</v>
      </c>
      <c r="J58" s="472"/>
    </row>
    <row r="59" spans="1:1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4" x14ac:dyDescent="0.3">
      <c r="A60" s="285" t="s">
        <v>68</v>
      </c>
      <c r="B60" s="286"/>
      <c r="C60" s="42" t="s">
        <v>77</v>
      </c>
      <c r="D60" s="43"/>
      <c r="E60" s="42" t="s">
        <v>92</v>
      </c>
      <c r="F60" s="43"/>
      <c r="G60" s="473" t="s">
        <v>110</v>
      </c>
      <c r="H60" s="474"/>
      <c r="I60" s="473" t="s">
        <v>146</v>
      </c>
      <c r="J60" s="474"/>
    </row>
    <row r="61" spans="1:14" x14ac:dyDescent="0.3">
      <c r="A61" s="287"/>
      <c r="B61" s="288"/>
      <c r="C61" s="297">
        <v>142812</v>
      </c>
      <c r="D61" s="475"/>
      <c r="E61" s="297">
        <v>142905</v>
      </c>
      <c r="F61" s="475"/>
      <c r="G61" s="297">
        <v>142982</v>
      </c>
      <c r="H61" s="298"/>
      <c r="I61" s="297">
        <v>143007</v>
      </c>
      <c r="J61" s="298"/>
    </row>
    <row r="62" spans="1:14" x14ac:dyDescent="0.3">
      <c r="A62" s="289"/>
      <c r="B62" s="290"/>
      <c r="C62" s="476"/>
      <c r="D62" s="477"/>
      <c r="E62" s="476"/>
      <c r="F62" s="477"/>
      <c r="G62" s="299"/>
      <c r="H62" s="300"/>
      <c r="I62" s="299"/>
      <c r="J62" s="300"/>
    </row>
    <row r="64" spans="1:1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9" t="s">
        <v>71</v>
      </c>
      <c r="D66" s="460"/>
      <c r="E66" s="459" t="s">
        <v>72</v>
      </c>
      <c r="F66" s="460"/>
      <c r="G66" s="459" t="s">
        <v>12</v>
      </c>
      <c r="H66" s="460"/>
      <c r="I66" s="459" t="s">
        <v>125</v>
      </c>
      <c r="J66" s="460"/>
    </row>
    <row r="67" spans="1:10" ht="15" customHeight="1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34399</v>
      </c>
      <c r="D69" s="266"/>
      <c r="E69" s="265">
        <v>34768</v>
      </c>
      <c r="F69" s="266"/>
      <c r="G69" s="265">
        <v>34999</v>
      </c>
      <c r="H69" s="266"/>
      <c r="I69" s="265">
        <v>35287</v>
      </c>
      <c r="J69" s="266"/>
    </row>
    <row r="70" spans="1:10" x14ac:dyDescent="0.3">
      <c r="A70" s="269" t="s">
        <v>16</v>
      </c>
      <c r="B70" s="270"/>
      <c r="C70" s="265">
        <v>7731</v>
      </c>
      <c r="D70" s="266"/>
      <c r="E70" s="265">
        <v>7882</v>
      </c>
      <c r="F70" s="266"/>
      <c r="G70" s="265">
        <v>7925</v>
      </c>
      <c r="H70" s="266"/>
      <c r="I70" s="265">
        <v>8017</v>
      </c>
      <c r="J70" s="266"/>
    </row>
    <row r="71" spans="1:10" x14ac:dyDescent="0.3">
      <c r="A71" s="267" t="s">
        <v>17</v>
      </c>
      <c r="B71" s="268"/>
      <c r="C71" s="265">
        <v>7042</v>
      </c>
      <c r="D71" s="266"/>
      <c r="E71" s="265">
        <v>7191</v>
      </c>
      <c r="F71" s="266"/>
      <c r="G71" s="265">
        <v>7254</v>
      </c>
      <c r="H71" s="266"/>
      <c r="I71" s="265">
        <v>7317</v>
      </c>
      <c r="J71" s="266"/>
    </row>
    <row r="72" spans="1:10" x14ac:dyDescent="0.3">
      <c r="A72" s="267" t="s">
        <v>75</v>
      </c>
      <c r="B72" s="268"/>
      <c r="C72" s="265">
        <v>1869</v>
      </c>
      <c r="D72" s="266"/>
      <c r="E72" s="265">
        <v>1913</v>
      </c>
      <c r="F72" s="266"/>
      <c r="G72" s="265">
        <v>1936</v>
      </c>
      <c r="H72" s="266"/>
      <c r="I72" s="265">
        <v>1970</v>
      </c>
      <c r="J72" s="266"/>
    </row>
    <row r="73" spans="1:10" x14ac:dyDescent="0.3">
      <c r="A73" s="269" t="s">
        <v>18</v>
      </c>
      <c r="B73" s="270"/>
      <c r="C73" s="265">
        <v>5672</v>
      </c>
      <c r="D73" s="266"/>
      <c r="E73" s="265">
        <v>5804</v>
      </c>
      <c r="F73" s="266"/>
      <c r="G73" s="265">
        <v>5839</v>
      </c>
      <c r="H73" s="266"/>
      <c r="I73" s="265">
        <v>5921</v>
      </c>
      <c r="J73" s="266"/>
    </row>
    <row r="74" spans="1:10" x14ac:dyDescent="0.3">
      <c r="A74" s="267" t="s">
        <v>19</v>
      </c>
      <c r="B74" s="268"/>
      <c r="C74" s="265">
        <v>5228</v>
      </c>
      <c r="D74" s="266"/>
      <c r="E74" s="265">
        <v>5276</v>
      </c>
      <c r="F74" s="266"/>
      <c r="G74" s="265">
        <v>5310</v>
      </c>
      <c r="H74" s="266"/>
      <c r="I74" s="265">
        <v>5374</v>
      </c>
      <c r="J74" s="266"/>
    </row>
    <row r="75" spans="1:10" x14ac:dyDescent="0.3">
      <c r="A75" s="269" t="s">
        <v>20</v>
      </c>
      <c r="B75" s="270"/>
      <c r="C75" s="265">
        <v>8830</v>
      </c>
      <c r="D75" s="266"/>
      <c r="E75" s="265">
        <v>9073</v>
      </c>
      <c r="F75" s="266"/>
      <c r="G75" s="265">
        <v>9151</v>
      </c>
      <c r="H75" s="266"/>
      <c r="I75" s="265">
        <v>9255</v>
      </c>
      <c r="J75" s="266"/>
    </row>
    <row r="76" spans="1:10" x14ac:dyDescent="0.3">
      <c r="A76" s="267" t="s">
        <v>21</v>
      </c>
      <c r="B76" s="268"/>
      <c r="C76" s="265">
        <v>1761</v>
      </c>
      <c r="D76" s="266"/>
      <c r="E76" s="265">
        <v>1780</v>
      </c>
      <c r="F76" s="266"/>
      <c r="G76" s="265">
        <v>1791</v>
      </c>
      <c r="H76" s="266"/>
      <c r="I76" s="265">
        <v>1805</v>
      </c>
      <c r="J76" s="266"/>
    </row>
    <row r="77" spans="1:10" x14ac:dyDescent="0.3">
      <c r="A77" s="269" t="s">
        <v>22</v>
      </c>
      <c r="B77" s="270"/>
      <c r="C77" s="265">
        <v>6801</v>
      </c>
      <c r="D77" s="266"/>
      <c r="E77" s="265">
        <v>6898</v>
      </c>
      <c r="F77" s="266"/>
      <c r="G77" s="265">
        <v>6941</v>
      </c>
      <c r="H77" s="266"/>
      <c r="I77" s="265">
        <v>7003</v>
      </c>
      <c r="J77" s="266"/>
    </row>
    <row r="78" spans="1:10" x14ac:dyDescent="0.3">
      <c r="A78" s="263" t="s">
        <v>76</v>
      </c>
      <c r="B78" s="264"/>
      <c r="C78" s="265">
        <f>SUM(C69:C77)</f>
        <v>79333</v>
      </c>
      <c r="D78" s="266"/>
      <c r="E78" s="265">
        <f>SUM(E69:E77)</f>
        <v>80585</v>
      </c>
      <c r="F78" s="266"/>
      <c r="G78" s="265">
        <f>SUM(G69:G77)</f>
        <v>81146</v>
      </c>
      <c r="H78" s="266"/>
      <c r="I78" s="265">
        <v>81949</v>
      </c>
      <c r="J78" s="266"/>
    </row>
    <row r="80" spans="1:10" ht="15" thickBot="1" x14ac:dyDescent="0.35"/>
    <row r="81" spans="1:5" ht="15" thickBot="1" x14ac:dyDescent="0.35">
      <c r="A81" s="467"/>
      <c r="B81" s="468"/>
      <c r="C81" s="468"/>
      <c r="D81" s="468"/>
      <c r="E81" s="469"/>
    </row>
    <row r="82" spans="1:5" ht="15" thickBot="1" x14ac:dyDescent="0.35">
      <c r="A82" s="44"/>
      <c r="B82" s="45"/>
      <c r="C82" s="45"/>
      <c r="D82" s="45"/>
      <c r="E82" s="45"/>
    </row>
    <row r="83" spans="1:5" x14ac:dyDescent="0.3">
      <c r="A83" s="463"/>
      <c r="B83" s="46"/>
      <c r="C83" s="465"/>
      <c r="D83" s="465"/>
      <c r="E83" s="465"/>
    </row>
    <row r="84" spans="1:5" ht="15" thickBot="1" x14ac:dyDescent="0.35">
      <c r="A84" s="464"/>
      <c r="B84" s="47"/>
      <c r="C84" s="466"/>
      <c r="D84" s="466"/>
      <c r="E84" s="466"/>
    </row>
    <row r="85" spans="1:5" ht="15" thickBot="1" x14ac:dyDescent="0.35">
      <c r="A85" s="48"/>
      <c r="B85" s="49"/>
      <c r="C85" s="50"/>
      <c r="D85" s="51"/>
      <c r="E85" s="49"/>
    </row>
    <row r="86" spans="1:5" ht="15" thickBot="1" x14ac:dyDescent="0.35">
      <c r="A86" s="48"/>
      <c r="B86" s="49"/>
      <c r="C86" s="49"/>
      <c r="D86" s="49"/>
      <c r="E86" s="49"/>
    </row>
    <row r="87" spans="1:5" ht="15" thickBot="1" x14ac:dyDescent="0.35">
      <c r="A87" s="48"/>
      <c r="B87" s="49"/>
      <c r="C87" s="49"/>
      <c r="D87" s="49"/>
      <c r="E87" s="49"/>
    </row>
    <row r="88" spans="1:5" ht="15" thickBot="1" x14ac:dyDescent="0.35">
      <c r="A88" s="48"/>
      <c r="B88" s="49"/>
      <c r="C88" s="49"/>
      <c r="D88" s="49"/>
      <c r="E88" s="49"/>
    </row>
    <row r="89" spans="1:5" ht="15" thickBot="1" x14ac:dyDescent="0.35">
      <c r="A89" s="48"/>
      <c r="B89" s="49"/>
      <c r="C89" s="49"/>
      <c r="D89" s="49"/>
      <c r="E89" s="49"/>
    </row>
    <row r="90" spans="1:5" ht="15" thickBot="1" x14ac:dyDescent="0.35">
      <c r="A90" s="48"/>
      <c r="B90" s="49"/>
      <c r="C90" s="49"/>
      <c r="D90" s="49"/>
      <c r="E90" s="49"/>
    </row>
    <row r="91" spans="1:5" ht="15" thickBot="1" x14ac:dyDescent="0.35">
      <c r="A91" s="48"/>
      <c r="B91" s="49"/>
      <c r="C91" s="49"/>
      <c r="D91" s="49"/>
      <c r="E91" s="49"/>
    </row>
    <row r="92" spans="1:5" ht="15" thickBot="1" x14ac:dyDescent="0.35">
      <c r="A92" s="48"/>
      <c r="B92" s="49"/>
      <c r="C92" s="49"/>
      <c r="D92" s="49"/>
      <c r="E92" s="49"/>
    </row>
    <row r="93" spans="1:5" ht="15" thickBot="1" x14ac:dyDescent="0.35">
      <c r="A93" s="48"/>
      <c r="B93" s="49"/>
      <c r="C93" s="49"/>
      <c r="D93" s="49"/>
      <c r="E93" s="49"/>
    </row>
    <row r="94" spans="1:5" ht="15" thickBot="1" x14ac:dyDescent="0.35">
      <c r="A94" s="52"/>
      <c r="B94" s="49"/>
      <c r="C94" s="49"/>
      <c r="D94" s="49"/>
      <c r="E94" s="49"/>
    </row>
  </sheetData>
  <mergeCells count="313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G61:H62"/>
    <mergeCell ref="I61:J62"/>
    <mergeCell ref="A65:J65"/>
    <mergeCell ref="A66:B66"/>
    <mergeCell ref="C66:D66"/>
    <mergeCell ref="E66:F66"/>
    <mergeCell ref="G66:H66"/>
    <mergeCell ref="I66:J66"/>
    <mergeCell ref="A58:B58"/>
    <mergeCell ref="C58:D58"/>
    <mergeCell ref="E58:F58"/>
    <mergeCell ref="G58:H58"/>
    <mergeCell ref="I58:J58"/>
    <mergeCell ref="A60:B62"/>
    <mergeCell ref="G60:H60"/>
    <mergeCell ref="I60:J60"/>
    <mergeCell ref="C61:D62"/>
    <mergeCell ref="E61:F62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83:A84"/>
    <mergeCell ref="C83:C84"/>
    <mergeCell ref="D83:D84"/>
    <mergeCell ref="E83:E84"/>
    <mergeCell ref="A78:B78"/>
    <mergeCell ref="C78:D78"/>
    <mergeCell ref="E78:F78"/>
    <mergeCell ref="G78:H78"/>
    <mergeCell ref="I78:J78"/>
    <mergeCell ref="A81:E81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8"/>
  <sheetViews>
    <sheetView topLeftCell="A52" workbookViewId="0">
      <selection activeCell="A64" sqref="A64:J78"/>
    </sheetView>
  </sheetViews>
  <sheetFormatPr defaultRowHeight="14.4" x14ac:dyDescent="0.3"/>
  <cols>
    <col min="2" max="2" width="18.88671875" customWidth="1"/>
    <col min="12" max="12" width="14.88671875" customWidth="1"/>
    <col min="13" max="13" width="14" customWidth="1"/>
  </cols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175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ht="30.75" customHeight="1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162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6"/>
      <c r="O4" s="396"/>
      <c r="P4" s="396"/>
      <c r="Q4" s="485"/>
    </row>
    <row r="5" spans="1:17" x14ac:dyDescent="0.3">
      <c r="A5" s="403" t="s">
        <v>13</v>
      </c>
      <c r="B5" s="404"/>
      <c r="C5" s="405">
        <v>5076</v>
      </c>
      <c r="D5" s="406"/>
      <c r="E5" s="405">
        <v>170</v>
      </c>
      <c r="F5" s="406"/>
      <c r="G5" s="405">
        <v>0</v>
      </c>
      <c r="H5" s="406"/>
      <c r="I5" s="405">
        <v>0</v>
      </c>
      <c r="J5" s="406"/>
      <c r="K5" s="405">
        <v>0</v>
      </c>
      <c r="L5" s="406"/>
      <c r="M5" s="6">
        <v>3060</v>
      </c>
      <c r="N5" s="31">
        <v>260</v>
      </c>
      <c r="O5" s="7">
        <v>14688</v>
      </c>
      <c r="P5" s="7">
        <v>11590</v>
      </c>
      <c r="Q5" s="7">
        <v>9380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31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406</v>
      </c>
      <c r="D7" s="410"/>
      <c r="E7" s="409">
        <v>128</v>
      </c>
      <c r="F7" s="410"/>
      <c r="G7" s="409">
        <v>85</v>
      </c>
      <c r="H7" s="410"/>
      <c r="I7" s="409">
        <v>27</v>
      </c>
      <c r="J7" s="410"/>
      <c r="K7" s="409">
        <v>7</v>
      </c>
      <c r="L7" s="410"/>
      <c r="M7" s="9">
        <v>193</v>
      </c>
      <c r="N7" s="53">
        <v>118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340</v>
      </c>
      <c r="D8" s="410"/>
      <c r="E8" s="409">
        <v>6</v>
      </c>
      <c r="F8" s="410"/>
      <c r="G8" s="409">
        <v>0</v>
      </c>
      <c r="H8" s="410"/>
      <c r="I8" s="409">
        <v>12</v>
      </c>
      <c r="J8" s="410"/>
      <c r="K8" s="409">
        <v>0</v>
      </c>
      <c r="L8" s="410"/>
      <c r="M8" s="9">
        <v>9</v>
      </c>
      <c r="N8" s="53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318</v>
      </c>
      <c r="D9" s="410"/>
      <c r="E9" s="409">
        <v>35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13</v>
      </c>
      <c r="N9" s="53">
        <v>18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140</v>
      </c>
      <c r="D10" s="410"/>
      <c r="E10" s="409">
        <v>41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100</v>
      </c>
      <c r="N10" s="53">
        <v>25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82</v>
      </c>
      <c r="D11" s="410"/>
      <c r="E11" s="409">
        <v>0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10">
        <v>30</v>
      </c>
      <c r="N11" s="32">
        <v>250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2</v>
      </c>
      <c r="D12" s="410"/>
      <c r="E12" s="409">
        <v>40</v>
      </c>
      <c r="F12" s="410"/>
      <c r="G12" s="409">
        <v>0</v>
      </c>
      <c r="H12" s="410"/>
      <c r="I12" s="409">
        <v>0</v>
      </c>
      <c r="J12" s="410"/>
      <c r="K12" s="409">
        <v>0</v>
      </c>
      <c r="L12" s="410"/>
      <c r="M12" s="9">
        <v>28</v>
      </c>
      <c r="N12" s="53">
        <v>18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241</v>
      </c>
      <c r="D13" s="410"/>
      <c r="E13" s="409">
        <v>54</v>
      </c>
      <c r="F13" s="410"/>
      <c r="G13" s="409">
        <v>1</v>
      </c>
      <c r="H13" s="410"/>
      <c r="I13" s="409">
        <v>10</v>
      </c>
      <c r="J13" s="410"/>
      <c r="K13" s="409">
        <v>3</v>
      </c>
      <c r="L13" s="410"/>
      <c r="M13" s="9">
        <v>100</v>
      </c>
      <c r="N13" s="53">
        <v>41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321</v>
      </c>
      <c r="D14" s="410"/>
      <c r="E14" s="409">
        <v>110</v>
      </c>
      <c r="F14" s="410"/>
      <c r="G14" s="409">
        <v>39</v>
      </c>
      <c r="H14" s="410"/>
      <c r="I14" s="409">
        <v>2</v>
      </c>
      <c r="J14" s="410"/>
      <c r="K14" s="409">
        <v>2</v>
      </c>
      <c r="L14" s="410"/>
      <c r="M14" s="10">
        <v>112</v>
      </c>
      <c r="N14" s="32">
        <v>18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32">
        <v>0</v>
      </c>
      <c r="O15" s="57">
        <v>3238</v>
      </c>
      <c r="P15" s="56">
        <v>2659</v>
      </c>
      <c r="Q15" s="57">
        <v>2550</v>
      </c>
    </row>
    <row r="16" spans="1:17" ht="15" thickBot="1" x14ac:dyDescent="0.35">
      <c r="A16" s="413" t="s">
        <v>24</v>
      </c>
      <c r="B16" s="414"/>
      <c r="C16" s="415">
        <f>SUM(C5:D15)</f>
        <v>7146</v>
      </c>
      <c r="D16" s="416"/>
      <c r="E16" s="415">
        <f>SUM(E5:F15)</f>
        <v>584</v>
      </c>
      <c r="F16" s="416"/>
      <c r="G16" s="415">
        <f>SUM(G5:H15)</f>
        <v>128</v>
      </c>
      <c r="H16" s="416"/>
      <c r="I16" s="415">
        <f>SUM(I5:J15)</f>
        <v>52</v>
      </c>
      <c r="J16" s="416"/>
      <c r="K16" s="415">
        <f>SUM(K5:L15)</f>
        <v>12</v>
      </c>
      <c r="L16" s="416"/>
      <c r="M16" s="13">
        <f>SUM(M5:M15)</f>
        <v>3645</v>
      </c>
      <c r="N16" s="14">
        <f>SUM(N5:N15)</f>
        <v>759</v>
      </c>
      <c r="O16" s="15">
        <f>SUM(O5:O15)</f>
        <v>18010</v>
      </c>
      <c r="P16" s="16">
        <f>SUM(P5:P15)</f>
        <v>14291</v>
      </c>
      <c r="Q16" s="17">
        <f>SUM(Q5:Q15)</f>
        <v>11938</v>
      </c>
    </row>
    <row r="17" spans="1:17" x14ac:dyDescent="0.3">
      <c r="A17" s="425" t="s">
        <v>25</v>
      </c>
      <c r="B17" s="426"/>
      <c r="C17" s="427">
        <v>4876</v>
      </c>
      <c r="D17" s="428"/>
      <c r="E17" s="427">
        <v>170</v>
      </c>
      <c r="F17" s="428"/>
      <c r="G17" s="427">
        <v>0</v>
      </c>
      <c r="H17" s="428"/>
      <c r="I17" s="427">
        <v>0</v>
      </c>
      <c r="J17" s="428"/>
      <c r="K17" s="427">
        <v>0</v>
      </c>
      <c r="L17" s="428"/>
      <c r="M17" s="37">
        <v>3060</v>
      </c>
      <c r="N17" s="38">
        <v>160</v>
      </c>
      <c r="O17" s="7">
        <v>14688</v>
      </c>
      <c r="P17" s="7">
        <v>11590</v>
      </c>
      <c r="Q17" s="7">
        <v>9380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43.2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162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515</v>
      </c>
      <c r="D24" s="410"/>
      <c r="E24" s="431" t="s">
        <v>166</v>
      </c>
      <c r="F24" s="432"/>
      <c r="G24" s="409">
        <v>0</v>
      </c>
      <c r="H24" s="410"/>
      <c r="I24" s="409">
        <v>37</v>
      </c>
      <c r="J24" s="410"/>
      <c r="K24" s="26">
        <v>0</v>
      </c>
      <c r="L24" s="27">
        <v>28</v>
      </c>
      <c r="M24" s="27">
        <v>8</v>
      </c>
    </row>
    <row r="25" spans="1:17" x14ac:dyDescent="0.3">
      <c r="A25" s="269" t="s">
        <v>16</v>
      </c>
      <c r="B25" s="270"/>
      <c r="C25" s="409">
        <v>112</v>
      </c>
      <c r="D25" s="410"/>
      <c r="E25" s="431" t="s">
        <v>171</v>
      </c>
      <c r="F25" s="432"/>
      <c r="G25" s="409">
        <v>0</v>
      </c>
      <c r="H25" s="410"/>
      <c r="I25" s="409">
        <v>51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66</v>
      </c>
      <c r="D26" s="410"/>
      <c r="E26" s="431" t="s">
        <v>163</v>
      </c>
      <c r="F26" s="432"/>
      <c r="G26" s="409">
        <v>15</v>
      </c>
      <c r="H26" s="410"/>
      <c r="I26" s="409">
        <v>37</v>
      </c>
      <c r="J26" s="410"/>
      <c r="K26" s="9">
        <v>4</v>
      </c>
      <c r="L26" s="28">
        <v>5</v>
      </c>
      <c r="M26" s="28">
        <v>4</v>
      </c>
    </row>
    <row r="27" spans="1:17" x14ac:dyDescent="0.3">
      <c r="A27" s="269" t="s">
        <v>18</v>
      </c>
      <c r="B27" s="270"/>
      <c r="C27" s="431" t="s">
        <v>128</v>
      </c>
      <c r="D27" s="432"/>
      <c r="E27" s="431" t="s">
        <v>168</v>
      </c>
      <c r="F27" s="432"/>
      <c r="G27" s="409">
        <v>0</v>
      </c>
      <c r="H27" s="410"/>
      <c r="I27" s="409">
        <v>20</v>
      </c>
      <c r="J27" s="410"/>
      <c r="K27" s="9">
        <v>3</v>
      </c>
      <c r="L27" s="29">
        <v>5</v>
      </c>
      <c r="M27" s="28">
        <v>2</v>
      </c>
    </row>
    <row r="28" spans="1:17" x14ac:dyDescent="0.3">
      <c r="A28" s="269" t="s">
        <v>19</v>
      </c>
      <c r="B28" s="270"/>
      <c r="C28" s="431" t="s">
        <v>34</v>
      </c>
      <c r="D28" s="432"/>
      <c r="E28" s="431" t="s">
        <v>170</v>
      </c>
      <c r="F28" s="432"/>
      <c r="G28" s="409">
        <v>0</v>
      </c>
      <c r="H28" s="410"/>
      <c r="I28" s="409">
        <v>17</v>
      </c>
      <c r="J28" s="410"/>
      <c r="K28" s="9">
        <v>5</v>
      </c>
      <c r="L28" s="28">
        <v>12</v>
      </c>
      <c r="M28" s="28">
        <v>9</v>
      </c>
    </row>
    <row r="29" spans="1:17" x14ac:dyDescent="0.3">
      <c r="A29" s="269" t="s">
        <v>20</v>
      </c>
      <c r="B29" s="270"/>
      <c r="C29" s="409">
        <v>52</v>
      </c>
      <c r="D29" s="410"/>
      <c r="E29" s="431" t="s">
        <v>167</v>
      </c>
      <c r="F29" s="432"/>
      <c r="G29" s="409">
        <v>0</v>
      </c>
      <c r="H29" s="410"/>
      <c r="I29" s="409">
        <v>0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1" t="s">
        <v>173</v>
      </c>
      <c r="D30" s="432"/>
      <c r="E30" s="431" t="s">
        <v>132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11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43.2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162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ht="15" customHeight="1" x14ac:dyDescent="0.3">
      <c r="A37" s="435" t="s">
        <v>15</v>
      </c>
      <c r="B37" s="436"/>
      <c r="C37" s="409" t="s">
        <v>141</v>
      </c>
      <c r="D37" s="410"/>
      <c r="E37" s="437" t="s">
        <v>142</v>
      </c>
      <c r="F37" s="438"/>
      <c r="G37" s="409" t="s">
        <v>40</v>
      </c>
      <c r="H37" s="410"/>
      <c r="I37" s="409" t="s">
        <v>41</v>
      </c>
      <c r="J37" s="410"/>
      <c r="K37" s="26">
        <v>0</v>
      </c>
      <c r="L37" s="27" t="s">
        <v>104</v>
      </c>
      <c r="M37" s="27" t="s">
        <v>155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172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134</v>
      </c>
      <c r="D39" s="410"/>
      <c r="E39" s="437" t="s">
        <v>164</v>
      </c>
      <c r="F39" s="438"/>
      <c r="G39" s="409" t="s">
        <v>103</v>
      </c>
      <c r="H39" s="410"/>
      <c r="I39" s="409" t="s">
        <v>165</v>
      </c>
      <c r="J39" s="410"/>
      <c r="K39" s="9" t="s">
        <v>45</v>
      </c>
      <c r="L39" s="28" t="s">
        <v>53</v>
      </c>
      <c r="M39" s="28" t="s">
        <v>88</v>
      </c>
    </row>
    <row r="40" spans="1:13" ht="15" customHeight="1" x14ac:dyDescent="0.3">
      <c r="A40" s="435" t="s">
        <v>18</v>
      </c>
      <c r="B40" s="436"/>
      <c r="C40" s="409">
        <v>0</v>
      </c>
      <c r="D40" s="410"/>
      <c r="E40" s="437" t="s">
        <v>169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ht="15" customHeight="1" x14ac:dyDescent="0.3">
      <c r="A41" s="435" t="s">
        <v>19</v>
      </c>
      <c r="B41" s="436"/>
      <c r="C41" s="409" t="s">
        <v>116</v>
      </c>
      <c r="D41" s="410"/>
      <c r="E41" s="437" t="s">
        <v>106</v>
      </c>
      <c r="F41" s="438"/>
      <c r="G41" s="409">
        <v>0</v>
      </c>
      <c r="H41" s="410"/>
      <c r="I41" s="409" t="s">
        <v>117</v>
      </c>
      <c r="J41" s="410"/>
      <c r="K41" s="9" t="s">
        <v>52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94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09" t="s">
        <v>99</v>
      </c>
      <c r="D43" s="410"/>
      <c r="E43" s="409" t="s">
        <v>174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161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4" x14ac:dyDescent="0.3">
      <c r="A49" s="441" t="s">
        <v>56</v>
      </c>
      <c r="B49" s="442"/>
      <c r="C49" s="443" t="s">
        <v>92</v>
      </c>
      <c r="D49" s="444"/>
      <c r="E49" s="443" t="s">
        <v>110</v>
      </c>
      <c r="F49" s="444"/>
      <c r="G49" s="483" t="s">
        <v>146</v>
      </c>
      <c r="H49" s="484"/>
      <c r="I49" s="483" t="s">
        <v>162</v>
      </c>
      <c r="J49" s="484"/>
    </row>
    <row r="50" spans="1:14" x14ac:dyDescent="0.3">
      <c r="A50" s="445" t="s">
        <v>59</v>
      </c>
      <c r="B50" s="446"/>
      <c r="C50" s="447">
        <v>9186</v>
      </c>
      <c r="D50" s="448"/>
      <c r="E50" s="447">
        <v>9157</v>
      </c>
      <c r="F50" s="478"/>
      <c r="G50" s="482">
        <v>9090</v>
      </c>
      <c r="H50" s="482"/>
      <c r="I50" s="482">
        <v>9068</v>
      </c>
      <c r="J50" s="482"/>
    </row>
    <row r="51" spans="1:14" x14ac:dyDescent="0.3">
      <c r="A51" s="445" t="s">
        <v>60</v>
      </c>
      <c r="B51" s="446"/>
      <c r="C51" s="447">
        <v>12631</v>
      </c>
      <c r="D51" s="448"/>
      <c r="E51" s="447">
        <v>12784</v>
      </c>
      <c r="F51" s="478"/>
      <c r="G51" s="482">
        <v>13005</v>
      </c>
      <c r="H51" s="482"/>
      <c r="I51" s="482">
        <v>13081</v>
      </c>
      <c r="J51" s="482"/>
    </row>
    <row r="52" spans="1:14" x14ac:dyDescent="0.3">
      <c r="A52" s="445" t="s">
        <v>61</v>
      </c>
      <c r="B52" s="446"/>
      <c r="C52" s="447">
        <v>109407</v>
      </c>
      <c r="D52" s="448"/>
      <c r="E52" s="447">
        <v>109372</v>
      </c>
      <c r="F52" s="478"/>
      <c r="G52" s="479">
        <f>109244+30</f>
        <v>109274</v>
      </c>
      <c r="H52" s="480"/>
      <c r="I52" s="479">
        <v>109344</v>
      </c>
      <c r="J52" s="480"/>
    </row>
    <row r="53" spans="1:14" x14ac:dyDescent="0.3">
      <c r="A53" s="445" t="s">
        <v>62</v>
      </c>
      <c r="B53" s="446"/>
      <c r="C53" s="449">
        <v>234</v>
      </c>
      <c r="D53" s="450"/>
      <c r="E53" s="449">
        <v>234</v>
      </c>
      <c r="F53" s="481"/>
      <c r="G53" s="479">
        <v>235</v>
      </c>
      <c r="H53" s="480"/>
      <c r="I53" s="479">
        <v>235</v>
      </c>
      <c r="J53" s="480"/>
    </row>
    <row r="54" spans="1:14" x14ac:dyDescent="0.3">
      <c r="A54" s="445" t="s">
        <v>63</v>
      </c>
      <c r="B54" s="446"/>
      <c r="C54" s="447">
        <v>48550</v>
      </c>
      <c r="D54" s="448"/>
      <c r="E54" s="447">
        <v>48556</v>
      </c>
      <c r="F54" s="478"/>
      <c r="G54" s="479">
        <v>48589</v>
      </c>
      <c r="H54" s="480"/>
      <c r="I54" s="479">
        <v>48655</v>
      </c>
      <c r="J54" s="480"/>
    </row>
    <row r="55" spans="1:14" x14ac:dyDescent="0.3">
      <c r="A55" s="445" t="s">
        <v>64</v>
      </c>
      <c r="B55" s="446"/>
      <c r="C55" s="449">
        <v>6020</v>
      </c>
      <c r="D55" s="450"/>
      <c r="E55" s="449">
        <v>6018</v>
      </c>
      <c r="F55" s="481"/>
      <c r="G55" s="479">
        <v>5993</v>
      </c>
      <c r="H55" s="480"/>
      <c r="I55" s="479">
        <v>5992</v>
      </c>
      <c r="J55" s="480"/>
    </row>
    <row r="56" spans="1:14" x14ac:dyDescent="0.3">
      <c r="A56" s="445" t="s">
        <v>65</v>
      </c>
      <c r="B56" s="446"/>
      <c r="C56" s="447">
        <v>26723</v>
      </c>
      <c r="D56" s="448"/>
      <c r="E56" s="447">
        <v>26719</v>
      </c>
      <c r="F56" s="478"/>
      <c r="G56" s="479">
        <f>4681+21990</f>
        <v>26671</v>
      </c>
      <c r="H56" s="480"/>
      <c r="I56" s="479">
        <v>26712</v>
      </c>
      <c r="J56" s="480"/>
    </row>
    <row r="57" spans="1:14" x14ac:dyDescent="0.3">
      <c r="A57" s="445" t="s">
        <v>66</v>
      </c>
      <c r="B57" s="446"/>
      <c r="C57" s="449">
        <v>4437</v>
      </c>
      <c r="D57" s="450"/>
      <c r="E57" s="449">
        <v>4436</v>
      </c>
      <c r="F57" s="481"/>
      <c r="G57" s="479">
        <v>4440</v>
      </c>
      <c r="H57" s="480"/>
      <c r="I57" s="479">
        <v>4446</v>
      </c>
      <c r="J57" s="480"/>
      <c r="N57" s="41"/>
    </row>
    <row r="58" spans="1:14" ht="15" thickBot="1" x14ac:dyDescent="0.35">
      <c r="A58" s="445" t="s">
        <v>67</v>
      </c>
      <c r="B58" s="446"/>
      <c r="C58" s="451">
        <f>SUM(C50:D57)</f>
        <v>217188</v>
      </c>
      <c r="D58" s="452"/>
      <c r="E58" s="451">
        <f>SUM(E50:F57)</f>
        <v>217276</v>
      </c>
      <c r="F58" s="470"/>
      <c r="G58" s="471">
        <f>SUM(G50:H57)</f>
        <v>217297</v>
      </c>
      <c r="H58" s="472"/>
      <c r="I58" s="471">
        <f>SUM(I50:J57)</f>
        <v>217533</v>
      </c>
      <c r="J58" s="472"/>
    </row>
    <row r="59" spans="1:1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4" x14ac:dyDescent="0.3">
      <c r="A60" s="285" t="s">
        <v>68</v>
      </c>
      <c r="B60" s="286"/>
      <c r="C60" s="54" t="s">
        <v>92</v>
      </c>
      <c r="D60" s="55"/>
      <c r="E60" s="453" t="s">
        <v>110</v>
      </c>
      <c r="F60" s="454"/>
      <c r="G60" s="453" t="s">
        <v>146</v>
      </c>
      <c r="H60" s="454"/>
      <c r="I60" s="453" t="s">
        <v>162</v>
      </c>
      <c r="J60" s="454"/>
    </row>
    <row r="61" spans="1:14" x14ac:dyDescent="0.3">
      <c r="A61" s="287"/>
      <c r="B61" s="288"/>
      <c r="C61" s="297">
        <v>142905</v>
      </c>
      <c r="D61" s="475"/>
      <c r="E61" s="297">
        <v>142982</v>
      </c>
      <c r="F61" s="298"/>
      <c r="G61" s="297">
        <v>143007</v>
      </c>
      <c r="H61" s="298"/>
      <c r="I61" s="297">
        <v>143115</v>
      </c>
      <c r="J61" s="298"/>
    </row>
    <row r="62" spans="1:14" x14ac:dyDescent="0.3">
      <c r="A62" s="289"/>
      <c r="B62" s="290"/>
      <c r="C62" s="476"/>
      <c r="D62" s="477"/>
      <c r="E62" s="299"/>
      <c r="F62" s="300"/>
      <c r="G62" s="299"/>
      <c r="H62" s="300"/>
      <c r="I62" s="299"/>
      <c r="J62" s="300"/>
    </row>
    <row r="64" spans="1:1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9" t="s">
        <v>71</v>
      </c>
      <c r="D66" s="460"/>
      <c r="E66" s="459" t="s">
        <v>72</v>
      </c>
      <c r="F66" s="460"/>
      <c r="G66" s="459" t="s">
        <v>12</v>
      </c>
      <c r="H66" s="460"/>
      <c r="I66" s="459" t="s">
        <v>125</v>
      </c>
      <c r="J66" s="460"/>
    </row>
    <row r="67" spans="1:10" ht="15" customHeight="1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34399</v>
      </c>
      <c r="D69" s="266"/>
      <c r="E69" s="265">
        <v>34768</v>
      </c>
      <c r="F69" s="266"/>
      <c r="G69" s="265">
        <v>34999</v>
      </c>
      <c r="H69" s="266"/>
      <c r="I69" s="265">
        <v>35287</v>
      </c>
      <c r="J69" s="266"/>
    </row>
    <row r="70" spans="1:10" x14ac:dyDescent="0.3">
      <c r="A70" s="269" t="s">
        <v>16</v>
      </c>
      <c r="B70" s="270"/>
      <c r="C70" s="265">
        <v>7731</v>
      </c>
      <c r="D70" s="266"/>
      <c r="E70" s="265">
        <v>7882</v>
      </c>
      <c r="F70" s="266"/>
      <c r="G70" s="265">
        <v>7925</v>
      </c>
      <c r="H70" s="266"/>
      <c r="I70" s="265">
        <v>8017</v>
      </c>
      <c r="J70" s="266"/>
    </row>
    <row r="71" spans="1:10" x14ac:dyDescent="0.3">
      <c r="A71" s="267" t="s">
        <v>17</v>
      </c>
      <c r="B71" s="268"/>
      <c r="C71" s="265">
        <v>7042</v>
      </c>
      <c r="D71" s="266"/>
      <c r="E71" s="265">
        <v>7191</v>
      </c>
      <c r="F71" s="266"/>
      <c r="G71" s="265">
        <v>7254</v>
      </c>
      <c r="H71" s="266"/>
      <c r="I71" s="265">
        <v>7317</v>
      </c>
      <c r="J71" s="266"/>
    </row>
    <row r="72" spans="1:10" x14ac:dyDescent="0.3">
      <c r="A72" s="267" t="s">
        <v>75</v>
      </c>
      <c r="B72" s="268"/>
      <c r="C72" s="265">
        <v>1869</v>
      </c>
      <c r="D72" s="266"/>
      <c r="E72" s="265">
        <v>1913</v>
      </c>
      <c r="F72" s="266"/>
      <c r="G72" s="265">
        <v>1936</v>
      </c>
      <c r="H72" s="266"/>
      <c r="I72" s="265">
        <v>1970</v>
      </c>
      <c r="J72" s="266"/>
    </row>
    <row r="73" spans="1:10" x14ac:dyDescent="0.3">
      <c r="A73" s="269" t="s">
        <v>18</v>
      </c>
      <c r="B73" s="270"/>
      <c r="C73" s="265">
        <v>5672</v>
      </c>
      <c r="D73" s="266"/>
      <c r="E73" s="265">
        <v>5804</v>
      </c>
      <c r="F73" s="266"/>
      <c r="G73" s="265">
        <v>5839</v>
      </c>
      <c r="H73" s="266"/>
      <c r="I73" s="265">
        <v>5921</v>
      </c>
      <c r="J73" s="266"/>
    </row>
    <row r="74" spans="1:10" x14ac:dyDescent="0.3">
      <c r="A74" s="267" t="s">
        <v>19</v>
      </c>
      <c r="B74" s="268"/>
      <c r="C74" s="265">
        <v>5228</v>
      </c>
      <c r="D74" s="266"/>
      <c r="E74" s="265">
        <v>5276</v>
      </c>
      <c r="F74" s="266"/>
      <c r="G74" s="265">
        <v>5310</v>
      </c>
      <c r="H74" s="266"/>
      <c r="I74" s="265">
        <v>5374</v>
      </c>
      <c r="J74" s="266"/>
    </row>
    <row r="75" spans="1:10" x14ac:dyDescent="0.3">
      <c r="A75" s="269" t="s">
        <v>20</v>
      </c>
      <c r="B75" s="270"/>
      <c r="C75" s="265">
        <v>8830</v>
      </c>
      <c r="D75" s="266"/>
      <c r="E75" s="265">
        <v>9073</v>
      </c>
      <c r="F75" s="266"/>
      <c r="G75" s="265">
        <v>9151</v>
      </c>
      <c r="H75" s="266"/>
      <c r="I75" s="265">
        <v>9255</v>
      </c>
      <c r="J75" s="266"/>
    </row>
    <row r="76" spans="1:10" x14ac:dyDescent="0.3">
      <c r="A76" s="267" t="s">
        <v>21</v>
      </c>
      <c r="B76" s="268"/>
      <c r="C76" s="265">
        <v>1761</v>
      </c>
      <c r="D76" s="266"/>
      <c r="E76" s="265">
        <v>1780</v>
      </c>
      <c r="F76" s="266"/>
      <c r="G76" s="265">
        <v>1791</v>
      </c>
      <c r="H76" s="266"/>
      <c r="I76" s="265">
        <v>1805</v>
      </c>
      <c r="J76" s="266"/>
    </row>
    <row r="77" spans="1:10" x14ac:dyDescent="0.3">
      <c r="A77" s="269" t="s">
        <v>22</v>
      </c>
      <c r="B77" s="270"/>
      <c r="C77" s="265">
        <v>6801</v>
      </c>
      <c r="D77" s="266"/>
      <c r="E77" s="265">
        <v>6898</v>
      </c>
      <c r="F77" s="266"/>
      <c r="G77" s="265">
        <v>6941</v>
      </c>
      <c r="H77" s="266"/>
      <c r="I77" s="265">
        <v>7003</v>
      </c>
      <c r="J77" s="266"/>
    </row>
    <row r="78" spans="1:10" x14ac:dyDescent="0.3">
      <c r="A78" s="263" t="s">
        <v>76</v>
      </c>
      <c r="B78" s="264"/>
      <c r="C78" s="265">
        <f>SUM(C69:C77)</f>
        <v>79333</v>
      </c>
      <c r="D78" s="266"/>
      <c r="E78" s="265">
        <f>SUM(E69:E77)</f>
        <v>80585</v>
      </c>
      <c r="F78" s="266"/>
      <c r="G78" s="265">
        <f>SUM(G69:G77)</f>
        <v>81146</v>
      </c>
      <c r="H78" s="266"/>
      <c r="I78" s="265">
        <v>81949</v>
      </c>
      <c r="J78" s="266"/>
    </row>
  </sheetData>
  <mergeCells count="309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G61:H62"/>
    <mergeCell ref="I61:J62"/>
    <mergeCell ref="A65:J65"/>
    <mergeCell ref="A66:B66"/>
    <mergeCell ref="C66:D66"/>
    <mergeCell ref="E66:F66"/>
    <mergeCell ref="G66:H66"/>
    <mergeCell ref="I66:J66"/>
    <mergeCell ref="A58:B58"/>
    <mergeCell ref="C58:D58"/>
    <mergeCell ref="E58:F58"/>
    <mergeCell ref="G58:H58"/>
    <mergeCell ref="I58:J58"/>
    <mergeCell ref="A60:B62"/>
    <mergeCell ref="G60:H60"/>
    <mergeCell ref="I60:J60"/>
    <mergeCell ref="C61:D62"/>
    <mergeCell ref="E61:F62"/>
    <mergeCell ref="E60:F60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8"/>
  <sheetViews>
    <sheetView workbookViewId="0">
      <selection activeCell="Z17" sqref="Z17"/>
    </sheetView>
  </sheetViews>
  <sheetFormatPr defaultRowHeight="14.4" x14ac:dyDescent="0.3"/>
  <cols>
    <col min="13" max="13" width="11" customWidth="1"/>
  </cols>
  <sheetData>
    <row r="1" spans="1:17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17" x14ac:dyDescent="0.3">
      <c r="A2" s="399" t="s">
        <v>0</v>
      </c>
      <c r="B2" s="400"/>
      <c r="C2" s="339" t="s">
        <v>1</v>
      </c>
      <c r="D2" s="340"/>
      <c r="E2" s="343" t="s">
        <v>175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51" t="s">
        <v>6</v>
      </c>
      <c r="N2" s="351" t="s">
        <v>7</v>
      </c>
      <c r="O2" s="390" t="s">
        <v>8</v>
      </c>
      <c r="P2" s="392" t="s">
        <v>9</v>
      </c>
      <c r="Q2" s="392" t="s">
        <v>10</v>
      </c>
    </row>
    <row r="3" spans="1:17" ht="45" customHeight="1" x14ac:dyDescent="0.3">
      <c r="A3" s="401"/>
      <c r="B3" s="402"/>
      <c r="C3" s="360"/>
      <c r="D3" s="361"/>
      <c r="E3" s="362"/>
      <c r="F3" s="363"/>
      <c r="G3" s="362"/>
      <c r="H3" s="363"/>
      <c r="I3" s="362"/>
      <c r="J3" s="363"/>
      <c r="K3" s="362"/>
      <c r="L3" s="363"/>
      <c r="M3" s="366"/>
      <c r="N3" s="366"/>
      <c r="O3" s="390"/>
      <c r="P3" s="392"/>
      <c r="Q3" s="392"/>
    </row>
    <row r="4" spans="1:17" x14ac:dyDescent="0.3">
      <c r="A4" s="263" t="s">
        <v>11</v>
      </c>
      <c r="B4" s="264"/>
      <c r="C4" s="395" t="s">
        <v>176</v>
      </c>
      <c r="D4" s="396"/>
      <c r="E4" s="396"/>
      <c r="F4" s="396"/>
      <c r="G4" s="396"/>
      <c r="H4" s="396"/>
      <c r="I4" s="397"/>
      <c r="J4" s="397"/>
      <c r="K4" s="397"/>
      <c r="L4" s="397"/>
      <c r="M4" s="397"/>
      <c r="N4" s="396"/>
      <c r="O4" s="396"/>
      <c r="P4" s="396"/>
      <c r="Q4" s="485"/>
    </row>
    <row r="5" spans="1:17" x14ac:dyDescent="0.3">
      <c r="A5" s="403" t="s">
        <v>13</v>
      </c>
      <c r="B5" s="404"/>
      <c r="C5" s="405">
        <v>4876</v>
      </c>
      <c r="D5" s="406"/>
      <c r="E5" s="405">
        <v>310</v>
      </c>
      <c r="F5" s="406"/>
      <c r="G5" s="405">
        <v>0</v>
      </c>
      <c r="H5" s="406"/>
      <c r="I5" s="405">
        <v>0</v>
      </c>
      <c r="J5" s="406"/>
      <c r="K5" s="405">
        <v>0</v>
      </c>
      <c r="L5" s="406"/>
      <c r="M5" s="6">
        <v>3300</v>
      </c>
      <c r="N5" s="31">
        <v>160</v>
      </c>
      <c r="O5" s="7">
        <v>14568</v>
      </c>
      <c r="P5" s="7">
        <v>11530</v>
      </c>
      <c r="Q5" s="7">
        <v>9310</v>
      </c>
    </row>
    <row r="6" spans="1:17" x14ac:dyDescent="0.3">
      <c r="A6" s="403" t="s">
        <v>14</v>
      </c>
      <c r="B6" s="404"/>
      <c r="C6" s="405">
        <v>220</v>
      </c>
      <c r="D6" s="406"/>
      <c r="E6" s="405">
        <v>0</v>
      </c>
      <c r="F6" s="406"/>
      <c r="G6" s="405">
        <v>0</v>
      </c>
      <c r="H6" s="406"/>
      <c r="I6" s="405">
        <v>0</v>
      </c>
      <c r="J6" s="406"/>
      <c r="K6" s="405">
        <v>0</v>
      </c>
      <c r="L6" s="406"/>
      <c r="M6" s="6">
        <v>0</v>
      </c>
      <c r="N6" s="31">
        <v>0</v>
      </c>
      <c r="O6" s="6">
        <v>0</v>
      </c>
      <c r="P6" s="6">
        <v>0</v>
      </c>
      <c r="Q6" s="6">
        <v>0</v>
      </c>
    </row>
    <row r="7" spans="1:17" x14ac:dyDescent="0.3">
      <c r="A7" s="269" t="s">
        <v>15</v>
      </c>
      <c r="B7" s="270"/>
      <c r="C7" s="409">
        <v>347</v>
      </c>
      <c r="D7" s="410"/>
      <c r="E7" s="409">
        <v>106</v>
      </c>
      <c r="F7" s="410"/>
      <c r="G7" s="409">
        <v>85</v>
      </c>
      <c r="H7" s="410"/>
      <c r="I7" s="409">
        <v>27</v>
      </c>
      <c r="J7" s="410"/>
      <c r="K7" s="409">
        <v>21</v>
      </c>
      <c r="L7" s="410"/>
      <c r="M7" s="9">
        <v>682</v>
      </c>
      <c r="N7" s="53">
        <v>98</v>
      </c>
      <c r="O7" s="9">
        <v>0</v>
      </c>
      <c r="P7" s="9">
        <v>0</v>
      </c>
      <c r="Q7" s="9">
        <v>0</v>
      </c>
    </row>
    <row r="8" spans="1:17" x14ac:dyDescent="0.3">
      <c r="A8" s="269" t="s">
        <v>16</v>
      </c>
      <c r="B8" s="270"/>
      <c r="C8" s="409">
        <v>323</v>
      </c>
      <c r="D8" s="410"/>
      <c r="E8" s="409">
        <v>6</v>
      </c>
      <c r="F8" s="410"/>
      <c r="G8" s="409">
        <v>0</v>
      </c>
      <c r="H8" s="410"/>
      <c r="I8" s="409">
        <v>10</v>
      </c>
      <c r="J8" s="410"/>
      <c r="K8" s="409">
        <v>0</v>
      </c>
      <c r="L8" s="410"/>
      <c r="M8" s="9">
        <v>305</v>
      </c>
      <c r="N8" s="53">
        <v>11</v>
      </c>
      <c r="O8" s="9">
        <v>0</v>
      </c>
      <c r="P8" s="9">
        <v>0</v>
      </c>
      <c r="Q8" s="9">
        <v>2</v>
      </c>
    </row>
    <row r="9" spans="1:17" x14ac:dyDescent="0.3">
      <c r="A9" s="269" t="s">
        <v>17</v>
      </c>
      <c r="B9" s="270"/>
      <c r="C9" s="409">
        <v>294</v>
      </c>
      <c r="D9" s="410"/>
      <c r="E9" s="409">
        <v>32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9">
        <v>250</v>
      </c>
      <c r="N9" s="53">
        <v>18</v>
      </c>
      <c r="O9" s="9">
        <v>2</v>
      </c>
      <c r="P9" s="9">
        <v>12</v>
      </c>
      <c r="Q9" s="9">
        <v>1</v>
      </c>
    </row>
    <row r="10" spans="1:17" x14ac:dyDescent="0.3">
      <c r="A10" s="269" t="s">
        <v>18</v>
      </c>
      <c r="B10" s="270"/>
      <c r="C10" s="409">
        <v>369</v>
      </c>
      <c r="D10" s="410"/>
      <c r="E10" s="409">
        <v>20</v>
      </c>
      <c r="F10" s="410"/>
      <c r="G10" s="409">
        <v>1</v>
      </c>
      <c r="H10" s="410"/>
      <c r="I10" s="409">
        <v>0</v>
      </c>
      <c r="J10" s="410"/>
      <c r="K10" s="409">
        <v>0</v>
      </c>
      <c r="L10" s="410"/>
      <c r="M10" s="9">
        <v>290</v>
      </c>
      <c r="N10" s="53">
        <v>102</v>
      </c>
      <c r="O10" s="9">
        <v>0</v>
      </c>
      <c r="P10" s="9">
        <v>0</v>
      </c>
      <c r="Q10" s="9">
        <v>0</v>
      </c>
    </row>
    <row r="11" spans="1:17" x14ac:dyDescent="0.3">
      <c r="A11" s="269" t="s">
        <v>19</v>
      </c>
      <c r="B11" s="270"/>
      <c r="C11" s="409">
        <v>57</v>
      </c>
      <c r="D11" s="410"/>
      <c r="E11" s="409">
        <v>0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10">
        <v>24</v>
      </c>
      <c r="N11" s="32">
        <v>228</v>
      </c>
      <c r="O11" s="9">
        <v>82</v>
      </c>
      <c r="P11" s="9">
        <v>14</v>
      </c>
      <c r="Q11" s="9">
        <v>0</v>
      </c>
    </row>
    <row r="12" spans="1:17" x14ac:dyDescent="0.3">
      <c r="A12" s="269" t="s">
        <v>20</v>
      </c>
      <c r="B12" s="270"/>
      <c r="C12" s="409">
        <v>2</v>
      </c>
      <c r="D12" s="410"/>
      <c r="E12" s="409">
        <v>40</v>
      </c>
      <c r="F12" s="410"/>
      <c r="G12" s="409">
        <v>0</v>
      </c>
      <c r="H12" s="410"/>
      <c r="I12" s="409">
        <v>0</v>
      </c>
      <c r="J12" s="410"/>
      <c r="K12" s="409">
        <v>0</v>
      </c>
      <c r="L12" s="410"/>
      <c r="M12" s="9">
        <v>28</v>
      </c>
      <c r="N12" s="53">
        <v>18</v>
      </c>
      <c r="O12" s="9">
        <v>0</v>
      </c>
      <c r="P12" s="9">
        <v>16</v>
      </c>
      <c r="Q12" s="9">
        <v>5</v>
      </c>
    </row>
    <row r="13" spans="1:17" x14ac:dyDescent="0.3">
      <c r="A13" s="269" t="s">
        <v>21</v>
      </c>
      <c r="B13" s="270"/>
      <c r="C13" s="409">
        <v>225</v>
      </c>
      <c r="D13" s="410"/>
      <c r="E13" s="409">
        <v>56</v>
      </c>
      <c r="F13" s="410"/>
      <c r="G13" s="409">
        <v>1</v>
      </c>
      <c r="H13" s="410"/>
      <c r="I13" s="409">
        <v>8</v>
      </c>
      <c r="J13" s="410"/>
      <c r="K13" s="409">
        <v>1</v>
      </c>
      <c r="L13" s="410"/>
      <c r="M13" s="9">
        <v>110</v>
      </c>
      <c r="N13" s="53">
        <v>37</v>
      </c>
      <c r="O13" s="9">
        <v>0</v>
      </c>
      <c r="P13" s="9">
        <v>0</v>
      </c>
      <c r="Q13" s="9">
        <v>0</v>
      </c>
    </row>
    <row r="14" spans="1:17" x14ac:dyDescent="0.3">
      <c r="A14" s="411" t="s">
        <v>22</v>
      </c>
      <c r="B14" s="412"/>
      <c r="C14" s="409">
        <v>335</v>
      </c>
      <c r="D14" s="410"/>
      <c r="E14" s="409">
        <v>65</v>
      </c>
      <c r="F14" s="410"/>
      <c r="G14" s="409">
        <v>12</v>
      </c>
      <c r="H14" s="410"/>
      <c r="I14" s="409">
        <v>0</v>
      </c>
      <c r="J14" s="410"/>
      <c r="K14" s="409">
        <v>2</v>
      </c>
      <c r="L14" s="410"/>
      <c r="M14" s="10">
        <v>193</v>
      </c>
      <c r="N14" s="32">
        <v>22</v>
      </c>
      <c r="O14" s="9">
        <v>0</v>
      </c>
      <c r="P14" s="9">
        <v>0</v>
      </c>
      <c r="Q14" s="9">
        <v>0</v>
      </c>
    </row>
    <row r="15" spans="1:17" ht="15" thickBot="1" x14ac:dyDescent="0.35">
      <c r="A15" s="417" t="s">
        <v>23</v>
      </c>
      <c r="B15" s="418"/>
      <c r="C15" s="461">
        <v>0</v>
      </c>
      <c r="D15" s="462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10">
        <v>0</v>
      </c>
      <c r="N15" s="32">
        <v>0</v>
      </c>
      <c r="O15" s="57">
        <v>3238</v>
      </c>
      <c r="P15" s="56">
        <v>2659</v>
      </c>
      <c r="Q15" s="57">
        <v>2550</v>
      </c>
    </row>
    <row r="16" spans="1:17" ht="15" thickBot="1" x14ac:dyDescent="0.35">
      <c r="A16" s="413" t="s">
        <v>24</v>
      </c>
      <c r="B16" s="414"/>
      <c r="C16" s="415">
        <f>SUM(C5:D15)</f>
        <v>7048</v>
      </c>
      <c r="D16" s="416"/>
      <c r="E16" s="415">
        <f>SUM(E5:F15)</f>
        <v>635</v>
      </c>
      <c r="F16" s="416"/>
      <c r="G16" s="415">
        <f>SUM(G5:H15)</f>
        <v>101</v>
      </c>
      <c r="H16" s="416"/>
      <c r="I16" s="415">
        <f>SUM(I5:J15)</f>
        <v>46</v>
      </c>
      <c r="J16" s="416"/>
      <c r="K16" s="415">
        <f>SUM(K5:L15)</f>
        <v>24</v>
      </c>
      <c r="L16" s="416"/>
      <c r="M16" s="13">
        <f>SUM(M5:M15)</f>
        <v>5182</v>
      </c>
      <c r="N16" s="14">
        <f>SUM(N5:N15)</f>
        <v>694</v>
      </c>
      <c r="O16" s="15">
        <f>SUM(O5:O15)</f>
        <v>17890</v>
      </c>
      <c r="P16" s="16">
        <f>SUM(P5:P15)</f>
        <v>14231</v>
      </c>
      <c r="Q16" s="17">
        <f>SUM(Q5:Q15)</f>
        <v>11868</v>
      </c>
    </row>
    <row r="17" spans="1:17" x14ac:dyDescent="0.3">
      <c r="A17" s="425" t="s">
        <v>25</v>
      </c>
      <c r="B17" s="426"/>
      <c r="C17" s="427">
        <v>4876</v>
      </c>
      <c r="D17" s="428"/>
      <c r="E17" s="427">
        <v>310</v>
      </c>
      <c r="F17" s="428"/>
      <c r="G17" s="427">
        <v>0</v>
      </c>
      <c r="H17" s="428"/>
      <c r="I17" s="427">
        <v>0</v>
      </c>
      <c r="J17" s="428"/>
      <c r="K17" s="427">
        <v>0</v>
      </c>
      <c r="L17" s="428"/>
      <c r="M17" s="37">
        <v>2950</v>
      </c>
      <c r="N17" s="38">
        <v>160</v>
      </c>
      <c r="O17" s="7">
        <v>14568</v>
      </c>
      <c r="P17" s="7">
        <v>11530</v>
      </c>
      <c r="Q17" s="7">
        <v>9310</v>
      </c>
    </row>
    <row r="18" spans="1:17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9"/>
      <c r="O18" s="358"/>
      <c r="P18" s="358"/>
      <c r="Q18" s="358"/>
    </row>
    <row r="19" spans="1:17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3">
      <c r="A21" s="399" t="s">
        <v>27</v>
      </c>
      <c r="B21" s="400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17" ht="57.6" x14ac:dyDescent="0.3">
      <c r="A22" s="401"/>
      <c r="B22" s="402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17" x14ac:dyDescent="0.3">
      <c r="A23" s="263" t="s">
        <v>11</v>
      </c>
      <c r="B23" s="422"/>
      <c r="C23" s="423" t="s">
        <v>176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17" x14ac:dyDescent="0.3">
      <c r="A24" s="269" t="s">
        <v>15</v>
      </c>
      <c r="B24" s="270"/>
      <c r="C24" s="409">
        <v>523</v>
      </c>
      <c r="D24" s="410"/>
      <c r="E24" s="431" t="s">
        <v>140</v>
      </c>
      <c r="F24" s="432"/>
      <c r="G24" s="409">
        <v>0</v>
      </c>
      <c r="H24" s="410"/>
      <c r="I24" s="409">
        <v>17</v>
      </c>
      <c r="J24" s="410"/>
      <c r="K24" s="26">
        <v>0</v>
      </c>
      <c r="L24" s="27">
        <v>31</v>
      </c>
      <c r="M24" s="27">
        <v>8</v>
      </c>
    </row>
    <row r="25" spans="1:17" x14ac:dyDescent="0.3">
      <c r="A25" s="269" t="s">
        <v>16</v>
      </c>
      <c r="B25" s="270"/>
      <c r="C25" s="409">
        <v>115</v>
      </c>
      <c r="D25" s="410"/>
      <c r="E25" s="431" t="s">
        <v>177</v>
      </c>
      <c r="F25" s="432"/>
      <c r="G25" s="409">
        <v>0</v>
      </c>
      <c r="H25" s="410"/>
      <c r="I25" s="409">
        <v>56</v>
      </c>
      <c r="J25" s="410"/>
      <c r="K25" s="9">
        <v>0</v>
      </c>
      <c r="L25" s="28">
        <v>0</v>
      </c>
      <c r="M25" s="28">
        <v>0</v>
      </c>
    </row>
    <row r="26" spans="1:17" x14ac:dyDescent="0.3">
      <c r="A26" s="269" t="s">
        <v>17</v>
      </c>
      <c r="B26" s="270"/>
      <c r="C26" s="409">
        <v>62</v>
      </c>
      <c r="D26" s="410"/>
      <c r="E26" s="431" t="s">
        <v>178</v>
      </c>
      <c r="F26" s="432"/>
      <c r="G26" s="409">
        <v>15</v>
      </c>
      <c r="H26" s="410"/>
      <c r="I26" s="409">
        <v>34</v>
      </c>
      <c r="J26" s="410"/>
      <c r="K26" s="9">
        <v>4</v>
      </c>
      <c r="L26" s="28">
        <v>7</v>
      </c>
      <c r="M26" s="28">
        <v>4</v>
      </c>
    </row>
    <row r="27" spans="1:17" x14ac:dyDescent="0.3">
      <c r="A27" s="269" t="s">
        <v>18</v>
      </c>
      <c r="B27" s="270"/>
      <c r="C27" s="431" t="s">
        <v>128</v>
      </c>
      <c r="D27" s="432"/>
      <c r="E27" s="431" t="s">
        <v>168</v>
      </c>
      <c r="F27" s="432"/>
      <c r="G27" s="409">
        <v>0</v>
      </c>
      <c r="H27" s="410"/>
      <c r="I27" s="409">
        <v>20</v>
      </c>
      <c r="J27" s="410"/>
      <c r="K27" s="9">
        <v>3</v>
      </c>
      <c r="L27" s="29">
        <v>5</v>
      </c>
      <c r="M27" s="28">
        <v>2</v>
      </c>
    </row>
    <row r="28" spans="1:17" x14ac:dyDescent="0.3">
      <c r="A28" s="269" t="s">
        <v>19</v>
      </c>
      <c r="B28" s="270"/>
      <c r="C28" s="431" t="s">
        <v>34</v>
      </c>
      <c r="D28" s="432"/>
      <c r="E28" s="431" t="s">
        <v>179</v>
      </c>
      <c r="F28" s="432"/>
      <c r="G28" s="409">
        <v>0</v>
      </c>
      <c r="H28" s="410"/>
      <c r="I28" s="409">
        <v>17</v>
      </c>
      <c r="J28" s="410"/>
      <c r="K28" s="9">
        <v>5</v>
      </c>
      <c r="L28" s="28">
        <v>12</v>
      </c>
      <c r="M28" s="28">
        <v>9</v>
      </c>
    </row>
    <row r="29" spans="1:17" x14ac:dyDescent="0.3">
      <c r="A29" s="269" t="s">
        <v>20</v>
      </c>
      <c r="B29" s="270"/>
      <c r="C29" s="409">
        <v>52</v>
      </c>
      <c r="D29" s="410"/>
      <c r="E29" s="431" t="s">
        <v>180</v>
      </c>
      <c r="F29" s="432"/>
      <c r="G29" s="409">
        <v>0</v>
      </c>
      <c r="H29" s="410"/>
      <c r="I29" s="409">
        <v>0</v>
      </c>
      <c r="J29" s="410"/>
      <c r="K29" s="9">
        <v>0</v>
      </c>
      <c r="L29" s="28">
        <v>0</v>
      </c>
      <c r="M29" s="28">
        <v>0</v>
      </c>
    </row>
    <row r="30" spans="1:17" x14ac:dyDescent="0.3">
      <c r="A30" s="269" t="s">
        <v>21</v>
      </c>
      <c r="B30" s="270"/>
      <c r="C30" s="431" t="s">
        <v>181</v>
      </c>
      <c r="D30" s="432"/>
      <c r="E30" s="431" t="s">
        <v>182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11</v>
      </c>
      <c r="M30" s="28">
        <v>0</v>
      </c>
    </row>
    <row r="31" spans="1:17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99" t="s">
        <v>37</v>
      </c>
      <c r="B34" s="400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57.6" x14ac:dyDescent="0.3">
      <c r="A35" s="401"/>
      <c r="B35" s="402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423" t="s">
        <v>176</v>
      </c>
      <c r="D36" s="424"/>
      <c r="E36" s="424"/>
      <c r="F36" s="424"/>
      <c r="G36" s="424"/>
      <c r="H36" s="424"/>
      <c r="I36" s="424"/>
      <c r="J36" s="424"/>
      <c r="K36" s="424"/>
      <c r="L36" s="24"/>
      <c r="M36" s="25"/>
    </row>
    <row r="37" spans="1:13" x14ac:dyDescent="0.3">
      <c r="A37" s="435" t="s">
        <v>15</v>
      </c>
      <c r="B37" s="436"/>
      <c r="C37" s="409" t="s">
        <v>141</v>
      </c>
      <c r="D37" s="410"/>
      <c r="E37" s="437" t="s">
        <v>183</v>
      </c>
      <c r="F37" s="438"/>
      <c r="G37" s="409" t="s">
        <v>40</v>
      </c>
      <c r="H37" s="410"/>
      <c r="I37" s="409">
        <v>0</v>
      </c>
      <c r="J37" s="410"/>
      <c r="K37" s="26">
        <v>0</v>
      </c>
      <c r="L37" s="27" t="s">
        <v>104</v>
      </c>
      <c r="M37" s="27" t="s">
        <v>159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184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185</v>
      </c>
      <c r="D39" s="410"/>
      <c r="E39" s="437" t="s">
        <v>186</v>
      </c>
      <c r="F39" s="438"/>
      <c r="G39" s="409" t="s">
        <v>187</v>
      </c>
      <c r="H39" s="410"/>
      <c r="I39" s="409" t="s">
        <v>188</v>
      </c>
      <c r="J39" s="410"/>
      <c r="K39" s="9" t="s">
        <v>45</v>
      </c>
      <c r="L39" s="28" t="s">
        <v>53</v>
      </c>
      <c r="M39" s="28" t="s">
        <v>88</v>
      </c>
    </row>
    <row r="40" spans="1:13" x14ac:dyDescent="0.3">
      <c r="A40" s="435" t="s">
        <v>18</v>
      </c>
      <c r="B40" s="436"/>
      <c r="C40" s="409">
        <v>0</v>
      </c>
      <c r="D40" s="410"/>
      <c r="E40" s="437" t="s">
        <v>169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x14ac:dyDescent="0.3">
      <c r="A41" s="435" t="s">
        <v>19</v>
      </c>
      <c r="B41" s="436"/>
      <c r="C41" s="409" t="s">
        <v>116</v>
      </c>
      <c r="D41" s="410"/>
      <c r="E41" s="437" t="s">
        <v>106</v>
      </c>
      <c r="F41" s="438"/>
      <c r="G41" s="409">
        <v>0</v>
      </c>
      <c r="H41" s="410"/>
      <c r="I41" s="409" t="s">
        <v>117</v>
      </c>
      <c r="J41" s="410"/>
      <c r="K41" s="9" t="s">
        <v>52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>
        <v>0</v>
      </c>
      <c r="F42" s="410"/>
      <c r="G42" s="409" t="s">
        <v>91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09" t="s">
        <v>41</v>
      </c>
      <c r="D43" s="410"/>
      <c r="E43" s="409" t="s">
        <v>174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47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443" t="s">
        <v>110</v>
      </c>
      <c r="D49" s="444"/>
      <c r="E49" s="483" t="s">
        <v>146</v>
      </c>
      <c r="F49" s="484"/>
      <c r="G49" s="483" t="s">
        <v>162</v>
      </c>
      <c r="H49" s="484"/>
      <c r="I49" s="483" t="s">
        <v>176</v>
      </c>
      <c r="J49" s="484"/>
    </row>
    <row r="50" spans="1:10" x14ac:dyDescent="0.3">
      <c r="A50" s="445" t="s">
        <v>59</v>
      </c>
      <c r="B50" s="446"/>
      <c r="C50" s="447">
        <v>9157</v>
      </c>
      <c r="D50" s="478"/>
      <c r="E50" s="486">
        <v>9090</v>
      </c>
      <c r="F50" s="486"/>
      <c r="G50" s="486">
        <v>9068</v>
      </c>
      <c r="H50" s="486"/>
      <c r="I50" s="487">
        <v>9034</v>
      </c>
      <c r="J50" s="487"/>
    </row>
    <row r="51" spans="1:10" x14ac:dyDescent="0.3">
      <c r="A51" s="445" t="s">
        <v>60</v>
      </c>
      <c r="B51" s="446"/>
      <c r="C51" s="447">
        <v>12784</v>
      </c>
      <c r="D51" s="478"/>
      <c r="E51" s="486">
        <v>13005</v>
      </c>
      <c r="F51" s="486"/>
      <c r="G51" s="486">
        <v>13081</v>
      </c>
      <c r="H51" s="486"/>
      <c r="I51" s="487">
        <v>13168</v>
      </c>
      <c r="J51" s="487"/>
    </row>
    <row r="52" spans="1:10" x14ac:dyDescent="0.3">
      <c r="A52" s="445" t="s">
        <v>61</v>
      </c>
      <c r="B52" s="446"/>
      <c r="C52" s="447">
        <v>109372</v>
      </c>
      <c r="D52" s="478"/>
      <c r="E52" s="303">
        <f>109244+30</f>
        <v>109274</v>
      </c>
      <c r="F52" s="283"/>
      <c r="G52" s="303">
        <v>109344</v>
      </c>
      <c r="H52" s="283"/>
      <c r="I52" s="311">
        <v>109400</v>
      </c>
      <c r="J52" s="312"/>
    </row>
    <row r="53" spans="1:10" x14ac:dyDescent="0.3">
      <c r="A53" s="445" t="s">
        <v>62</v>
      </c>
      <c r="B53" s="446"/>
      <c r="C53" s="449">
        <v>234</v>
      </c>
      <c r="D53" s="481"/>
      <c r="E53" s="303">
        <v>235</v>
      </c>
      <c r="F53" s="283"/>
      <c r="G53" s="303">
        <v>235</v>
      </c>
      <c r="H53" s="283"/>
      <c r="I53" s="311">
        <v>235</v>
      </c>
      <c r="J53" s="312"/>
    </row>
    <row r="54" spans="1:10" x14ac:dyDescent="0.3">
      <c r="A54" s="445" t="s">
        <v>63</v>
      </c>
      <c r="B54" s="446"/>
      <c r="C54" s="447">
        <v>48556</v>
      </c>
      <c r="D54" s="478"/>
      <c r="E54" s="303">
        <v>48589</v>
      </c>
      <c r="F54" s="283"/>
      <c r="G54" s="303">
        <v>48655</v>
      </c>
      <c r="H54" s="283"/>
      <c r="I54" s="311">
        <v>48701</v>
      </c>
      <c r="J54" s="312"/>
    </row>
    <row r="55" spans="1:10" x14ac:dyDescent="0.3">
      <c r="A55" s="445" t="s">
        <v>64</v>
      </c>
      <c r="B55" s="446"/>
      <c r="C55" s="449">
        <v>6018</v>
      </c>
      <c r="D55" s="481"/>
      <c r="E55" s="303">
        <v>5993</v>
      </c>
      <c r="F55" s="283"/>
      <c r="G55" s="303">
        <v>5992</v>
      </c>
      <c r="H55" s="283"/>
      <c r="I55" s="311">
        <v>5995</v>
      </c>
      <c r="J55" s="312"/>
    </row>
    <row r="56" spans="1:10" x14ac:dyDescent="0.3">
      <c r="A56" s="445" t="s">
        <v>65</v>
      </c>
      <c r="B56" s="446"/>
      <c r="C56" s="447">
        <v>26719</v>
      </c>
      <c r="D56" s="478"/>
      <c r="E56" s="303">
        <f>4681+21990</f>
        <v>26671</v>
      </c>
      <c r="F56" s="283"/>
      <c r="G56" s="303">
        <v>26712</v>
      </c>
      <c r="H56" s="283"/>
      <c r="I56" s="311">
        <v>26699</v>
      </c>
      <c r="J56" s="312"/>
    </row>
    <row r="57" spans="1:10" x14ac:dyDescent="0.3">
      <c r="A57" s="445" t="s">
        <v>66</v>
      </c>
      <c r="B57" s="446"/>
      <c r="C57" s="449">
        <v>4436</v>
      </c>
      <c r="D57" s="481"/>
      <c r="E57" s="303">
        <v>4440</v>
      </c>
      <c r="F57" s="283"/>
      <c r="G57" s="303">
        <v>4446</v>
      </c>
      <c r="H57" s="283"/>
      <c r="I57" s="311">
        <v>4446</v>
      </c>
      <c r="J57" s="312"/>
    </row>
    <row r="58" spans="1:10" ht="15" thickBot="1" x14ac:dyDescent="0.35">
      <c r="A58" s="445" t="s">
        <v>67</v>
      </c>
      <c r="B58" s="446"/>
      <c r="C58" s="451">
        <f>SUM(C50:D57)</f>
        <v>217276</v>
      </c>
      <c r="D58" s="470"/>
      <c r="E58" s="488">
        <f>SUM(E50:F57)</f>
        <v>217297</v>
      </c>
      <c r="F58" s="489"/>
      <c r="G58" s="488">
        <f>SUM(G50:H57)</f>
        <v>217533</v>
      </c>
      <c r="H58" s="489"/>
      <c r="I58" s="490">
        <f>SUM(I50:J57)</f>
        <v>217678</v>
      </c>
      <c r="J58" s="49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85" t="s">
        <v>68</v>
      </c>
      <c r="B60" s="286"/>
      <c r="C60" s="453" t="s">
        <v>110</v>
      </c>
      <c r="D60" s="454"/>
      <c r="E60" s="453" t="s">
        <v>146</v>
      </c>
      <c r="F60" s="454"/>
      <c r="G60" s="453" t="s">
        <v>162</v>
      </c>
      <c r="H60" s="454"/>
      <c r="I60" s="453" t="s">
        <v>176</v>
      </c>
      <c r="J60" s="454"/>
    </row>
    <row r="61" spans="1:10" x14ac:dyDescent="0.3">
      <c r="A61" s="287"/>
      <c r="B61" s="288"/>
      <c r="C61" s="297">
        <v>142982</v>
      </c>
      <c r="D61" s="298"/>
      <c r="E61" s="297">
        <v>143007</v>
      </c>
      <c r="F61" s="298"/>
      <c r="G61" s="297">
        <v>143115</v>
      </c>
      <c r="H61" s="298"/>
      <c r="I61" s="297">
        <v>143182</v>
      </c>
      <c r="J61" s="298"/>
    </row>
    <row r="62" spans="1:10" x14ac:dyDescent="0.3">
      <c r="A62" s="289"/>
      <c r="B62" s="290"/>
      <c r="C62" s="299"/>
      <c r="D62" s="300"/>
      <c r="E62" s="299"/>
      <c r="F62" s="300"/>
      <c r="G62" s="299"/>
      <c r="H62" s="300"/>
      <c r="I62" s="299"/>
      <c r="J62" s="300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455" t="s">
        <v>11</v>
      </c>
      <c r="B66" s="456"/>
      <c r="C66" s="459" t="s">
        <v>71</v>
      </c>
      <c r="D66" s="460"/>
      <c r="E66" s="459" t="s">
        <v>72</v>
      </c>
      <c r="F66" s="460"/>
      <c r="G66" s="459" t="s">
        <v>12</v>
      </c>
      <c r="H66" s="460"/>
      <c r="I66" s="459" t="s">
        <v>125</v>
      </c>
      <c r="J66" s="460"/>
    </row>
    <row r="67" spans="1:10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265">
        <v>34399</v>
      </c>
      <c r="D69" s="266"/>
      <c r="E69" s="265">
        <v>34768</v>
      </c>
      <c r="F69" s="266"/>
      <c r="G69" s="265">
        <v>34999</v>
      </c>
      <c r="H69" s="266"/>
      <c r="I69" s="265">
        <v>35287</v>
      </c>
      <c r="J69" s="266"/>
    </row>
    <row r="70" spans="1:10" x14ac:dyDescent="0.3">
      <c r="A70" s="269" t="s">
        <v>16</v>
      </c>
      <c r="B70" s="270"/>
      <c r="C70" s="265">
        <v>7731</v>
      </c>
      <c r="D70" s="266"/>
      <c r="E70" s="265">
        <v>7882</v>
      </c>
      <c r="F70" s="266"/>
      <c r="G70" s="265">
        <v>7925</v>
      </c>
      <c r="H70" s="266"/>
      <c r="I70" s="265">
        <v>8017</v>
      </c>
      <c r="J70" s="266"/>
    </row>
    <row r="71" spans="1:10" x14ac:dyDescent="0.3">
      <c r="A71" s="267" t="s">
        <v>17</v>
      </c>
      <c r="B71" s="268"/>
      <c r="C71" s="265">
        <v>7042</v>
      </c>
      <c r="D71" s="266"/>
      <c r="E71" s="265">
        <v>7191</v>
      </c>
      <c r="F71" s="266"/>
      <c r="G71" s="265">
        <v>7254</v>
      </c>
      <c r="H71" s="266"/>
      <c r="I71" s="265">
        <v>7317</v>
      </c>
      <c r="J71" s="266"/>
    </row>
    <row r="72" spans="1:10" x14ac:dyDescent="0.3">
      <c r="A72" s="267" t="s">
        <v>75</v>
      </c>
      <c r="B72" s="268"/>
      <c r="C72" s="265">
        <v>1869</v>
      </c>
      <c r="D72" s="266"/>
      <c r="E72" s="265">
        <v>1913</v>
      </c>
      <c r="F72" s="266"/>
      <c r="G72" s="265">
        <v>1936</v>
      </c>
      <c r="H72" s="266"/>
      <c r="I72" s="265">
        <v>1970</v>
      </c>
      <c r="J72" s="266"/>
    </row>
    <row r="73" spans="1:10" x14ac:dyDescent="0.3">
      <c r="A73" s="269" t="s">
        <v>18</v>
      </c>
      <c r="B73" s="270"/>
      <c r="C73" s="265">
        <v>5672</v>
      </c>
      <c r="D73" s="266"/>
      <c r="E73" s="265">
        <v>5804</v>
      </c>
      <c r="F73" s="266"/>
      <c r="G73" s="265">
        <v>5839</v>
      </c>
      <c r="H73" s="266"/>
      <c r="I73" s="265">
        <v>5921</v>
      </c>
      <c r="J73" s="266"/>
    </row>
    <row r="74" spans="1:10" x14ac:dyDescent="0.3">
      <c r="A74" s="267" t="s">
        <v>19</v>
      </c>
      <c r="B74" s="268"/>
      <c r="C74" s="265">
        <v>5228</v>
      </c>
      <c r="D74" s="266"/>
      <c r="E74" s="265">
        <v>5276</v>
      </c>
      <c r="F74" s="266"/>
      <c r="G74" s="265">
        <v>5310</v>
      </c>
      <c r="H74" s="266"/>
      <c r="I74" s="265">
        <v>5374</v>
      </c>
      <c r="J74" s="266"/>
    </row>
    <row r="75" spans="1:10" x14ac:dyDescent="0.3">
      <c r="A75" s="269" t="s">
        <v>20</v>
      </c>
      <c r="B75" s="270"/>
      <c r="C75" s="265">
        <v>8830</v>
      </c>
      <c r="D75" s="266"/>
      <c r="E75" s="265">
        <v>9073</v>
      </c>
      <c r="F75" s="266"/>
      <c r="G75" s="265">
        <v>9151</v>
      </c>
      <c r="H75" s="266"/>
      <c r="I75" s="265">
        <v>9255</v>
      </c>
      <c r="J75" s="266"/>
    </row>
    <row r="76" spans="1:10" x14ac:dyDescent="0.3">
      <c r="A76" s="267" t="s">
        <v>21</v>
      </c>
      <c r="B76" s="268"/>
      <c r="C76" s="265">
        <v>1761</v>
      </c>
      <c r="D76" s="266"/>
      <c r="E76" s="265">
        <v>1780</v>
      </c>
      <c r="F76" s="266"/>
      <c r="G76" s="265">
        <v>1791</v>
      </c>
      <c r="H76" s="266"/>
      <c r="I76" s="265">
        <v>1805</v>
      </c>
      <c r="J76" s="266"/>
    </row>
    <row r="77" spans="1:10" x14ac:dyDescent="0.3">
      <c r="A77" s="269" t="s">
        <v>22</v>
      </c>
      <c r="B77" s="270"/>
      <c r="C77" s="265">
        <v>6801</v>
      </c>
      <c r="D77" s="266"/>
      <c r="E77" s="265">
        <v>6898</v>
      </c>
      <c r="F77" s="266"/>
      <c r="G77" s="265">
        <v>6941</v>
      </c>
      <c r="H77" s="266"/>
      <c r="I77" s="265">
        <v>7003</v>
      </c>
      <c r="J77" s="266"/>
    </row>
    <row r="78" spans="1:10" x14ac:dyDescent="0.3">
      <c r="A78" s="263" t="s">
        <v>76</v>
      </c>
      <c r="B78" s="264"/>
      <c r="C78" s="265">
        <f>SUM(C69:C77)</f>
        <v>79333</v>
      </c>
      <c r="D78" s="266"/>
      <c r="E78" s="265">
        <f>SUM(E69:E77)</f>
        <v>80585</v>
      </c>
      <c r="F78" s="266"/>
      <c r="G78" s="265">
        <f>SUM(G69:G77)</f>
        <v>81146</v>
      </c>
      <c r="H78" s="266"/>
      <c r="I78" s="265">
        <v>81949</v>
      </c>
      <c r="J78" s="266"/>
    </row>
  </sheetData>
  <mergeCells count="310">
    <mergeCell ref="A78:B78"/>
    <mergeCell ref="C78:D78"/>
    <mergeCell ref="E78:F78"/>
    <mergeCell ref="G78:H78"/>
    <mergeCell ref="I78:J78"/>
    <mergeCell ref="C60:D60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A71:B71"/>
    <mergeCell ref="C71:D71"/>
    <mergeCell ref="E71:F71"/>
    <mergeCell ref="G71:H71"/>
    <mergeCell ref="I71:J71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5125-1936-4A9A-8F26-14BBC2AF15AD}">
  <dimension ref="A1:W78"/>
  <sheetViews>
    <sheetView tabSelected="1" workbookViewId="0">
      <selection activeCell="I60" sqref="I60:J60"/>
    </sheetView>
  </sheetViews>
  <sheetFormatPr defaultRowHeight="14.4" x14ac:dyDescent="0.3"/>
  <cols>
    <col min="3" max="3" width="13.88671875" customWidth="1"/>
    <col min="14" max="14" width="11.5546875" customWidth="1"/>
    <col min="18" max="18" width="20" customWidth="1"/>
    <col min="19" max="19" width="39.88671875" customWidth="1"/>
    <col min="20" max="20" width="24" customWidth="1"/>
  </cols>
  <sheetData>
    <row r="1" spans="1:23" x14ac:dyDescent="0.3">
      <c r="A1" s="1"/>
      <c r="B1" s="1"/>
      <c r="C1" s="2"/>
      <c r="D1" s="1"/>
      <c r="E1" s="1"/>
      <c r="F1" s="1"/>
      <c r="G1" s="2"/>
      <c r="H1" s="1"/>
      <c r="I1" s="1"/>
      <c r="J1" s="1"/>
      <c r="K1" s="1"/>
      <c r="L1" s="1"/>
      <c r="M1" s="3"/>
      <c r="N1" s="2"/>
      <c r="O1" s="4"/>
      <c r="P1" s="2"/>
      <c r="Q1" s="2"/>
    </row>
    <row r="2" spans="1:23" ht="67.5" customHeight="1" x14ac:dyDescent="0.3">
      <c r="A2" s="335" t="s">
        <v>0</v>
      </c>
      <c r="B2" s="336"/>
      <c r="C2" s="393" t="s">
        <v>1</v>
      </c>
      <c r="D2" s="340"/>
      <c r="E2" s="343" t="s">
        <v>175</v>
      </c>
      <c r="F2" s="344"/>
      <c r="G2" s="343" t="s">
        <v>3</v>
      </c>
      <c r="H2" s="344"/>
      <c r="I2" s="343" t="s">
        <v>4</v>
      </c>
      <c r="J2" s="344"/>
      <c r="K2" s="343" t="s">
        <v>5</v>
      </c>
      <c r="L2" s="344"/>
      <c r="M2" s="388" t="s">
        <v>189</v>
      </c>
      <c r="N2" s="351" t="s">
        <v>6</v>
      </c>
      <c r="O2" s="351" t="s">
        <v>7</v>
      </c>
      <c r="P2" s="390" t="s">
        <v>8</v>
      </c>
      <c r="Q2" s="391" t="s">
        <v>9</v>
      </c>
      <c r="R2" s="392" t="s">
        <v>10</v>
      </c>
      <c r="S2" s="61"/>
    </row>
    <row r="3" spans="1:23" ht="45" customHeight="1" x14ac:dyDescent="0.3">
      <c r="A3" s="337"/>
      <c r="B3" s="338"/>
      <c r="C3" s="394"/>
      <c r="D3" s="361"/>
      <c r="E3" s="362"/>
      <c r="F3" s="363"/>
      <c r="G3" s="362"/>
      <c r="H3" s="363"/>
      <c r="I3" s="362"/>
      <c r="J3" s="363"/>
      <c r="K3" s="362"/>
      <c r="L3" s="363"/>
      <c r="M3" s="389"/>
      <c r="N3" s="366"/>
      <c r="O3" s="366"/>
      <c r="P3" s="390"/>
      <c r="Q3" s="391"/>
      <c r="R3" s="392"/>
      <c r="S3" s="492"/>
      <c r="T3" s="492"/>
      <c r="U3" s="492"/>
    </row>
    <row r="4" spans="1:23" x14ac:dyDescent="0.3">
      <c r="A4" s="263" t="s">
        <v>11</v>
      </c>
      <c r="B4" s="264"/>
      <c r="C4" s="384" t="s">
        <v>507</v>
      </c>
      <c r="D4" s="385"/>
      <c r="E4" s="385"/>
      <c r="F4" s="385"/>
      <c r="G4" s="385"/>
      <c r="H4" s="385"/>
      <c r="I4" s="493"/>
      <c r="J4" s="493"/>
      <c r="K4" s="493"/>
      <c r="L4" s="493"/>
      <c r="M4" s="493"/>
      <c r="N4" s="385"/>
      <c r="O4" s="385"/>
      <c r="P4" s="385"/>
      <c r="Q4" s="385"/>
      <c r="R4" s="63"/>
      <c r="S4" s="62"/>
      <c r="T4" s="62"/>
      <c r="U4" s="62"/>
      <c r="V4" s="62"/>
      <c r="W4" s="64"/>
    </row>
    <row r="5" spans="1:23" x14ac:dyDescent="0.3">
      <c r="A5" s="494" t="s">
        <v>13</v>
      </c>
      <c r="B5" s="494"/>
      <c r="C5" s="387">
        <v>4376</v>
      </c>
      <c r="D5" s="387"/>
      <c r="E5" s="405">
        <v>190</v>
      </c>
      <c r="F5" s="406"/>
      <c r="G5" s="405">
        <v>0</v>
      </c>
      <c r="H5" s="406"/>
      <c r="I5" s="405">
        <v>0</v>
      </c>
      <c r="J5" s="406"/>
      <c r="K5" s="405">
        <v>0</v>
      </c>
      <c r="L5" s="406"/>
      <c r="M5" s="65">
        <v>12229</v>
      </c>
      <c r="N5" s="6">
        <v>1549</v>
      </c>
      <c r="O5" s="31">
        <v>40</v>
      </c>
      <c r="P5" s="66">
        <v>11663</v>
      </c>
      <c r="Q5" s="66">
        <v>10645</v>
      </c>
      <c r="R5" s="67">
        <v>7858</v>
      </c>
      <c r="S5" s="62"/>
      <c r="T5" s="62"/>
      <c r="U5" s="64"/>
      <c r="V5" s="62"/>
      <c r="W5" s="64"/>
    </row>
    <row r="6" spans="1:23" x14ac:dyDescent="0.3">
      <c r="A6" s="494" t="s">
        <v>14</v>
      </c>
      <c r="B6" s="494"/>
      <c r="C6" s="496">
        <v>220</v>
      </c>
      <c r="D6" s="496"/>
      <c r="E6" s="497">
        <v>0</v>
      </c>
      <c r="F6" s="498"/>
      <c r="G6" s="497">
        <v>0</v>
      </c>
      <c r="H6" s="498"/>
      <c r="I6" s="497">
        <v>0</v>
      </c>
      <c r="J6" s="498"/>
      <c r="K6" s="497">
        <v>0</v>
      </c>
      <c r="L6" s="498"/>
      <c r="M6" s="70">
        <v>0</v>
      </c>
      <c r="N6" s="68">
        <v>0</v>
      </c>
      <c r="O6" s="69">
        <v>0</v>
      </c>
      <c r="P6" s="68">
        <v>0</v>
      </c>
      <c r="Q6" s="69">
        <v>0</v>
      </c>
      <c r="R6" s="68">
        <v>0</v>
      </c>
      <c r="S6" s="62"/>
      <c r="T6" s="62"/>
      <c r="U6" s="64"/>
      <c r="V6" s="62"/>
      <c r="W6" s="64"/>
    </row>
    <row r="7" spans="1:23" x14ac:dyDescent="0.3">
      <c r="A7" s="495" t="s">
        <v>15</v>
      </c>
      <c r="B7" s="495"/>
      <c r="C7" s="377">
        <v>195</v>
      </c>
      <c r="D7" s="377"/>
      <c r="E7" s="409">
        <v>5</v>
      </c>
      <c r="F7" s="410"/>
      <c r="G7" s="409">
        <v>65</v>
      </c>
      <c r="H7" s="410"/>
      <c r="I7" s="409">
        <v>23</v>
      </c>
      <c r="J7" s="410"/>
      <c r="K7" s="409">
        <v>4</v>
      </c>
      <c r="L7" s="410"/>
      <c r="M7" s="71">
        <v>800</v>
      </c>
      <c r="N7" s="9">
        <v>451</v>
      </c>
      <c r="O7" s="53">
        <v>62</v>
      </c>
      <c r="P7" s="9">
        <v>0</v>
      </c>
      <c r="Q7" s="53">
        <v>0</v>
      </c>
      <c r="R7" s="9">
        <v>0</v>
      </c>
      <c r="S7" s="62"/>
      <c r="T7" s="62"/>
      <c r="U7" s="64"/>
      <c r="V7" s="62"/>
      <c r="W7" s="62"/>
    </row>
    <row r="8" spans="1:23" x14ac:dyDescent="0.3">
      <c r="A8" s="495" t="s">
        <v>16</v>
      </c>
      <c r="B8" s="495"/>
      <c r="C8" s="377">
        <v>214</v>
      </c>
      <c r="D8" s="377"/>
      <c r="E8" s="409">
        <v>6</v>
      </c>
      <c r="F8" s="410"/>
      <c r="G8" s="409">
        <v>0</v>
      </c>
      <c r="H8" s="410"/>
      <c r="I8" s="409">
        <v>10</v>
      </c>
      <c r="J8" s="410"/>
      <c r="K8" s="409">
        <v>0</v>
      </c>
      <c r="L8" s="410"/>
      <c r="M8" s="71">
        <v>200</v>
      </c>
      <c r="N8" s="9">
        <v>265</v>
      </c>
      <c r="O8" s="53">
        <v>8</v>
      </c>
      <c r="P8" s="9">
        <v>0</v>
      </c>
      <c r="Q8" s="53">
        <v>0</v>
      </c>
      <c r="R8" s="9">
        <v>2</v>
      </c>
      <c r="S8" s="62"/>
      <c r="T8" s="62"/>
      <c r="U8" s="62"/>
      <c r="V8" s="62"/>
      <c r="W8" s="62"/>
    </row>
    <row r="9" spans="1:23" x14ac:dyDescent="0.3">
      <c r="A9" s="495" t="s">
        <v>17</v>
      </c>
      <c r="B9" s="495"/>
      <c r="C9" s="377">
        <v>148</v>
      </c>
      <c r="D9" s="377"/>
      <c r="E9" s="409">
        <v>9</v>
      </c>
      <c r="F9" s="410"/>
      <c r="G9" s="409">
        <v>2</v>
      </c>
      <c r="H9" s="410"/>
      <c r="I9" s="409">
        <v>1</v>
      </c>
      <c r="J9" s="410"/>
      <c r="K9" s="409">
        <v>0</v>
      </c>
      <c r="L9" s="410"/>
      <c r="M9" s="71">
        <v>300</v>
      </c>
      <c r="N9" s="9">
        <v>293</v>
      </c>
      <c r="O9" s="53">
        <v>12</v>
      </c>
      <c r="P9" s="9">
        <v>2</v>
      </c>
      <c r="Q9" s="53">
        <v>12</v>
      </c>
      <c r="R9" s="9">
        <v>1</v>
      </c>
      <c r="S9" s="62"/>
      <c r="T9" s="62"/>
      <c r="U9" s="62"/>
      <c r="V9" s="62"/>
      <c r="W9" s="62"/>
    </row>
    <row r="10" spans="1:23" x14ac:dyDescent="0.3">
      <c r="A10" s="495" t="s">
        <v>18</v>
      </c>
      <c r="B10" s="495"/>
      <c r="C10" s="377">
        <v>210</v>
      </c>
      <c r="D10" s="377"/>
      <c r="E10" s="409">
        <v>1</v>
      </c>
      <c r="F10" s="410"/>
      <c r="G10" s="409">
        <v>1</v>
      </c>
      <c r="H10" s="410"/>
      <c r="I10" s="409">
        <v>1</v>
      </c>
      <c r="J10" s="410"/>
      <c r="K10" s="409">
        <v>0</v>
      </c>
      <c r="L10" s="410"/>
      <c r="M10" s="71">
        <v>300</v>
      </c>
      <c r="N10" s="9">
        <v>360</v>
      </c>
      <c r="O10" s="53">
        <v>95</v>
      </c>
      <c r="P10" s="9">
        <v>0</v>
      </c>
      <c r="Q10" s="53">
        <v>0</v>
      </c>
      <c r="R10" s="9">
        <v>0</v>
      </c>
      <c r="S10" s="62"/>
      <c r="T10" s="62"/>
      <c r="U10" s="62"/>
      <c r="V10" s="62"/>
      <c r="W10" s="62"/>
    </row>
    <row r="11" spans="1:23" x14ac:dyDescent="0.3">
      <c r="A11" s="495" t="s">
        <v>19</v>
      </c>
      <c r="B11" s="495"/>
      <c r="C11" s="377">
        <v>47</v>
      </c>
      <c r="D11" s="377"/>
      <c r="E11" s="409">
        <v>0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71">
        <v>200</v>
      </c>
      <c r="N11" s="10">
        <v>212</v>
      </c>
      <c r="O11" s="32">
        <v>225</v>
      </c>
      <c r="P11" s="9">
        <v>82</v>
      </c>
      <c r="Q11" s="53">
        <v>14</v>
      </c>
      <c r="R11" s="9">
        <v>0</v>
      </c>
      <c r="S11" s="62"/>
      <c r="T11" s="62"/>
      <c r="U11" s="62"/>
    </row>
    <row r="12" spans="1:23" x14ac:dyDescent="0.3">
      <c r="A12" s="495" t="s">
        <v>20</v>
      </c>
      <c r="B12" s="495"/>
      <c r="C12" s="377">
        <v>2</v>
      </c>
      <c r="D12" s="377"/>
      <c r="E12" s="409">
        <v>4</v>
      </c>
      <c r="F12" s="410"/>
      <c r="G12" s="409">
        <v>0</v>
      </c>
      <c r="H12" s="410"/>
      <c r="I12" s="409">
        <v>0</v>
      </c>
      <c r="J12" s="410"/>
      <c r="K12" s="409">
        <v>0</v>
      </c>
      <c r="L12" s="410"/>
      <c r="M12" s="71">
        <v>300</v>
      </c>
      <c r="N12" s="9">
        <v>177</v>
      </c>
      <c r="O12" s="53">
        <v>15</v>
      </c>
      <c r="P12" s="9">
        <v>0</v>
      </c>
      <c r="Q12" s="53">
        <v>16</v>
      </c>
      <c r="R12" s="9">
        <v>5</v>
      </c>
      <c r="S12" s="61"/>
    </row>
    <row r="13" spans="1:23" x14ac:dyDescent="0.3">
      <c r="A13" s="495" t="s">
        <v>21</v>
      </c>
      <c r="B13" s="495"/>
      <c r="C13" s="377">
        <v>183</v>
      </c>
      <c r="D13" s="377"/>
      <c r="E13" s="409">
        <v>51</v>
      </c>
      <c r="F13" s="410"/>
      <c r="G13" s="409">
        <v>1</v>
      </c>
      <c r="H13" s="410"/>
      <c r="I13" s="409">
        <v>7</v>
      </c>
      <c r="J13" s="410"/>
      <c r="K13" s="409">
        <v>1</v>
      </c>
      <c r="L13" s="410"/>
      <c r="M13" s="71">
        <v>200</v>
      </c>
      <c r="N13" s="9">
        <v>167</v>
      </c>
      <c r="O13" s="53">
        <v>37</v>
      </c>
      <c r="P13" s="9">
        <v>0</v>
      </c>
      <c r="Q13" s="53">
        <v>0</v>
      </c>
      <c r="R13" s="9">
        <v>0</v>
      </c>
      <c r="S13" s="61"/>
    </row>
    <row r="14" spans="1:23" x14ac:dyDescent="0.3">
      <c r="A14" s="495" t="s">
        <v>22</v>
      </c>
      <c r="B14" s="495"/>
      <c r="C14" s="377">
        <v>128</v>
      </c>
      <c r="D14" s="377"/>
      <c r="E14" s="409">
        <v>16</v>
      </c>
      <c r="F14" s="410"/>
      <c r="G14" s="409">
        <v>7</v>
      </c>
      <c r="H14" s="410"/>
      <c r="I14" s="409">
        <v>0</v>
      </c>
      <c r="J14" s="410"/>
      <c r="K14" s="409">
        <v>0</v>
      </c>
      <c r="L14" s="410"/>
      <c r="M14" s="71">
        <v>200</v>
      </c>
      <c r="N14" s="10">
        <v>95</v>
      </c>
      <c r="O14" s="32">
        <v>21</v>
      </c>
      <c r="P14" s="9">
        <v>0</v>
      </c>
      <c r="Q14" s="53">
        <v>0</v>
      </c>
      <c r="R14" s="9">
        <v>0</v>
      </c>
      <c r="S14" s="61"/>
    </row>
    <row r="15" spans="1:23" ht="15" thickBot="1" x14ac:dyDescent="0.35">
      <c r="A15" s="499" t="s">
        <v>23</v>
      </c>
      <c r="B15" s="499"/>
      <c r="C15" s="375">
        <v>0</v>
      </c>
      <c r="D15" s="375"/>
      <c r="E15" s="461">
        <v>0</v>
      </c>
      <c r="F15" s="462"/>
      <c r="G15" s="461">
        <v>0</v>
      </c>
      <c r="H15" s="462"/>
      <c r="I15" s="461">
        <v>0</v>
      </c>
      <c r="J15" s="462"/>
      <c r="K15" s="461">
        <v>0</v>
      </c>
      <c r="L15" s="462"/>
      <c r="M15" s="72">
        <v>0</v>
      </c>
      <c r="N15" s="10">
        <v>0</v>
      </c>
      <c r="O15" s="32">
        <v>0</v>
      </c>
      <c r="P15" s="73">
        <f>2993+288</f>
        <v>3281</v>
      </c>
      <c r="Q15" s="73">
        <v>2275</v>
      </c>
      <c r="R15" s="74">
        <v>2332</v>
      </c>
      <c r="S15" s="61"/>
    </row>
    <row r="16" spans="1:23" ht="15" thickBot="1" x14ac:dyDescent="0.35">
      <c r="A16" s="503" t="s">
        <v>24</v>
      </c>
      <c r="B16" s="504"/>
      <c r="C16" s="373">
        <f>SUM(C5:D15)</f>
        <v>5723</v>
      </c>
      <c r="D16" s="373"/>
      <c r="E16" s="373">
        <f>SUM(E5:F15)</f>
        <v>282</v>
      </c>
      <c r="F16" s="373"/>
      <c r="G16" s="373">
        <f>SUM(G5:H15)</f>
        <v>76</v>
      </c>
      <c r="H16" s="373"/>
      <c r="I16" s="373">
        <f>SUM(I5:J15)</f>
        <v>42</v>
      </c>
      <c r="J16" s="373"/>
      <c r="K16" s="373">
        <f>SUM(K5:L15)</f>
        <v>5</v>
      </c>
      <c r="L16" s="373"/>
      <c r="M16" s="75">
        <f t="shared" ref="M16:R16" si="0">SUM(M5:M15)</f>
        <v>14729</v>
      </c>
      <c r="N16" s="13">
        <f t="shared" si="0"/>
        <v>3569</v>
      </c>
      <c r="O16" s="13">
        <f t="shared" si="0"/>
        <v>515</v>
      </c>
      <c r="P16" s="16">
        <f t="shared" si="0"/>
        <v>15028</v>
      </c>
      <c r="Q16" s="16">
        <f t="shared" si="0"/>
        <v>12962</v>
      </c>
      <c r="R16" s="17">
        <f t="shared" si="0"/>
        <v>10198</v>
      </c>
      <c r="S16" s="61"/>
      <c r="T16" s="62"/>
    </row>
    <row r="17" spans="1:20" x14ac:dyDescent="0.3">
      <c r="A17" s="500" t="s">
        <v>25</v>
      </c>
      <c r="B17" s="500"/>
      <c r="C17" s="368">
        <v>4376</v>
      </c>
      <c r="D17" s="368"/>
      <c r="E17" s="501">
        <v>190</v>
      </c>
      <c r="F17" s="502"/>
      <c r="G17" s="501">
        <v>0</v>
      </c>
      <c r="H17" s="502"/>
      <c r="I17" s="501">
        <v>0</v>
      </c>
      <c r="J17" s="502"/>
      <c r="K17" s="501">
        <v>0</v>
      </c>
      <c r="L17" s="502"/>
      <c r="M17" s="77">
        <v>9829</v>
      </c>
      <c r="N17" s="78">
        <v>1549</v>
      </c>
      <c r="O17" s="79">
        <v>40</v>
      </c>
      <c r="P17" s="80">
        <v>11663</v>
      </c>
      <c r="Q17" s="80">
        <v>10645</v>
      </c>
      <c r="R17" s="81">
        <v>7858</v>
      </c>
      <c r="S17" s="61"/>
      <c r="T17" s="64"/>
    </row>
    <row r="18" spans="1:20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T18" s="62"/>
    </row>
    <row r="19" spans="1:20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20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421" t="s">
        <v>7</v>
      </c>
      <c r="L21" s="20"/>
      <c r="M21" s="21"/>
    </row>
    <row r="22" spans="1:20" ht="57.6" x14ac:dyDescent="0.3">
      <c r="A22" s="337"/>
      <c r="B22" s="338"/>
      <c r="C22" s="341"/>
      <c r="D22" s="342"/>
      <c r="E22" s="345"/>
      <c r="F22" s="346"/>
      <c r="G22" s="345"/>
      <c r="H22" s="346"/>
      <c r="I22" s="349"/>
      <c r="J22" s="350"/>
      <c r="K22" s="351"/>
      <c r="L22" s="22" t="s">
        <v>30</v>
      </c>
      <c r="M22" s="23" t="s">
        <v>31</v>
      </c>
    </row>
    <row r="23" spans="1:20" x14ac:dyDescent="0.3">
      <c r="A23" s="263" t="s">
        <v>11</v>
      </c>
      <c r="B23" s="422"/>
      <c r="C23" s="423" t="s">
        <v>507</v>
      </c>
      <c r="D23" s="424"/>
      <c r="E23" s="424"/>
      <c r="F23" s="424"/>
      <c r="G23" s="424"/>
      <c r="H23" s="424"/>
      <c r="I23" s="424"/>
      <c r="J23" s="424"/>
      <c r="K23" s="424"/>
      <c r="L23" s="24"/>
      <c r="M23" s="25"/>
    </row>
    <row r="24" spans="1:20" x14ac:dyDescent="0.3">
      <c r="A24" s="269" t="s">
        <v>15</v>
      </c>
      <c r="B24" s="270"/>
      <c r="C24" s="409">
        <v>407</v>
      </c>
      <c r="D24" s="410"/>
      <c r="E24" s="431" t="s">
        <v>163</v>
      </c>
      <c r="F24" s="432"/>
      <c r="G24" s="409">
        <v>0</v>
      </c>
      <c r="H24" s="410"/>
      <c r="I24" s="409">
        <v>16</v>
      </c>
      <c r="J24" s="410"/>
      <c r="K24" s="26">
        <v>0</v>
      </c>
      <c r="L24" s="27">
        <v>69</v>
      </c>
      <c r="M24" s="27">
        <v>2</v>
      </c>
    </row>
    <row r="25" spans="1:20" x14ac:dyDescent="0.3">
      <c r="A25" s="269" t="s">
        <v>16</v>
      </c>
      <c r="B25" s="270"/>
      <c r="C25" s="409">
        <v>91</v>
      </c>
      <c r="D25" s="410"/>
      <c r="E25" s="431" t="s">
        <v>192</v>
      </c>
      <c r="F25" s="432"/>
      <c r="G25" s="409">
        <v>0</v>
      </c>
      <c r="H25" s="410"/>
      <c r="I25" s="409">
        <v>53</v>
      </c>
      <c r="J25" s="410"/>
      <c r="K25" s="9">
        <v>0</v>
      </c>
      <c r="L25" s="28">
        <v>7</v>
      </c>
      <c r="M25" s="28">
        <v>0</v>
      </c>
    </row>
    <row r="26" spans="1:20" x14ac:dyDescent="0.3">
      <c r="A26" s="269" t="s">
        <v>17</v>
      </c>
      <c r="B26" s="270"/>
      <c r="C26" s="409">
        <v>107</v>
      </c>
      <c r="D26" s="410"/>
      <c r="E26" s="431" t="s">
        <v>193</v>
      </c>
      <c r="F26" s="432"/>
      <c r="G26" s="409">
        <v>27</v>
      </c>
      <c r="H26" s="410"/>
      <c r="I26" s="409">
        <v>34</v>
      </c>
      <c r="J26" s="410"/>
      <c r="K26" s="9">
        <v>4</v>
      </c>
      <c r="L26" s="28">
        <v>8</v>
      </c>
      <c r="M26" s="28">
        <v>4</v>
      </c>
    </row>
    <row r="27" spans="1:20" x14ac:dyDescent="0.3">
      <c r="A27" s="269" t="s">
        <v>18</v>
      </c>
      <c r="B27" s="270"/>
      <c r="C27" s="431" t="s">
        <v>194</v>
      </c>
      <c r="D27" s="432"/>
      <c r="E27" s="431" t="s">
        <v>195</v>
      </c>
      <c r="F27" s="432"/>
      <c r="G27" s="409">
        <v>0</v>
      </c>
      <c r="H27" s="410"/>
      <c r="I27" s="409">
        <v>20</v>
      </c>
      <c r="J27" s="410"/>
      <c r="K27" s="9">
        <v>5</v>
      </c>
      <c r="L27" s="29">
        <v>1</v>
      </c>
      <c r="M27" s="28">
        <v>0</v>
      </c>
    </row>
    <row r="28" spans="1:20" x14ac:dyDescent="0.3">
      <c r="A28" s="269" t="s">
        <v>19</v>
      </c>
      <c r="B28" s="270"/>
      <c r="C28" s="431" t="s">
        <v>196</v>
      </c>
      <c r="D28" s="432"/>
      <c r="E28" s="431" t="s">
        <v>197</v>
      </c>
      <c r="F28" s="432"/>
      <c r="G28" s="409">
        <v>0</v>
      </c>
      <c r="H28" s="410"/>
      <c r="I28" s="409">
        <v>14</v>
      </c>
      <c r="J28" s="410"/>
      <c r="K28" s="9">
        <v>4</v>
      </c>
      <c r="L28" s="28">
        <v>8</v>
      </c>
      <c r="M28" s="28">
        <v>9</v>
      </c>
    </row>
    <row r="29" spans="1:20" x14ac:dyDescent="0.3">
      <c r="A29" s="269" t="s">
        <v>20</v>
      </c>
      <c r="B29" s="270"/>
      <c r="C29" s="409">
        <v>292</v>
      </c>
      <c r="D29" s="410"/>
      <c r="E29" s="431" t="s">
        <v>198</v>
      </c>
      <c r="F29" s="432"/>
      <c r="G29" s="409">
        <v>27</v>
      </c>
      <c r="H29" s="410"/>
      <c r="I29" s="409">
        <v>0</v>
      </c>
      <c r="J29" s="410"/>
      <c r="K29" s="9">
        <v>0</v>
      </c>
      <c r="L29" s="28">
        <v>0</v>
      </c>
      <c r="M29" s="28">
        <v>0</v>
      </c>
    </row>
    <row r="30" spans="1:20" x14ac:dyDescent="0.3">
      <c r="A30" s="269" t="s">
        <v>21</v>
      </c>
      <c r="B30" s="270"/>
      <c r="C30" s="431" t="s">
        <v>199</v>
      </c>
      <c r="D30" s="432"/>
      <c r="E30" s="431" t="s">
        <v>200</v>
      </c>
      <c r="F30" s="432"/>
      <c r="G30" s="409">
        <v>0</v>
      </c>
      <c r="H30" s="410"/>
      <c r="I30" s="409">
        <v>10</v>
      </c>
      <c r="J30" s="410"/>
      <c r="K30" s="9">
        <v>0</v>
      </c>
      <c r="L30" s="28">
        <v>15</v>
      </c>
      <c r="M30" s="28">
        <v>0</v>
      </c>
    </row>
    <row r="31" spans="1:20" x14ac:dyDescent="0.3">
      <c r="A31" s="269" t="s">
        <v>22</v>
      </c>
      <c r="B31" s="270"/>
      <c r="C31" s="409">
        <v>0</v>
      </c>
      <c r="D31" s="410"/>
      <c r="E31" s="431" t="s">
        <v>35</v>
      </c>
      <c r="F31" s="432"/>
      <c r="G31" s="409">
        <v>0</v>
      </c>
      <c r="H31" s="410"/>
      <c r="I31" s="409">
        <v>0</v>
      </c>
      <c r="J31" s="410"/>
      <c r="K31" s="9">
        <v>0</v>
      </c>
      <c r="L31" s="28">
        <v>0</v>
      </c>
      <c r="M31" s="28">
        <v>0</v>
      </c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335" t="s">
        <v>201</v>
      </c>
      <c r="B34" s="336"/>
      <c r="C34" s="339" t="s">
        <v>1</v>
      </c>
      <c r="D34" s="340"/>
      <c r="E34" s="343" t="s">
        <v>28</v>
      </c>
      <c r="F34" s="344"/>
      <c r="G34" s="343" t="s">
        <v>3</v>
      </c>
      <c r="H34" s="344"/>
      <c r="I34" s="347" t="s">
        <v>29</v>
      </c>
      <c r="J34" s="348"/>
      <c r="K34" s="351" t="s">
        <v>7</v>
      </c>
      <c r="L34" s="20"/>
      <c r="M34" s="21"/>
    </row>
    <row r="35" spans="1:13" ht="57.6" x14ac:dyDescent="0.3">
      <c r="A35" s="337"/>
      <c r="B35" s="338"/>
      <c r="C35" s="341"/>
      <c r="D35" s="342"/>
      <c r="E35" s="345"/>
      <c r="F35" s="346"/>
      <c r="G35" s="345"/>
      <c r="H35" s="346"/>
      <c r="I35" s="349"/>
      <c r="J35" s="350"/>
      <c r="K35" s="352"/>
      <c r="L35" s="22" t="s">
        <v>30</v>
      </c>
      <c r="M35" s="23" t="s">
        <v>31</v>
      </c>
    </row>
    <row r="36" spans="1:13" x14ac:dyDescent="0.3">
      <c r="A36" s="263" t="s">
        <v>11</v>
      </c>
      <c r="B36" s="422"/>
      <c r="C36" s="333" t="s">
        <v>507</v>
      </c>
      <c r="D36" s="334"/>
      <c r="E36" s="334"/>
      <c r="F36" s="334"/>
      <c r="G36" s="334"/>
      <c r="H36" s="334"/>
      <c r="I36" s="334"/>
      <c r="J36" s="334"/>
      <c r="K36" s="334"/>
      <c r="L36" s="24"/>
      <c r="M36" s="25"/>
    </row>
    <row r="37" spans="1:13" x14ac:dyDescent="0.3">
      <c r="A37" s="435" t="s">
        <v>15</v>
      </c>
      <c r="B37" s="436"/>
      <c r="C37" s="409" t="s">
        <v>202</v>
      </c>
      <c r="D37" s="410"/>
      <c r="E37" s="437" t="s">
        <v>203</v>
      </c>
      <c r="F37" s="438"/>
      <c r="G37" s="409" t="s">
        <v>40</v>
      </c>
      <c r="H37" s="410"/>
      <c r="I37" s="409">
        <v>11</v>
      </c>
      <c r="J37" s="410"/>
      <c r="K37" s="26">
        <v>0</v>
      </c>
      <c r="L37" s="27" t="s">
        <v>204</v>
      </c>
      <c r="M37" s="27" t="s">
        <v>136</v>
      </c>
    </row>
    <row r="38" spans="1:13" x14ac:dyDescent="0.3">
      <c r="A38" s="435" t="s">
        <v>16</v>
      </c>
      <c r="B38" s="436"/>
      <c r="C38" s="409">
        <v>0</v>
      </c>
      <c r="D38" s="410"/>
      <c r="E38" s="437" t="s">
        <v>205</v>
      </c>
      <c r="F38" s="438"/>
      <c r="G38" s="409" t="s">
        <v>43</v>
      </c>
      <c r="H38" s="410"/>
      <c r="I38" s="409">
        <v>0</v>
      </c>
      <c r="J38" s="410"/>
      <c r="K38" s="9">
        <v>0</v>
      </c>
      <c r="L38" s="28">
        <v>0</v>
      </c>
      <c r="M38" s="28">
        <v>0</v>
      </c>
    </row>
    <row r="39" spans="1:13" x14ac:dyDescent="0.3">
      <c r="A39" s="435" t="s">
        <v>17</v>
      </c>
      <c r="B39" s="436"/>
      <c r="C39" s="409" t="s">
        <v>206</v>
      </c>
      <c r="D39" s="410"/>
      <c r="E39" s="437" t="s">
        <v>207</v>
      </c>
      <c r="F39" s="438"/>
      <c r="G39" s="409" t="s">
        <v>123</v>
      </c>
      <c r="H39" s="410"/>
      <c r="I39" s="409" t="s">
        <v>202</v>
      </c>
      <c r="J39" s="410"/>
      <c r="K39" s="9" t="s">
        <v>45</v>
      </c>
      <c r="L39" s="28" t="s">
        <v>139</v>
      </c>
      <c r="M39" s="28" t="s">
        <v>90</v>
      </c>
    </row>
    <row r="40" spans="1:13" x14ac:dyDescent="0.3">
      <c r="A40" s="435" t="s">
        <v>18</v>
      </c>
      <c r="B40" s="436"/>
      <c r="C40" s="409">
        <v>0</v>
      </c>
      <c r="D40" s="410"/>
      <c r="E40" s="437" t="s">
        <v>208</v>
      </c>
      <c r="F40" s="438"/>
      <c r="G40" s="409" t="s">
        <v>47</v>
      </c>
      <c r="H40" s="410"/>
      <c r="I40" s="409">
        <v>0</v>
      </c>
      <c r="J40" s="410"/>
      <c r="K40" s="9">
        <v>0</v>
      </c>
      <c r="L40" s="28">
        <v>0</v>
      </c>
      <c r="M40" s="28">
        <v>0</v>
      </c>
    </row>
    <row r="41" spans="1:13" x14ac:dyDescent="0.3">
      <c r="A41" s="435" t="s">
        <v>19</v>
      </c>
      <c r="B41" s="436"/>
      <c r="C41" s="409" t="s">
        <v>209</v>
      </c>
      <c r="D41" s="410"/>
      <c r="E41" s="437" t="s">
        <v>210</v>
      </c>
      <c r="F41" s="438"/>
      <c r="G41" s="409">
        <v>0</v>
      </c>
      <c r="H41" s="410"/>
      <c r="I41" s="409" t="s">
        <v>50</v>
      </c>
      <c r="J41" s="410"/>
      <c r="K41" s="9" t="s">
        <v>96</v>
      </c>
      <c r="L41" s="28">
        <v>0</v>
      </c>
      <c r="M41" s="28">
        <v>0</v>
      </c>
    </row>
    <row r="42" spans="1:13" x14ac:dyDescent="0.3">
      <c r="A42" s="435" t="s">
        <v>20</v>
      </c>
      <c r="B42" s="436"/>
      <c r="C42" s="409">
        <v>0</v>
      </c>
      <c r="D42" s="410"/>
      <c r="E42" s="409" t="s">
        <v>211</v>
      </c>
      <c r="F42" s="410"/>
      <c r="G42" s="409" t="s">
        <v>212</v>
      </c>
      <c r="H42" s="410"/>
      <c r="I42" s="409">
        <v>0</v>
      </c>
      <c r="J42" s="410"/>
      <c r="K42" s="9">
        <v>0</v>
      </c>
      <c r="L42" s="28">
        <v>0</v>
      </c>
      <c r="M42" s="28">
        <v>0</v>
      </c>
    </row>
    <row r="43" spans="1:13" x14ac:dyDescent="0.3">
      <c r="A43" s="435" t="s">
        <v>21</v>
      </c>
      <c r="B43" s="436"/>
      <c r="C43" s="409" t="s">
        <v>41</v>
      </c>
      <c r="D43" s="410"/>
      <c r="E43" s="409" t="s">
        <v>213</v>
      </c>
      <c r="F43" s="410"/>
      <c r="G43" s="409">
        <v>0</v>
      </c>
      <c r="H43" s="410"/>
      <c r="I43" s="409">
        <v>0</v>
      </c>
      <c r="J43" s="410"/>
      <c r="K43" s="9">
        <v>0</v>
      </c>
      <c r="L43" s="28" t="s">
        <v>214</v>
      </c>
      <c r="M43" s="28" t="s">
        <v>40</v>
      </c>
    </row>
    <row r="44" spans="1:13" x14ac:dyDescent="0.3">
      <c r="A44" s="435" t="s">
        <v>22</v>
      </c>
      <c r="B44" s="436"/>
      <c r="C44" s="409">
        <v>0</v>
      </c>
      <c r="D44" s="410"/>
      <c r="E44" s="437" t="s">
        <v>113</v>
      </c>
      <c r="F44" s="438"/>
      <c r="G44" s="409">
        <v>0</v>
      </c>
      <c r="H44" s="410"/>
      <c r="I44" s="409" t="s">
        <v>99</v>
      </c>
      <c r="J44" s="410"/>
      <c r="K44" s="9" t="s">
        <v>100</v>
      </c>
      <c r="L44" s="28">
        <v>0</v>
      </c>
      <c r="M44" s="28">
        <v>0</v>
      </c>
    </row>
    <row r="45" spans="1:13" x14ac:dyDescent="0.3">
      <c r="A45" s="313" t="s">
        <v>54</v>
      </c>
      <c r="B45" s="313"/>
      <c r="C45" s="313"/>
      <c r="D45" s="313"/>
      <c r="E45" s="313"/>
      <c r="F45" s="313"/>
      <c r="G45" s="313"/>
      <c r="H45" s="313"/>
      <c r="I45" s="313"/>
      <c r="J45" s="313"/>
      <c r="K45" s="313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3" x14ac:dyDescent="0.3">
      <c r="A48" s="314" t="s">
        <v>55</v>
      </c>
      <c r="B48" s="315"/>
      <c r="C48" s="315"/>
      <c r="D48" s="315"/>
      <c r="E48" s="315"/>
      <c r="F48" s="315"/>
      <c r="G48" s="315"/>
      <c r="H48" s="315"/>
      <c r="I48" s="315"/>
      <c r="J48" s="316"/>
    </row>
    <row r="49" spans="1:10" x14ac:dyDescent="0.3">
      <c r="A49" s="441" t="s">
        <v>56</v>
      </c>
      <c r="B49" s="442"/>
      <c r="C49" s="505" t="s">
        <v>215</v>
      </c>
      <c r="D49" s="486"/>
      <c r="E49" s="505" t="s">
        <v>216</v>
      </c>
      <c r="F49" s="486"/>
      <c r="G49" s="319" t="s">
        <v>217</v>
      </c>
      <c r="H49" s="320"/>
      <c r="I49" s="319" t="s">
        <v>507</v>
      </c>
      <c r="J49" s="320"/>
    </row>
    <row r="50" spans="1:10" x14ac:dyDescent="0.3">
      <c r="A50" s="445" t="s">
        <v>59</v>
      </c>
      <c r="B50" s="446"/>
      <c r="C50" s="506">
        <v>9010</v>
      </c>
      <c r="D50" s="506"/>
      <c r="E50" s="506">
        <v>8990</v>
      </c>
      <c r="F50" s="506"/>
      <c r="G50" s="506">
        <v>8892</v>
      </c>
      <c r="H50" s="506"/>
      <c r="I50" s="506">
        <v>8850</v>
      </c>
      <c r="J50" s="506"/>
    </row>
    <row r="51" spans="1:10" ht="15" customHeight="1" x14ac:dyDescent="0.3">
      <c r="A51" s="445" t="s">
        <v>60</v>
      </c>
      <c r="B51" s="446"/>
      <c r="C51" s="506">
        <v>13249</v>
      </c>
      <c r="D51" s="506"/>
      <c r="E51" s="506">
        <v>13326</v>
      </c>
      <c r="F51" s="506"/>
      <c r="G51" s="506">
        <v>13433</v>
      </c>
      <c r="H51" s="506"/>
      <c r="I51" s="506">
        <v>13417</v>
      </c>
      <c r="J51" s="506"/>
    </row>
    <row r="52" spans="1:10" x14ac:dyDescent="0.3">
      <c r="A52" s="445" t="s">
        <v>61</v>
      </c>
      <c r="B52" s="446"/>
      <c r="C52" s="507">
        <v>109401</v>
      </c>
      <c r="D52" s="508"/>
      <c r="E52" s="506">
        <v>109431</v>
      </c>
      <c r="F52" s="506"/>
      <c r="G52" s="506">
        <v>109469</v>
      </c>
      <c r="H52" s="506"/>
      <c r="I52" s="506">
        <v>109069</v>
      </c>
      <c r="J52" s="506"/>
    </row>
    <row r="53" spans="1:10" x14ac:dyDescent="0.3">
      <c r="A53" s="445" t="s">
        <v>62</v>
      </c>
      <c r="B53" s="446"/>
      <c r="C53" s="507">
        <v>235</v>
      </c>
      <c r="D53" s="508"/>
      <c r="E53" s="507">
        <v>234</v>
      </c>
      <c r="F53" s="508"/>
      <c r="G53" s="506">
        <v>234</v>
      </c>
      <c r="H53" s="506"/>
      <c r="I53" s="506">
        <v>234</v>
      </c>
      <c r="J53" s="506"/>
    </row>
    <row r="54" spans="1:10" x14ac:dyDescent="0.3">
      <c r="A54" s="445" t="s">
        <v>63</v>
      </c>
      <c r="B54" s="446"/>
      <c r="C54" s="507">
        <v>48717</v>
      </c>
      <c r="D54" s="508"/>
      <c r="E54" s="507">
        <v>48701</v>
      </c>
      <c r="F54" s="508"/>
      <c r="G54" s="509">
        <v>48829</v>
      </c>
      <c r="H54" s="486"/>
      <c r="I54" s="509">
        <v>48756</v>
      </c>
      <c r="J54" s="486"/>
    </row>
    <row r="55" spans="1:10" x14ac:dyDescent="0.3">
      <c r="A55" s="445" t="s">
        <v>64</v>
      </c>
      <c r="B55" s="446"/>
      <c r="C55" s="507">
        <v>5991</v>
      </c>
      <c r="D55" s="508"/>
      <c r="E55" s="507">
        <v>6005</v>
      </c>
      <c r="F55" s="508"/>
      <c r="G55" s="486">
        <v>6003</v>
      </c>
      <c r="H55" s="486"/>
      <c r="I55" s="486">
        <v>5997</v>
      </c>
      <c r="J55" s="486"/>
    </row>
    <row r="56" spans="1:10" x14ac:dyDescent="0.3">
      <c r="A56" s="445" t="s">
        <v>65</v>
      </c>
      <c r="B56" s="446"/>
      <c r="C56" s="507">
        <v>26690</v>
      </c>
      <c r="D56" s="508"/>
      <c r="E56" s="507">
        <v>26676</v>
      </c>
      <c r="F56" s="508"/>
      <c r="G56" s="509">
        <f>21898+4699</f>
        <v>26597</v>
      </c>
      <c r="H56" s="486"/>
      <c r="I56" s="509">
        <f>21822+4696</f>
        <v>26518</v>
      </c>
      <c r="J56" s="486"/>
    </row>
    <row r="57" spans="1:10" x14ac:dyDescent="0.3">
      <c r="A57" s="445" t="s">
        <v>66</v>
      </c>
      <c r="B57" s="446"/>
      <c r="C57" s="507">
        <v>4444</v>
      </c>
      <c r="D57" s="508"/>
      <c r="E57" s="507">
        <v>4441</v>
      </c>
      <c r="F57" s="508"/>
      <c r="G57" s="486">
        <v>4465</v>
      </c>
      <c r="H57" s="486"/>
      <c r="I57" s="486">
        <v>4479</v>
      </c>
      <c r="J57" s="486"/>
    </row>
    <row r="58" spans="1:10" x14ac:dyDescent="0.3">
      <c r="A58" s="445" t="s">
        <v>67</v>
      </c>
      <c r="B58" s="510"/>
      <c r="C58" s="511">
        <f>SUM(C50:D57)</f>
        <v>217737</v>
      </c>
      <c r="D58" s="511"/>
      <c r="E58" s="512">
        <f>SUM(E50:F57)</f>
        <v>217804</v>
      </c>
      <c r="F58" s="512"/>
      <c r="G58" s="511">
        <v>217961</v>
      </c>
      <c r="H58" s="511"/>
      <c r="I58" s="512">
        <v>217320</v>
      </c>
      <c r="J58" s="512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 x14ac:dyDescent="0.3">
      <c r="A60" s="285" t="s">
        <v>68</v>
      </c>
      <c r="B60" s="286"/>
      <c r="C60" s="319" t="s">
        <v>215</v>
      </c>
      <c r="D60" s="320"/>
      <c r="E60" s="453" t="s">
        <v>216</v>
      </c>
      <c r="F60" s="454"/>
      <c r="G60" s="319" t="s">
        <v>218</v>
      </c>
      <c r="H60" s="320"/>
      <c r="I60" s="319" t="s">
        <v>507</v>
      </c>
      <c r="J60" s="320"/>
    </row>
    <row r="61" spans="1:10" x14ac:dyDescent="0.3">
      <c r="A61" s="287"/>
      <c r="B61" s="288"/>
      <c r="C61" s="513">
        <v>143306</v>
      </c>
      <c r="D61" s="514"/>
      <c r="E61" s="513">
        <v>14365</v>
      </c>
      <c r="F61" s="514"/>
      <c r="G61" s="513">
        <v>143486</v>
      </c>
      <c r="H61" s="514"/>
      <c r="I61" s="513">
        <v>143386</v>
      </c>
      <c r="J61" s="514"/>
    </row>
    <row r="62" spans="1:10" x14ac:dyDescent="0.3">
      <c r="A62" s="289"/>
      <c r="B62" s="290"/>
      <c r="C62" s="515"/>
      <c r="D62" s="516"/>
      <c r="E62" s="515"/>
      <c r="F62" s="516"/>
      <c r="G62" s="515"/>
      <c r="H62" s="516"/>
      <c r="I62" s="515"/>
      <c r="J62" s="516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79" t="s">
        <v>69</v>
      </c>
      <c r="B65" s="280"/>
      <c r="C65" s="280"/>
      <c r="D65" s="280"/>
      <c r="E65" s="280"/>
      <c r="F65" s="280"/>
      <c r="G65" s="280"/>
      <c r="H65" s="280"/>
      <c r="I65" s="280"/>
      <c r="J65" s="281"/>
    </row>
    <row r="66" spans="1:10" x14ac:dyDescent="0.3">
      <c r="A66" s="279" t="s">
        <v>11</v>
      </c>
      <c r="B66" s="281"/>
      <c r="C66" s="82" t="s">
        <v>12</v>
      </c>
      <c r="D66" s="83"/>
      <c r="E66" s="282" t="s">
        <v>125</v>
      </c>
      <c r="F66" s="284"/>
      <c r="G66" s="282" t="s">
        <v>219</v>
      </c>
      <c r="H66" s="284"/>
      <c r="I66" s="459" t="s">
        <v>220</v>
      </c>
      <c r="J66" s="460"/>
    </row>
    <row r="67" spans="1:10" x14ac:dyDescent="0.3">
      <c r="A67" s="271" t="s">
        <v>73</v>
      </c>
      <c r="B67" s="272"/>
      <c r="C67" s="271" t="s">
        <v>74</v>
      </c>
      <c r="D67" s="272"/>
      <c r="E67" s="271" t="s">
        <v>74</v>
      </c>
      <c r="F67" s="272"/>
      <c r="G67" s="271" t="s">
        <v>74</v>
      </c>
      <c r="H67" s="272"/>
      <c r="I67" s="271" t="s">
        <v>74</v>
      </c>
      <c r="J67" s="272"/>
    </row>
    <row r="68" spans="1:10" x14ac:dyDescent="0.3">
      <c r="A68" s="273"/>
      <c r="B68" s="274"/>
      <c r="C68" s="273"/>
      <c r="D68" s="274"/>
      <c r="E68" s="273"/>
      <c r="F68" s="274"/>
      <c r="G68" s="273"/>
      <c r="H68" s="274"/>
      <c r="I68" s="273"/>
      <c r="J68" s="274"/>
    </row>
    <row r="69" spans="1:10" x14ac:dyDescent="0.3">
      <c r="A69" s="267" t="s">
        <v>15</v>
      </c>
      <c r="B69" s="268"/>
      <c r="C69" s="517">
        <v>34999</v>
      </c>
      <c r="D69" s="518"/>
      <c r="E69" s="517">
        <v>35287</v>
      </c>
      <c r="F69" s="518"/>
      <c r="G69" s="517">
        <v>35704</v>
      </c>
      <c r="H69" s="518"/>
      <c r="I69" s="517">
        <v>36102</v>
      </c>
      <c r="J69" s="518"/>
    </row>
    <row r="70" spans="1:10" x14ac:dyDescent="0.3">
      <c r="A70" s="269" t="s">
        <v>16</v>
      </c>
      <c r="B70" s="270"/>
      <c r="C70" s="517">
        <v>7925</v>
      </c>
      <c r="D70" s="518"/>
      <c r="E70" s="517">
        <v>8017</v>
      </c>
      <c r="F70" s="518"/>
      <c r="G70" s="517">
        <v>8071</v>
      </c>
      <c r="H70" s="518"/>
      <c r="I70" s="517">
        <v>8166</v>
      </c>
      <c r="J70" s="518"/>
    </row>
    <row r="71" spans="1:10" x14ac:dyDescent="0.3">
      <c r="A71" s="267" t="s">
        <v>17</v>
      </c>
      <c r="B71" s="268"/>
      <c r="C71" s="517">
        <v>7254</v>
      </c>
      <c r="D71" s="518"/>
      <c r="E71" s="517">
        <v>7317</v>
      </c>
      <c r="F71" s="518"/>
      <c r="G71" s="517">
        <v>7417</v>
      </c>
      <c r="H71" s="518"/>
      <c r="I71" s="517">
        <v>7599</v>
      </c>
      <c r="J71" s="518"/>
    </row>
    <row r="72" spans="1:10" x14ac:dyDescent="0.3">
      <c r="A72" s="267" t="s">
        <v>75</v>
      </c>
      <c r="B72" s="268"/>
      <c r="C72" s="517">
        <v>1936</v>
      </c>
      <c r="D72" s="518"/>
      <c r="E72" s="517">
        <v>1970</v>
      </c>
      <c r="F72" s="518"/>
      <c r="G72" s="517">
        <v>2007</v>
      </c>
      <c r="H72" s="518"/>
      <c r="I72" s="517">
        <v>2032</v>
      </c>
      <c r="J72" s="518"/>
    </row>
    <row r="73" spans="1:10" x14ac:dyDescent="0.3">
      <c r="A73" s="269" t="s">
        <v>18</v>
      </c>
      <c r="B73" s="270"/>
      <c r="C73" s="517">
        <v>5839</v>
      </c>
      <c r="D73" s="518"/>
      <c r="E73" s="517">
        <v>5921</v>
      </c>
      <c r="F73" s="518"/>
      <c r="G73" s="517">
        <v>6030</v>
      </c>
      <c r="H73" s="518"/>
      <c r="I73" s="517">
        <v>6107</v>
      </c>
      <c r="J73" s="518"/>
    </row>
    <row r="74" spans="1:10" x14ac:dyDescent="0.3">
      <c r="A74" s="267" t="s">
        <v>19</v>
      </c>
      <c r="B74" s="268"/>
      <c r="C74" s="517">
        <v>5310</v>
      </c>
      <c r="D74" s="518"/>
      <c r="E74" s="517">
        <v>5374</v>
      </c>
      <c r="F74" s="518"/>
      <c r="G74" s="517">
        <v>5388</v>
      </c>
      <c r="H74" s="518"/>
      <c r="I74" s="517">
        <v>5399</v>
      </c>
      <c r="J74" s="518"/>
    </row>
    <row r="75" spans="1:10" x14ac:dyDescent="0.3">
      <c r="A75" s="269" t="s">
        <v>20</v>
      </c>
      <c r="B75" s="270"/>
      <c r="C75" s="517">
        <v>9151</v>
      </c>
      <c r="D75" s="518"/>
      <c r="E75" s="517">
        <v>9255</v>
      </c>
      <c r="F75" s="518"/>
      <c r="G75" s="517">
        <v>9341</v>
      </c>
      <c r="H75" s="518"/>
      <c r="I75" s="517">
        <v>9443</v>
      </c>
      <c r="J75" s="518"/>
    </row>
    <row r="76" spans="1:10" x14ac:dyDescent="0.3">
      <c r="A76" s="267" t="s">
        <v>21</v>
      </c>
      <c r="B76" s="268"/>
      <c r="C76" s="517">
        <v>1791</v>
      </c>
      <c r="D76" s="518"/>
      <c r="E76" s="517">
        <v>1805</v>
      </c>
      <c r="F76" s="518"/>
      <c r="G76" s="517">
        <v>1828</v>
      </c>
      <c r="H76" s="518"/>
      <c r="I76" s="517">
        <v>1839</v>
      </c>
      <c r="J76" s="518"/>
    </row>
    <row r="77" spans="1:10" x14ac:dyDescent="0.3">
      <c r="A77" s="269" t="s">
        <v>22</v>
      </c>
      <c r="B77" s="270"/>
      <c r="C77" s="517">
        <v>6941</v>
      </c>
      <c r="D77" s="518"/>
      <c r="E77" s="517">
        <v>7003</v>
      </c>
      <c r="F77" s="518"/>
      <c r="G77" s="517">
        <v>7091</v>
      </c>
      <c r="H77" s="518"/>
      <c r="I77" s="517">
        <v>7215</v>
      </c>
      <c r="J77" s="518"/>
    </row>
    <row r="78" spans="1:10" x14ac:dyDescent="0.3">
      <c r="A78" s="263" t="s">
        <v>76</v>
      </c>
      <c r="B78" s="264"/>
      <c r="C78" s="517">
        <f>SUM(C69:C77)</f>
        <v>81146</v>
      </c>
      <c r="D78" s="518"/>
      <c r="E78" s="517">
        <f>SUM(E69:E77)</f>
        <v>81949</v>
      </c>
      <c r="F78" s="518"/>
      <c r="G78" s="517">
        <f>SUM(G69:G77)</f>
        <v>82877</v>
      </c>
      <c r="H78" s="518"/>
      <c r="I78" s="517">
        <f>SUM(I69:I77)</f>
        <v>83902</v>
      </c>
      <c r="J78" s="518"/>
    </row>
  </sheetData>
  <mergeCells count="311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S3:U3"/>
    <mergeCell ref="A4:B4"/>
    <mergeCell ref="C4:Q4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R2:R3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D74-EF2B-4663-A0F4-224091DB10DD}">
  <dimension ref="A1:W77"/>
  <sheetViews>
    <sheetView workbookViewId="0">
      <selection activeCell="R21" sqref="A1:XFD1048576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39.88671875" customWidth="1"/>
    <col min="20" max="20" width="24" customWidth="1"/>
  </cols>
  <sheetData>
    <row r="1" spans="1:23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189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  <c r="S1" s="61"/>
    </row>
    <row r="2" spans="1:23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492"/>
      <c r="T2" s="492"/>
      <c r="U2" s="492"/>
    </row>
    <row r="3" spans="1:23" x14ac:dyDescent="0.3">
      <c r="A3" s="263" t="s">
        <v>11</v>
      </c>
      <c r="B3" s="264"/>
      <c r="C3" s="384" t="s">
        <v>221</v>
      </c>
      <c r="D3" s="385"/>
      <c r="E3" s="385"/>
      <c r="F3" s="385"/>
      <c r="G3" s="385"/>
      <c r="H3" s="385"/>
      <c r="I3" s="493"/>
      <c r="J3" s="493"/>
      <c r="K3" s="493"/>
      <c r="L3" s="493"/>
      <c r="M3" s="493"/>
      <c r="N3" s="385"/>
      <c r="O3" s="385"/>
      <c r="P3" s="385"/>
      <c r="Q3" s="385"/>
      <c r="R3" s="93"/>
      <c r="S3" s="62"/>
      <c r="T3" s="62"/>
      <c r="U3" s="62"/>
      <c r="V3" s="62"/>
      <c r="W3" s="64"/>
    </row>
    <row r="4" spans="1:23" x14ac:dyDescent="0.3">
      <c r="A4" s="494" t="s">
        <v>13</v>
      </c>
      <c r="B4" s="494"/>
      <c r="C4" s="387">
        <v>3726</v>
      </c>
      <c r="D4" s="387"/>
      <c r="E4" s="405">
        <v>190</v>
      </c>
      <c r="F4" s="406"/>
      <c r="G4" s="405">
        <v>0</v>
      </c>
      <c r="H4" s="406"/>
      <c r="I4" s="405">
        <v>0</v>
      </c>
      <c r="J4" s="406"/>
      <c r="K4" s="405">
        <v>0</v>
      </c>
      <c r="L4" s="406"/>
      <c r="M4" s="88">
        <v>9829</v>
      </c>
      <c r="N4" s="6">
        <v>1449</v>
      </c>
      <c r="O4" s="31">
        <v>550</v>
      </c>
      <c r="P4" s="7">
        <v>11618</v>
      </c>
      <c r="Q4" s="7">
        <v>10620</v>
      </c>
      <c r="R4" s="7">
        <v>6809</v>
      </c>
      <c r="S4" s="62"/>
      <c r="T4" s="62"/>
      <c r="U4" s="64"/>
      <c r="V4" s="62"/>
      <c r="W4" s="64"/>
    </row>
    <row r="5" spans="1:23" x14ac:dyDescent="0.3">
      <c r="A5" s="494" t="s">
        <v>14</v>
      </c>
      <c r="B5" s="494"/>
      <c r="C5" s="382">
        <v>517</v>
      </c>
      <c r="D5" s="382"/>
      <c r="E5" s="519">
        <v>56</v>
      </c>
      <c r="F5" s="520"/>
      <c r="G5" s="519">
        <v>0</v>
      </c>
      <c r="H5" s="520"/>
      <c r="I5" s="519">
        <v>13</v>
      </c>
      <c r="J5" s="520"/>
      <c r="K5" s="519">
        <v>7</v>
      </c>
      <c r="L5" s="520"/>
      <c r="M5" s="88">
        <v>0</v>
      </c>
      <c r="N5" s="86">
        <v>105</v>
      </c>
      <c r="O5" s="87">
        <v>6</v>
      </c>
      <c r="P5" s="86">
        <v>0</v>
      </c>
      <c r="Q5" s="86">
        <v>0</v>
      </c>
      <c r="R5" s="86">
        <v>0</v>
      </c>
      <c r="S5" s="62"/>
      <c r="T5" s="62"/>
      <c r="U5" s="64"/>
      <c r="V5" s="62"/>
      <c r="W5" s="64"/>
    </row>
    <row r="6" spans="1:23" x14ac:dyDescent="0.3">
      <c r="A6" s="495" t="s">
        <v>15</v>
      </c>
      <c r="B6" s="495"/>
      <c r="C6" s="377">
        <v>138</v>
      </c>
      <c r="D6" s="377"/>
      <c r="E6" s="409">
        <v>4</v>
      </c>
      <c r="F6" s="410"/>
      <c r="G6" s="409">
        <v>60</v>
      </c>
      <c r="H6" s="410"/>
      <c r="I6" s="409">
        <v>123</v>
      </c>
      <c r="J6" s="410"/>
      <c r="K6" s="409">
        <v>3</v>
      </c>
      <c r="L6" s="410"/>
      <c r="M6" s="84">
        <v>800</v>
      </c>
      <c r="N6" s="9">
        <v>350</v>
      </c>
      <c r="O6" s="53">
        <v>55</v>
      </c>
      <c r="P6" s="9">
        <v>0</v>
      </c>
      <c r="Q6" s="53">
        <v>0</v>
      </c>
      <c r="R6" s="9">
        <v>0</v>
      </c>
      <c r="S6" s="62"/>
      <c r="T6" s="62"/>
      <c r="U6" s="64"/>
      <c r="V6" s="62"/>
      <c r="W6" s="62"/>
    </row>
    <row r="7" spans="1:23" x14ac:dyDescent="0.3">
      <c r="A7" s="495" t="s">
        <v>16</v>
      </c>
      <c r="B7" s="495"/>
      <c r="C7" s="377">
        <v>199</v>
      </c>
      <c r="D7" s="377"/>
      <c r="E7" s="409">
        <v>6</v>
      </c>
      <c r="F7" s="410"/>
      <c r="G7" s="409">
        <v>0</v>
      </c>
      <c r="H7" s="410"/>
      <c r="I7" s="409">
        <v>10</v>
      </c>
      <c r="J7" s="410"/>
      <c r="K7" s="409">
        <v>0</v>
      </c>
      <c r="L7" s="410"/>
      <c r="M7" s="95">
        <v>200</v>
      </c>
      <c r="N7" s="9">
        <v>243</v>
      </c>
      <c r="O7" s="53">
        <v>8</v>
      </c>
      <c r="P7" s="9">
        <v>0</v>
      </c>
      <c r="Q7" s="53">
        <v>0</v>
      </c>
      <c r="R7" s="9">
        <v>2</v>
      </c>
      <c r="S7" s="62"/>
      <c r="T7" s="62"/>
      <c r="U7" s="62"/>
      <c r="V7" s="62"/>
      <c r="W7" s="62"/>
    </row>
    <row r="8" spans="1:23" x14ac:dyDescent="0.3">
      <c r="A8" s="495" t="s">
        <v>17</v>
      </c>
      <c r="B8" s="495"/>
      <c r="C8" s="377">
        <v>113</v>
      </c>
      <c r="D8" s="377"/>
      <c r="E8" s="409">
        <v>7</v>
      </c>
      <c r="F8" s="410"/>
      <c r="G8" s="409">
        <v>2</v>
      </c>
      <c r="H8" s="410"/>
      <c r="I8" s="409">
        <v>1</v>
      </c>
      <c r="J8" s="410"/>
      <c r="K8" s="409">
        <v>0</v>
      </c>
      <c r="L8" s="410"/>
      <c r="M8" s="84">
        <v>300</v>
      </c>
      <c r="N8" s="9">
        <v>285</v>
      </c>
      <c r="O8" s="53">
        <v>11</v>
      </c>
      <c r="P8" s="9">
        <v>2</v>
      </c>
      <c r="Q8" s="53">
        <v>12</v>
      </c>
      <c r="R8" s="9">
        <v>1</v>
      </c>
      <c r="S8" s="62"/>
      <c r="T8" s="62"/>
      <c r="U8" s="62"/>
      <c r="V8" s="62"/>
      <c r="W8" s="62"/>
    </row>
    <row r="9" spans="1:23" x14ac:dyDescent="0.3">
      <c r="A9" s="495" t="s">
        <v>18</v>
      </c>
      <c r="B9" s="495"/>
      <c r="C9" s="377">
        <v>160</v>
      </c>
      <c r="D9" s="377"/>
      <c r="E9" s="409">
        <v>1</v>
      </c>
      <c r="F9" s="410"/>
      <c r="G9" s="409">
        <v>1</v>
      </c>
      <c r="H9" s="410"/>
      <c r="I9" s="409">
        <v>1</v>
      </c>
      <c r="J9" s="410"/>
      <c r="K9" s="409">
        <v>0</v>
      </c>
      <c r="L9" s="410"/>
      <c r="M9" s="84">
        <v>300</v>
      </c>
      <c r="N9" s="9">
        <v>340</v>
      </c>
      <c r="O9" s="53">
        <v>80</v>
      </c>
      <c r="P9" s="9">
        <v>0</v>
      </c>
      <c r="Q9" s="53">
        <v>0</v>
      </c>
      <c r="R9" s="9">
        <v>0</v>
      </c>
      <c r="S9" s="62"/>
      <c r="T9" s="62"/>
      <c r="U9" s="62"/>
      <c r="V9" s="62"/>
      <c r="W9" s="62"/>
    </row>
    <row r="10" spans="1:23" x14ac:dyDescent="0.3">
      <c r="A10" s="495" t="s">
        <v>19</v>
      </c>
      <c r="B10" s="495"/>
      <c r="C10" s="377">
        <v>312</v>
      </c>
      <c r="D10" s="377"/>
      <c r="E10" s="409">
        <v>0</v>
      </c>
      <c r="F10" s="410"/>
      <c r="G10" s="409">
        <v>0</v>
      </c>
      <c r="H10" s="410"/>
      <c r="I10" s="409">
        <v>0</v>
      </c>
      <c r="J10" s="410"/>
      <c r="K10" s="409">
        <v>0</v>
      </c>
      <c r="L10" s="410"/>
      <c r="M10" s="84">
        <v>200</v>
      </c>
      <c r="N10" s="10">
        <v>201</v>
      </c>
      <c r="O10" s="32">
        <v>212</v>
      </c>
      <c r="P10" s="9">
        <v>82</v>
      </c>
      <c r="Q10" s="53">
        <v>14</v>
      </c>
      <c r="R10" s="9">
        <v>0</v>
      </c>
      <c r="S10" s="62"/>
      <c r="T10" s="62"/>
      <c r="U10" s="62"/>
    </row>
    <row r="11" spans="1:23" x14ac:dyDescent="0.3">
      <c r="A11" s="495" t="s">
        <v>20</v>
      </c>
      <c r="B11" s="495"/>
      <c r="C11" s="377">
        <v>2</v>
      </c>
      <c r="D11" s="377"/>
      <c r="E11" s="409">
        <v>4</v>
      </c>
      <c r="F11" s="410"/>
      <c r="G11" s="409">
        <v>0</v>
      </c>
      <c r="H11" s="410"/>
      <c r="I11" s="409">
        <v>0</v>
      </c>
      <c r="J11" s="410"/>
      <c r="K11" s="409">
        <v>0</v>
      </c>
      <c r="L11" s="410"/>
      <c r="M11" s="84">
        <v>300</v>
      </c>
      <c r="N11" s="9">
        <v>162</v>
      </c>
      <c r="O11" s="53">
        <v>15</v>
      </c>
      <c r="P11" s="9">
        <v>0</v>
      </c>
      <c r="Q11" s="53">
        <v>16</v>
      </c>
      <c r="R11" s="9">
        <v>5</v>
      </c>
    </row>
    <row r="12" spans="1:23" x14ac:dyDescent="0.3">
      <c r="A12" s="495" t="s">
        <v>21</v>
      </c>
      <c r="B12" s="495"/>
      <c r="C12" s="377">
        <v>298</v>
      </c>
      <c r="D12" s="377"/>
      <c r="E12" s="409">
        <v>65</v>
      </c>
      <c r="F12" s="410"/>
      <c r="G12" s="409">
        <v>1</v>
      </c>
      <c r="H12" s="410"/>
      <c r="I12" s="409">
        <v>7</v>
      </c>
      <c r="J12" s="410"/>
      <c r="K12" s="409">
        <v>1</v>
      </c>
      <c r="L12" s="410"/>
      <c r="M12" s="84">
        <v>200</v>
      </c>
      <c r="N12" s="9">
        <v>164</v>
      </c>
      <c r="O12" s="53">
        <v>36</v>
      </c>
      <c r="P12" s="9">
        <v>0</v>
      </c>
      <c r="Q12" s="9">
        <v>0</v>
      </c>
      <c r="R12" s="9">
        <v>0</v>
      </c>
    </row>
    <row r="13" spans="1:23" x14ac:dyDescent="0.3">
      <c r="A13" s="495" t="s">
        <v>22</v>
      </c>
      <c r="B13" s="495"/>
      <c r="C13" s="377">
        <v>330</v>
      </c>
      <c r="D13" s="377"/>
      <c r="E13" s="409">
        <v>0</v>
      </c>
      <c r="F13" s="410"/>
      <c r="G13" s="409">
        <v>1</v>
      </c>
      <c r="H13" s="410"/>
      <c r="I13" s="409">
        <v>0</v>
      </c>
      <c r="J13" s="410"/>
      <c r="K13" s="409">
        <v>0</v>
      </c>
      <c r="L13" s="410"/>
      <c r="M13" s="84">
        <v>200</v>
      </c>
      <c r="N13" s="10">
        <v>238</v>
      </c>
      <c r="O13" s="32">
        <v>21</v>
      </c>
      <c r="P13" s="9">
        <v>0</v>
      </c>
      <c r="Q13" s="9">
        <v>0</v>
      </c>
      <c r="R13" s="9">
        <v>0</v>
      </c>
    </row>
    <row r="14" spans="1:23" ht="15" thickBot="1" x14ac:dyDescent="0.35">
      <c r="A14" s="499" t="s">
        <v>23</v>
      </c>
      <c r="B14" s="499"/>
      <c r="C14" s="375">
        <v>0</v>
      </c>
      <c r="D14" s="375"/>
      <c r="E14" s="461">
        <v>0</v>
      </c>
      <c r="F14" s="462"/>
      <c r="G14" s="461">
        <v>0</v>
      </c>
      <c r="H14" s="462"/>
      <c r="I14" s="461">
        <v>0</v>
      </c>
      <c r="J14" s="462"/>
      <c r="K14" s="461">
        <v>0</v>
      </c>
      <c r="L14" s="462"/>
      <c r="M14" s="89">
        <v>0</v>
      </c>
      <c r="N14" s="10">
        <v>0</v>
      </c>
      <c r="O14" s="32">
        <v>0</v>
      </c>
      <c r="P14" s="73">
        <v>2874</v>
      </c>
      <c r="Q14" s="73">
        <v>2049</v>
      </c>
      <c r="R14" s="94">
        <v>2868</v>
      </c>
    </row>
    <row r="15" spans="1:23" ht="15" thickBot="1" x14ac:dyDescent="0.35">
      <c r="A15" s="503" t="s">
        <v>24</v>
      </c>
      <c r="B15" s="504"/>
      <c r="C15" s="373">
        <f>SUM(C4:D14)</f>
        <v>5795</v>
      </c>
      <c r="D15" s="373"/>
      <c r="E15" s="373">
        <f>SUM(E4:F14)</f>
        <v>333</v>
      </c>
      <c r="F15" s="373"/>
      <c r="G15" s="373">
        <f>SUM(G4:H14)</f>
        <v>65</v>
      </c>
      <c r="H15" s="373"/>
      <c r="I15" s="373">
        <f>SUM(I4:J14)</f>
        <v>155</v>
      </c>
      <c r="J15" s="373"/>
      <c r="K15" s="373">
        <f>SUM(K4:L14)</f>
        <v>11</v>
      </c>
      <c r="L15" s="373"/>
      <c r="M15" s="85">
        <f t="shared" ref="M15:R15" si="0">SUM(M4:M14)</f>
        <v>12329</v>
      </c>
      <c r="N15" s="13">
        <f t="shared" si="0"/>
        <v>3537</v>
      </c>
      <c r="O15" s="14">
        <f t="shared" si="0"/>
        <v>994</v>
      </c>
      <c r="P15" s="15">
        <f t="shared" si="0"/>
        <v>14576</v>
      </c>
      <c r="Q15" s="16">
        <f t="shared" si="0"/>
        <v>12711</v>
      </c>
      <c r="R15" s="17">
        <f t="shared" si="0"/>
        <v>9685</v>
      </c>
      <c r="S15" s="61"/>
      <c r="T15" s="62"/>
    </row>
    <row r="16" spans="1:23" x14ac:dyDescent="0.3">
      <c r="A16" s="500" t="s">
        <v>25</v>
      </c>
      <c r="B16" s="500"/>
      <c r="C16" s="368">
        <v>3626</v>
      </c>
      <c r="D16" s="368"/>
      <c r="E16" s="501">
        <v>190</v>
      </c>
      <c r="F16" s="502"/>
      <c r="G16" s="501">
        <v>0</v>
      </c>
      <c r="H16" s="502"/>
      <c r="I16" s="501">
        <v>0</v>
      </c>
      <c r="J16" s="502"/>
      <c r="K16" s="501">
        <v>0</v>
      </c>
      <c r="L16" s="502"/>
      <c r="M16" s="90">
        <v>9829</v>
      </c>
      <c r="N16" s="76">
        <v>1449</v>
      </c>
      <c r="O16" s="79">
        <v>550</v>
      </c>
      <c r="P16" s="91">
        <v>11663</v>
      </c>
      <c r="Q16" s="91">
        <v>10645</v>
      </c>
      <c r="R16" s="92">
        <v>7858</v>
      </c>
      <c r="S16" s="61"/>
      <c r="T16" s="64"/>
    </row>
    <row r="17" spans="1:20" x14ac:dyDescent="0.3">
      <c r="A17" s="358" t="s">
        <v>26</v>
      </c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9"/>
      <c r="N17" s="359"/>
      <c r="O17" s="358"/>
      <c r="P17" s="358"/>
      <c r="Q17" s="358"/>
      <c r="T17" s="62"/>
    </row>
    <row r="18" spans="1:20" x14ac:dyDescent="0.3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20" x14ac:dyDescent="0.3">
      <c r="A20" s="335" t="s">
        <v>191</v>
      </c>
      <c r="B20" s="336"/>
      <c r="C20" s="339" t="s">
        <v>1</v>
      </c>
      <c r="D20" s="340"/>
      <c r="E20" s="343" t="s">
        <v>28</v>
      </c>
      <c r="F20" s="344"/>
      <c r="G20" s="343" t="s">
        <v>3</v>
      </c>
      <c r="H20" s="344"/>
      <c r="I20" s="347" t="s">
        <v>29</v>
      </c>
      <c r="J20" s="348"/>
      <c r="K20" s="421" t="s">
        <v>7</v>
      </c>
      <c r="L20" s="20"/>
      <c r="M20" s="21"/>
    </row>
    <row r="21" spans="1:20" ht="57.6" x14ac:dyDescent="0.3">
      <c r="A21" s="337"/>
      <c r="B21" s="338"/>
      <c r="C21" s="341"/>
      <c r="D21" s="342"/>
      <c r="E21" s="345"/>
      <c r="F21" s="346"/>
      <c r="G21" s="345"/>
      <c r="H21" s="346"/>
      <c r="I21" s="349"/>
      <c r="J21" s="350"/>
      <c r="K21" s="351"/>
      <c r="L21" s="22" t="s">
        <v>30</v>
      </c>
      <c r="M21" s="23" t="s">
        <v>31</v>
      </c>
    </row>
    <row r="22" spans="1:20" x14ac:dyDescent="0.3">
      <c r="A22" s="263" t="s">
        <v>11</v>
      </c>
      <c r="B22" s="422"/>
      <c r="C22" s="423" t="s">
        <v>221</v>
      </c>
      <c r="D22" s="424"/>
      <c r="E22" s="424"/>
      <c r="F22" s="424"/>
      <c r="G22" s="424"/>
      <c r="H22" s="424"/>
      <c r="I22" s="424"/>
      <c r="J22" s="424"/>
      <c r="K22" s="424"/>
      <c r="L22" s="24"/>
      <c r="M22" s="25"/>
    </row>
    <row r="23" spans="1:20" x14ac:dyDescent="0.3">
      <c r="A23" s="269" t="s">
        <v>15</v>
      </c>
      <c r="B23" s="270"/>
      <c r="C23" s="409">
        <v>471</v>
      </c>
      <c r="D23" s="410"/>
      <c r="E23" s="431" t="s">
        <v>226</v>
      </c>
      <c r="F23" s="432"/>
      <c r="G23" s="409">
        <v>0</v>
      </c>
      <c r="H23" s="410"/>
      <c r="I23" s="409">
        <v>9</v>
      </c>
      <c r="J23" s="410"/>
      <c r="K23" s="26">
        <v>0</v>
      </c>
      <c r="L23" s="27">
        <v>54</v>
      </c>
      <c r="M23" s="27">
        <v>2</v>
      </c>
    </row>
    <row r="24" spans="1:20" x14ac:dyDescent="0.3">
      <c r="A24" s="269" t="s">
        <v>16</v>
      </c>
      <c r="B24" s="270"/>
      <c r="C24" s="409">
        <v>66</v>
      </c>
      <c r="D24" s="410"/>
      <c r="E24" s="431" t="s">
        <v>230</v>
      </c>
      <c r="F24" s="432"/>
      <c r="G24" s="409">
        <v>0</v>
      </c>
      <c r="H24" s="410"/>
      <c r="I24" s="409">
        <v>52</v>
      </c>
      <c r="J24" s="410"/>
      <c r="K24" s="9">
        <v>0</v>
      </c>
      <c r="L24" s="28">
        <v>7</v>
      </c>
      <c r="M24" s="28">
        <v>0</v>
      </c>
    </row>
    <row r="25" spans="1:20" x14ac:dyDescent="0.3">
      <c r="A25" s="269" t="s">
        <v>17</v>
      </c>
      <c r="B25" s="270"/>
      <c r="C25" s="409">
        <v>123</v>
      </c>
      <c r="D25" s="410"/>
      <c r="E25" s="431" t="s">
        <v>36</v>
      </c>
      <c r="F25" s="432"/>
      <c r="G25" s="409">
        <v>6</v>
      </c>
      <c r="H25" s="410"/>
      <c r="I25" s="409">
        <v>36</v>
      </c>
      <c r="J25" s="410"/>
      <c r="K25" s="9">
        <v>4</v>
      </c>
      <c r="L25" s="28">
        <v>5</v>
      </c>
      <c r="M25" s="28">
        <v>2</v>
      </c>
    </row>
    <row r="26" spans="1:20" x14ac:dyDescent="0.3">
      <c r="A26" s="269" t="s">
        <v>18</v>
      </c>
      <c r="B26" s="270"/>
      <c r="C26" s="431" t="s">
        <v>194</v>
      </c>
      <c r="D26" s="432"/>
      <c r="E26" s="431" t="s">
        <v>195</v>
      </c>
      <c r="F26" s="432"/>
      <c r="G26" s="409">
        <v>0</v>
      </c>
      <c r="H26" s="410"/>
      <c r="I26" s="409">
        <v>20</v>
      </c>
      <c r="J26" s="410"/>
      <c r="K26" s="9">
        <v>5</v>
      </c>
      <c r="L26" s="29">
        <v>1</v>
      </c>
      <c r="M26" s="28">
        <v>0</v>
      </c>
    </row>
    <row r="27" spans="1:20" x14ac:dyDescent="0.3">
      <c r="A27" s="269" t="s">
        <v>19</v>
      </c>
      <c r="B27" s="270"/>
      <c r="C27" s="431" t="s">
        <v>196</v>
      </c>
      <c r="D27" s="432"/>
      <c r="E27" s="431" t="s">
        <v>197</v>
      </c>
      <c r="F27" s="432"/>
      <c r="G27" s="409">
        <v>0</v>
      </c>
      <c r="H27" s="410"/>
      <c r="I27" s="409">
        <v>14</v>
      </c>
      <c r="J27" s="410"/>
      <c r="K27" s="9">
        <v>4</v>
      </c>
      <c r="L27" s="28">
        <v>8</v>
      </c>
      <c r="M27" s="28">
        <v>9</v>
      </c>
    </row>
    <row r="28" spans="1:20" x14ac:dyDescent="0.3">
      <c r="A28" s="269" t="s">
        <v>20</v>
      </c>
      <c r="B28" s="270"/>
      <c r="C28" s="409">
        <v>305</v>
      </c>
      <c r="D28" s="410"/>
      <c r="E28" s="431" t="s">
        <v>222</v>
      </c>
      <c r="F28" s="432"/>
      <c r="G28" s="409">
        <v>25</v>
      </c>
      <c r="H28" s="410"/>
      <c r="I28" s="409">
        <v>0</v>
      </c>
      <c r="J28" s="410"/>
      <c r="K28" s="9">
        <v>0</v>
      </c>
      <c r="L28" s="28">
        <v>0</v>
      </c>
      <c r="M28" s="28">
        <v>0</v>
      </c>
    </row>
    <row r="29" spans="1:20" x14ac:dyDescent="0.3">
      <c r="A29" s="269" t="s">
        <v>21</v>
      </c>
      <c r="B29" s="270"/>
      <c r="C29" s="431" t="s">
        <v>222</v>
      </c>
      <c r="D29" s="432"/>
      <c r="E29" s="431" t="s">
        <v>223</v>
      </c>
      <c r="F29" s="432"/>
      <c r="G29" s="409">
        <v>0</v>
      </c>
      <c r="H29" s="410"/>
      <c r="I29" s="409">
        <v>10</v>
      </c>
      <c r="J29" s="410"/>
      <c r="K29" s="9">
        <v>0</v>
      </c>
      <c r="L29" s="28">
        <v>15</v>
      </c>
      <c r="M29" s="28">
        <v>0</v>
      </c>
    </row>
    <row r="30" spans="1:20" x14ac:dyDescent="0.3">
      <c r="A30" s="269" t="s">
        <v>22</v>
      </c>
      <c r="B30" s="270"/>
      <c r="C30" s="409">
        <v>0</v>
      </c>
      <c r="D30" s="410"/>
      <c r="E30" s="431" t="s">
        <v>35</v>
      </c>
      <c r="F30" s="432"/>
      <c r="G30" s="409">
        <v>0</v>
      </c>
      <c r="H30" s="410"/>
      <c r="I30" s="409">
        <v>0</v>
      </c>
      <c r="J30" s="410"/>
      <c r="K30" s="9">
        <v>0</v>
      </c>
      <c r="L30" s="28">
        <v>0</v>
      </c>
      <c r="M30" s="28">
        <v>0</v>
      </c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335" t="s">
        <v>201</v>
      </c>
      <c r="B33" s="336"/>
      <c r="C33" s="339" t="s">
        <v>1</v>
      </c>
      <c r="D33" s="340"/>
      <c r="E33" s="343" t="s">
        <v>28</v>
      </c>
      <c r="F33" s="344"/>
      <c r="G33" s="343" t="s">
        <v>3</v>
      </c>
      <c r="H33" s="344"/>
      <c r="I33" s="347" t="s">
        <v>29</v>
      </c>
      <c r="J33" s="348"/>
      <c r="K33" s="351" t="s">
        <v>7</v>
      </c>
      <c r="L33" s="20"/>
      <c r="M33" s="21"/>
    </row>
    <row r="34" spans="1:13" ht="57.6" x14ac:dyDescent="0.3">
      <c r="A34" s="337"/>
      <c r="B34" s="338"/>
      <c r="C34" s="341"/>
      <c r="D34" s="342"/>
      <c r="E34" s="345"/>
      <c r="F34" s="346"/>
      <c r="G34" s="345"/>
      <c r="H34" s="346"/>
      <c r="I34" s="349"/>
      <c r="J34" s="350"/>
      <c r="K34" s="352"/>
      <c r="L34" s="22" t="s">
        <v>30</v>
      </c>
      <c r="M34" s="23" t="s">
        <v>31</v>
      </c>
    </row>
    <row r="35" spans="1:13" x14ac:dyDescent="0.3">
      <c r="A35" s="263" t="s">
        <v>11</v>
      </c>
      <c r="B35" s="422"/>
      <c r="C35" s="333" t="s">
        <v>221</v>
      </c>
      <c r="D35" s="334"/>
      <c r="E35" s="334"/>
      <c r="F35" s="334"/>
      <c r="G35" s="334"/>
      <c r="H35" s="334"/>
      <c r="I35" s="334"/>
      <c r="J35" s="334"/>
      <c r="K35" s="334"/>
      <c r="L35" s="24"/>
      <c r="M35" s="25"/>
    </row>
    <row r="36" spans="1:13" x14ac:dyDescent="0.3">
      <c r="A36" s="435" t="s">
        <v>15</v>
      </c>
      <c r="B36" s="436"/>
      <c r="C36" s="409" t="s">
        <v>202</v>
      </c>
      <c r="D36" s="410"/>
      <c r="E36" s="437" t="s">
        <v>227</v>
      </c>
      <c r="F36" s="438"/>
      <c r="G36" s="409" t="s">
        <v>40</v>
      </c>
      <c r="H36" s="410"/>
      <c r="I36" s="409">
        <v>11</v>
      </c>
      <c r="J36" s="410"/>
      <c r="K36" s="26">
        <v>0</v>
      </c>
      <c r="L36" s="27" t="s">
        <v>228</v>
      </c>
      <c r="M36" s="27" t="s">
        <v>159</v>
      </c>
    </row>
    <row r="37" spans="1:13" x14ac:dyDescent="0.3">
      <c r="A37" s="435" t="s">
        <v>16</v>
      </c>
      <c r="B37" s="436"/>
      <c r="C37" s="409">
        <v>0</v>
      </c>
      <c r="D37" s="410"/>
      <c r="E37" s="437" t="s">
        <v>231</v>
      </c>
      <c r="F37" s="438"/>
      <c r="G37" s="409" t="s">
        <v>43</v>
      </c>
      <c r="H37" s="410"/>
      <c r="I37" s="409">
        <v>0</v>
      </c>
      <c r="J37" s="410"/>
      <c r="K37" s="9">
        <v>0</v>
      </c>
      <c r="L37" s="28">
        <v>0</v>
      </c>
      <c r="M37" s="28">
        <v>0</v>
      </c>
    </row>
    <row r="38" spans="1:13" x14ac:dyDescent="0.3">
      <c r="A38" s="435" t="s">
        <v>17</v>
      </c>
      <c r="B38" s="436"/>
      <c r="C38" s="409" t="s">
        <v>224</v>
      </c>
      <c r="D38" s="410"/>
      <c r="E38" s="437" t="s">
        <v>225</v>
      </c>
      <c r="F38" s="438"/>
      <c r="G38" s="409" t="s">
        <v>120</v>
      </c>
      <c r="H38" s="410"/>
      <c r="I38" s="409" t="s">
        <v>165</v>
      </c>
      <c r="J38" s="410"/>
      <c r="K38" s="9" t="s">
        <v>45</v>
      </c>
      <c r="L38" s="28" t="s">
        <v>124</v>
      </c>
      <c r="M38" s="28" t="s">
        <v>145</v>
      </c>
    </row>
    <row r="39" spans="1:13" x14ac:dyDescent="0.3">
      <c r="A39" s="435" t="s">
        <v>18</v>
      </c>
      <c r="B39" s="436"/>
      <c r="C39" s="409">
        <v>0</v>
      </c>
      <c r="D39" s="410"/>
      <c r="E39" s="437" t="s">
        <v>208</v>
      </c>
      <c r="F39" s="438"/>
      <c r="G39" s="409" t="s">
        <v>47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435" t="s">
        <v>19</v>
      </c>
      <c r="B40" s="436"/>
      <c r="C40" s="409" t="s">
        <v>209</v>
      </c>
      <c r="D40" s="410"/>
      <c r="E40" s="437" t="s">
        <v>210</v>
      </c>
      <c r="F40" s="438"/>
      <c r="G40" s="409">
        <v>0</v>
      </c>
      <c r="H40" s="410"/>
      <c r="I40" s="409" t="s">
        <v>50</v>
      </c>
      <c r="J40" s="410"/>
      <c r="K40" s="9" t="s">
        <v>96</v>
      </c>
      <c r="L40" s="28">
        <v>0</v>
      </c>
      <c r="M40" s="28">
        <v>0</v>
      </c>
    </row>
    <row r="41" spans="1:13" x14ac:dyDescent="0.3">
      <c r="A41" s="435" t="s">
        <v>20</v>
      </c>
      <c r="B41" s="436"/>
      <c r="C41" s="409">
        <v>0</v>
      </c>
      <c r="D41" s="410"/>
      <c r="E41" s="409" t="s">
        <v>229</v>
      </c>
      <c r="F41" s="410"/>
      <c r="G41" s="409" t="s">
        <v>212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435" t="s">
        <v>21</v>
      </c>
      <c r="B42" s="436"/>
      <c r="C42" s="409" t="s">
        <v>41</v>
      </c>
      <c r="D42" s="410"/>
      <c r="E42" s="409" t="s">
        <v>213</v>
      </c>
      <c r="F42" s="410"/>
      <c r="G42" s="409">
        <v>10</v>
      </c>
      <c r="H42" s="410"/>
      <c r="I42" s="409">
        <v>0</v>
      </c>
      <c r="J42" s="410"/>
      <c r="K42" s="9">
        <v>0</v>
      </c>
      <c r="L42" s="28" t="s">
        <v>214</v>
      </c>
      <c r="M42" s="28" t="s">
        <v>40</v>
      </c>
    </row>
    <row r="43" spans="1:13" x14ac:dyDescent="0.3">
      <c r="A43" s="435" t="s">
        <v>22</v>
      </c>
      <c r="B43" s="436"/>
      <c r="C43" s="409">
        <v>0</v>
      </c>
      <c r="D43" s="410"/>
      <c r="E43" s="437" t="s">
        <v>113</v>
      </c>
      <c r="F43" s="438"/>
      <c r="G43" s="409">
        <v>0</v>
      </c>
      <c r="H43" s="410"/>
      <c r="I43" s="409" t="s">
        <v>99</v>
      </c>
      <c r="J43" s="410"/>
      <c r="K43" s="9" t="s">
        <v>100</v>
      </c>
      <c r="L43" s="28">
        <v>0</v>
      </c>
      <c r="M43" s="28">
        <v>0</v>
      </c>
    </row>
    <row r="44" spans="1:13" x14ac:dyDescent="0.3">
      <c r="A44" s="313" t="s">
        <v>54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3" x14ac:dyDescent="0.3">
      <c r="A47" s="314" t="s">
        <v>55</v>
      </c>
      <c r="B47" s="315"/>
      <c r="C47" s="315"/>
      <c r="D47" s="315"/>
      <c r="E47" s="315"/>
      <c r="F47" s="315"/>
      <c r="G47" s="315"/>
      <c r="H47" s="315"/>
      <c r="I47" s="315"/>
      <c r="J47" s="316"/>
    </row>
    <row r="48" spans="1:13" x14ac:dyDescent="0.3">
      <c r="A48" s="441" t="s">
        <v>56</v>
      </c>
      <c r="B48" s="442"/>
      <c r="C48" s="521" t="s">
        <v>216</v>
      </c>
      <c r="D48" s="522"/>
      <c r="E48" s="523" t="s">
        <v>217</v>
      </c>
      <c r="F48" s="524"/>
      <c r="G48" s="523" t="s">
        <v>190</v>
      </c>
      <c r="H48" s="524"/>
      <c r="I48" s="523" t="s">
        <v>221</v>
      </c>
      <c r="J48" s="524"/>
    </row>
    <row r="49" spans="1:10" x14ac:dyDescent="0.3">
      <c r="A49" s="445" t="s">
        <v>59</v>
      </c>
      <c r="B49" s="446"/>
      <c r="C49" s="525">
        <v>8990</v>
      </c>
      <c r="D49" s="525"/>
      <c r="E49" s="525">
        <v>8892</v>
      </c>
      <c r="F49" s="525"/>
      <c r="G49" s="525">
        <v>8850</v>
      </c>
      <c r="H49" s="525"/>
      <c r="I49" s="525">
        <v>8818</v>
      </c>
      <c r="J49" s="525"/>
    </row>
    <row r="50" spans="1:10" ht="15" customHeight="1" x14ac:dyDescent="0.3">
      <c r="A50" s="445" t="s">
        <v>60</v>
      </c>
      <c r="B50" s="446"/>
      <c r="C50" s="525">
        <v>13326</v>
      </c>
      <c r="D50" s="525"/>
      <c r="E50" s="525">
        <v>13433</v>
      </c>
      <c r="F50" s="525"/>
      <c r="G50" s="525">
        <v>13417</v>
      </c>
      <c r="H50" s="525"/>
      <c r="I50" s="525">
        <v>13461</v>
      </c>
      <c r="J50" s="525"/>
    </row>
    <row r="51" spans="1:10" x14ac:dyDescent="0.3">
      <c r="A51" s="445" t="s">
        <v>61</v>
      </c>
      <c r="B51" s="446"/>
      <c r="C51" s="525">
        <v>109431</v>
      </c>
      <c r="D51" s="525"/>
      <c r="E51" s="525">
        <v>109469</v>
      </c>
      <c r="F51" s="525"/>
      <c r="G51" s="525">
        <v>109069</v>
      </c>
      <c r="H51" s="525"/>
      <c r="I51" s="525">
        <v>109089</v>
      </c>
      <c r="J51" s="525"/>
    </row>
    <row r="52" spans="1:10" x14ac:dyDescent="0.3">
      <c r="A52" s="445" t="s">
        <v>62</v>
      </c>
      <c r="B52" s="446"/>
      <c r="C52" s="526">
        <v>234</v>
      </c>
      <c r="D52" s="527"/>
      <c r="E52" s="525">
        <v>234</v>
      </c>
      <c r="F52" s="525"/>
      <c r="G52" s="525">
        <v>234</v>
      </c>
      <c r="H52" s="525"/>
      <c r="I52" s="525">
        <v>208</v>
      </c>
      <c r="J52" s="525"/>
    </row>
    <row r="53" spans="1:10" x14ac:dyDescent="0.3">
      <c r="A53" s="445" t="s">
        <v>63</v>
      </c>
      <c r="B53" s="446"/>
      <c r="C53" s="526">
        <v>48701</v>
      </c>
      <c r="D53" s="527"/>
      <c r="E53" s="528">
        <v>48829</v>
      </c>
      <c r="F53" s="522"/>
      <c r="G53" s="528">
        <v>48756</v>
      </c>
      <c r="H53" s="522"/>
      <c r="I53" s="528">
        <v>48783</v>
      </c>
      <c r="J53" s="522"/>
    </row>
    <row r="54" spans="1:10" x14ac:dyDescent="0.3">
      <c r="A54" s="445" t="s">
        <v>64</v>
      </c>
      <c r="B54" s="446"/>
      <c r="C54" s="526">
        <v>6005</v>
      </c>
      <c r="D54" s="527"/>
      <c r="E54" s="522">
        <v>6003</v>
      </c>
      <c r="F54" s="522"/>
      <c r="G54" s="522">
        <v>5997</v>
      </c>
      <c r="H54" s="522"/>
      <c r="I54" s="522">
        <v>5995</v>
      </c>
      <c r="J54" s="522"/>
    </row>
    <row r="55" spans="1:10" x14ac:dyDescent="0.3">
      <c r="A55" s="445" t="s">
        <v>65</v>
      </c>
      <c r="B55" s="446"/>
      <c r="C55" s="526">
        <v>26676</v>
      </c>
      <c r="D55" s="527"/>
      <c r="E55" s="528">
        <f>21898+4699</f>
        <v>26597</v>
      </c>
      <c r="F55" s="522"/>
      <c r="G55" s="528">
        <f>21822+4696</f>
        <v>26518</v>
      </c>
      <c r="H55" s="522"/>
      <c r="I55" s="528">
        <v>26464</v>
      </c>
      <c r="J55" s="522"/>
    </row>
    <row r="56" spans="1:10" x14ac:dyDescent="0.3">
      <c r="A56" s="445" t="s">
        <v>66</v>
      </c>
      <c r="B56" s="446"/>
      <c r="C56" s="526">
        <v>4441</v>
      </c>
      <c r="D56" s="527"/>
      <c r="E56" s="522">
        <v>4465</v>
      </c>
      <c r="F56" s="522"/>
      <c r="G56" s="522">
        <v>4479</v>
      </c>
      <c r="H56" s="522"/>
      <c r="I56" s="522">
        <v>4494</v>
      </c>
      <c r="J56" s="522"/>
    </row>
    <row r="57" spans="1:10" x14ac:dyDescent="0.3">
      <c r="A57" s="445" t="s">
        <v>67</v>
      </c>
      <c r="B57" s="510"/>
      <c r="C57" s="512">
        <f>SUM(C49:D56)</f>
        <v>217804</v>
      </c>
      <c r="D57" s="512"/>
      <c r="E57" s="511">
        <v>217961</v>
      </c>
      <c r="F57" s="511"/>
      <c r="G57" s="512">
        <v>217320</v>
      </c>
      <c r="H57" s="512"/>
      <c r="I57" s="512">
        <f>SUM(I49:I56)</f>
        <v>217312</v>
      </c>
      <c r="J57" s="512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 x14ac:dyDescent="0.3">
      <c r="A59" s="285" t="s">
        <v>68</v>
      </c>
      <c r="B59" s="286"/>
      <c r="C59" s="453" t="s">
        <v>216</v>
      </c>
      <c r="D59" s="454"/>
      <c r="E59" s="529" t="s">
        <v>218</v>
      </c>
      <c r="F59" s="530"/>
      <c r="G59" s="529" t="s">
        <v>190</v>
      </c>
      <c r="H59" s="530"/>
      <c r="I59" s="529" t="s">
        <v>221</v>
      </c>
      <c r="J59" s="530"/>
    </row>
    <row r="60" spans="1:10" x14ac:dyDescent="0.3">
      <c r="A60" s="287"/>
      <c r="B60" s="288"/>
      <c r="C60" s="513">
        <v>14365</v>
      </c>
      <c r="D60" s="514"/>
      <c r="E60" s="513">
        <v>143486</v>
      </c>
      <c r="F60" s="514"/>
      <c r="G60" s="513">
        <v>143386</v>
      </c>
      <c r="H60" s="514"/>
      <c r="I60" s="513">
        <v>143413</v>
      </c>
      <c r="J60" s="514"/>
    </row>
    <row r="61" spans="1:10" x14ac:dyDescent="0.3">
      <c r="A61" s="289"/>
      <c r="B61" s="290"/>
      <c r="C61" s="515"/>
      <c r="D61" s="516"/>
      <c r="E61" s="515"/>
      <c r="F61" s="516"/>
      <c r="G61" s="515"/>
      <c r="H61" s="516"/>
      <c r="I61" s="515"/>
      <c r="J61" s="516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279" t="s">
        <v>69</v>
      </c>
      <c r="B64" s="280"/>
      <c r="C64" s="280"/>
      <c r="D64" s="280"/>
      <c r="E64" s="280"/>
      <c r="F64" s="280"/>
      <c r="G64" s="280"/>
      <c r="H64" s="280"/>
      <c r="I64" s="280"/>
      <c r="J64" s="281"/>
    </row>
    <row r="65" spans="1:10" x14ac:dyDescent="0.3">
      <c r="A65" s="279" t="s">
        <v>11</v>
      </c>
      <c r="B65" s="281"/>
      <c r="C65" s="58" t="s">
        <v>12</v>
      </c>
      <c r="D65" s="59"/>
      <c r="E65" s="459" t="s">
        <v>125</v>
      </c>
      <c r="F65" s="460"/>
      <c r="G65" s="459" t="s">
        <v>219</v>
      </c>
      <c r="H65" s="460"/>
      <c r="I65" s="459" t="s">
        <v>220</v>
      </c>
      <c r="J65" s="460"/>
    </row>
    <row r="66" spans="1:10" x14ac:dyDescent="0.3">
      <c r="A66" s="271" t="s">
        <v>73</v>
      </c>
      <c r="B66" s="272"/>
      <c r="C66" s="271" t="s">
        <v>74</v>
      </c>
      <c r="D66" s="272"/>
      <c r="E66" s="271" t="s">
        <v>74</v>
      </c>
      <c r="F66" s="272"/>
      <c r="G66" s="271" t="s">
        <v>74</v>
      </c>
      <c r="H66" s="272"/>
      <c r="I66" s="271" t="s">
        <v>74</v>
      </c>
      <c r="J66" s="272"/>
    </row>
    <row r="67" spans="1:10" x14ac:dyDescent="0.3">
      <c r="A67" s="273"/>
      <c r="B67" s="274"/>
      <c r="C67" s="273"/>
      <c r="D67" s="274"/>
      <c r="E67" s="273"/>
      <c r="F67" s="274"/>
      <c r="G67" s="273"/>
      <c r="H67" s="274"/>
      <c r="I67" s="273"/>
      <c r="J67" s="274"/>
    </row>
    <row r="68" spans="1:10" x14ac:dyDescent="0.3">
      <c r="A68" s="267" t="s">
        <v>15</v>
      </c>
      <c r="B68" s="268"/>
      <c r="C68" s="517">
        <v>34999</v>
      </c>
      <c r="D68" s="518"/>
      <c r="E68" s="517">
        <v>35287</v>
      </c>
      <c r="F68" s="518"/>
      <c r="G68" s="517">
        <v>35704</v>
      </c>
      <c r="H68" s="518"/>
      <c r="I68" s="517">
        <v>36102</v>
      </c>
      <c r="J68" s="518"/>
    </row>
    <row r="69" spans="1:10" x14ac:dyDescent="0.3">
      <c r="A69" s="269" t="s">
        <v>16</v>
      </c>
      <c r="B69" s="270"/>
      <c r="C69" s="517">
        <v>7925</v>
      </c>
      <c r="D69" s="518"/>
      <c r="E69" s="517">
        <v>8017</v>
      </c>
      <c r="F69" s="518"/>
      <c r="G69" s="517">
        <v>8071</v>
      </c>
      <c r="H69" s="518"/>
      <c r="I69" s="517">
        <v>8166</v>
      </c>
      <c r="J69" s="518"/>
    </row>
    <row r="70" spans="1:10" x14ac:dyDescent="0.3">
      <c r="A70" s="267" t="s">
        <v>17</v>
      </c>
      <c r="B70" s="268"/>
      <c r="C70" s="517">
        <v>7254</v>
      </c>
      <c r="D70" s="518"/>
      <c r="E70" s="517">
        <v>7317</v>
      </c>
      <c r="F70" s="518"/>
      <c r="G70" s="517">
        <v>7417</v>
      </c>
      <c r="H70" s="518"/>
      <c r="I70" s="517">
        <v>7599</v>
      </c>
      <c r="J70" s="518"/>
    </row>
    <row r="71" spans="1:10" x14ac:dyDescent="0.3">
      <c r="A71" s="267" t="s">
        <v>75</v>
      </c>
      <c r="B71" s="268"/>
      <c r="C71" s="517">
        <v>1936</v>
      </c>
      <c r="D71" s="518"/>
      <c r="E71" s="517">
        <v>1970</v>
      </c>
      <c r="F71" s="518"/>
      <c r="G71" s="517">
        <v>2007</v>
      </c>
      <c r="H71" s="518"/>
      <c r="I71" s="517">
        <v>2032</v>
      </c>
      <c r="J71" s="518"/>
    </row>
    <row r="72" spans="1:10" x14ac:dyDescent="0.3">
      <c r="A72" s="269" t="s">
        <v>18</v>
      </c>
      <c r="B72" s="270"/>
      <c r="C72" s="517">
        <v>5839</v>
      </c>
      <c r="D72" s="518"/>
      <c r="E72" s="517">
        <v>5921</v>
      </c>
      <c r="F72" s="518"/>
      <c r="G72" s="517">
        <v>6030</v>
      </c>
      <c r="H72" s="518"/>
      <c r="I72" s="517">
        <v>6107</v>
      </c>
      <c r="J72" s="518"/>
    </row>
    <row r="73" spans="1:10" x14ac:dyDescent="0.3">
      <c r="A73" s="267" t="s">
        <v>19</v>
      </c>
      <c r="B73" s="268"/>
      <c r="C73" s="517">
        <v>5310</v>
      </c>
      <c r="D73" s="518"/>
      <c r="E73" s="517">
        <v>5374</v>
      </c>
      <c r="F73" s="518"/>
      <c r="G73" s="517">
        <v>5388</v>
      </c>
      <c r="H73" s="518"/>
      <c r="I73" s="517">
        <v>5399</v>
      </c>
      <c r="J73" s="518"/>
    </row>
    <row r="74" spans="1:10" x14ac:dyDescent="0.3">
      <c r="A74" s="269" t="s">
        <v>20</v>
      </c>
      <c r="B74" s="270"/>
      <c r="C74" s="517">
        <v>9151</v>
      </c>
      <c r="D74" s="518"/>
      <c r="E74" s="517">
        <v>9255</v>
      </c>
      <c r="F74" s="518"/>
      <c r="G74" s="517">
        <v>9341</v>
      </c>
      <c r="H74" s="518"/>
      <c r="I74" s="517">
        <v>9443</v>
      </c>
      <c r="J74" s="518"/>
    </row>
    <row r="75" spans="1:10" x14ac:dyDescent="0.3">
      <c r="A75" s="267" t="s">
        <v>21</v>
      </c>
      <c r="B75" s="268"/>
      <c r="C75" s="517">
        <v>1791</v>
      </c>
      <c r="D75" s="518"/>
      <c r="E75" s="517">
        <v>1805</v>
      </c>
      <c r="F75" s="518"/>
      <c r="G75" s="517">
        <v>1828</v>
      </c>
      <c r="H75" s="518"/>
      <c r="I75" s="517">
        <v>1839</v>
      </c>
      <c r="J75" s="518"/>
    </row>
    <row r="76" spans="1:10" x14ac:dyDescent="0.3">
      <c r="A76" s="269" t="s">
        <v>22</v>
      </c>
      <c r="B76" s="270"/>
      <c r="C76" s="517">
        <v>6941</v>
      </c>
      <c r="D76" s="518"/>
      <c r="E76" s="517">
        <v>7003</v>
      </c>
      <c r="F76" s="518"/>
      <c r="G76" s="517">
        <v>7091</v>
      </c>
      <c r="H76" s="518"/>
      <c r="I76" s="517">
        <v>7215</v>
      </c>
      <c r="J76" s="518"/>
    </row>
    <row r="77" spans="1:10" x14ac:dyDescent="0.3">
      <c r="A77" s="263" t="s">
        <v>76</v>
      </c>
      <c r="B77" s="264"/>
      <c r="C77" s="517">
        <f>SUM(C68:C76)</f>
        <v>81146</v>
      </c>
      <c r="D77" s="518"/>
      <c r="E77" s="517">
        <f>SUM(E68:E76)</f>
        <v>81949</v>
      </c>
      <c r="F77" s="518"/>
      <c r="G77" s="517">
        <f>SUM(G68:G76)</f>
        <v>82877</v>
      </c>
      <c r="H77" s="518"/>
      <c r="I77" s="517">
        <f>SUM(I68:I76)</f>
        <v>83902</v>
      </c>
      <c r="J77" s="518"/>
    </row>
  </sheetData>
  <mergeCells count="311">
    <mergeCell ref="A74:B74"/>
    <mergeCell ref="C74:D74"/>
    <mergeCell ref="E74:F74"/>
    <mergeCell ref="G74:H74"/>
    <mergeCell ref="I74:J74"/>
    <mergeCell ref="A77:B77"/>
    <mergeCell ref="C77:D77"/>
    <mergeCell ref="E77:F77"/>
    <mergeCell ref="G77:H77"/>
    <mergeCell ref="I77:J77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64:J64"/>
    <mergeCell ref="A65:B65"/>
    <mergeCell ref="E65:F65"/>
    <mergeCell ref="G65:H65"/>
    <mergeCell ref="I65:J65"/>
    <mergeCell ref="A66:B67"/>
    <mergeCell ref="C66:D67"/>
    <mergeCell ref="E66:F67"/>
    <mergeCell ref="G66:H67"/>
    <mergeCell ref="I66:J67"/>
    <mergeCell ref="A57:B57"/>
    <mergeCell ref="C57:D57"/>
    <mergeCell ref="E57:F57"/>
    <mergeCell ref="G57:H57"/>
    <mergeCell ref="I57:J57"/>
    <mergeCell ref="A59:B61"/>
    <mergeCell ref="C59:D59"/>
    <mergeCell ref="E59:F59"/>
    <mergeCell ref="G59:H59"/>
    <mergeCell ref="I59:J59"/>
    <mergeCell ref="C60:D61"/>
    <mergeCell ref="E60:F61"/>
    <mergeCell ref="G60:H61"/>
    <mergeCell ref="I60:J61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47:J47"/>
    <mergeCell ref="A48:B48"/>
    <mergeCell ref="C48:D48"/>
    <mergeCell ref="E48:F48"/>
    <mergeCell ref="G48:H48"/>
    <mergeCell ref="I48:J48"/>
    <mergeCell ref="A43:B43"/>
    <mergeCell ref="C43:D43"/>
    <mergeCell ref="E43:F43"/>
    <mergeCell ref="G43:H43"/>
    <mergeCell ref="I43:J43"/>
    <mergeCell ref="A44:K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K33:K34"/>
    <mergeCell ref="A35:B35"/>
    <mergeCell ref="C35:K35"/>
    <mergeCell ref="A36:B36"/>
    <mergeCell ref="C36:D36"/>
    <mergeCell ref="E36:F36"/>
    <mergeCell ref="G36:H36"/>
    <mergeCell ref="I36:J36"/>
    <mergeCell ref="A30:B30"/>
    <mergeCell ref="C30:D30"/>
    <mergeCell ref="E30:F30"/>
    <mergeCell ref="G30:H30"/>
    <mergeCell ref="I30:J30"/>
    <mergeCell ref="A33:B34"/>
    <mergeCell ref="C33:D34"/>
    <mergeCell ref="E33:F34"/>
    <mergeCell ref="G33:H34"/>
    <mergeCell ref="I33:J34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K22"/>
    <mergeCell ref="A23:B23"/>
    <mergeCell ref="C23:D23"/>
    <mergeCell ref="E23:F23"/>
    <mergeCell ref="G23:H23"/>
    <mergeCell ref="I23:J23"/>
    <mergeCell ref="A17:Q18"/>
    <mergeCell ref="A20:B21"/>
    <mergeCell ref="C20:D21"/>
    <mergeCell ref="E20:F21"/>
    <mergeCell ref="G20:H21"/>
    <mergeCell ref="I20:J21"/>
    <mergeCell ref="K20:K21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S2:U2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9AEB-430D-41FE-8B7C-5F030BFC5074}">
  <dimension ref="A1:W77"/>
  <sheetViews>
    <sheetView topLeftCell="A51" workbookViewId="0">
      <selection sqref="A1:R2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39.88671875" customWidth="1"/>
    <col min="20" max="20" width="24" customWidth="1"/>
  </cols>
  <sheetData>
    <row r="1" spans="1:23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  <c r="S1" s="61"/>
    </row>
    <row r="2" spans="1:23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492"/>
      <c r="T2" s="492"/>
      <c r="U2" s="492"/>
    </row>
    <row r="3" spans="1:23" x14ac:dyDescent="0.3">
      <c r="A3" s="263" t="s">
        <v>11</v>
      </c>
      <c r="B3" s="264"/>
      <c r="C3" s="384" t="s">
        <v>232</v>
      </c>
      <c r="D3" s="385"/>
      <c r="E3" s="385"/>
      <c r="F3" s="385"/>
      <c r="G3" s="385"/>
      <c r="H3" s="385"/>
      <c r="I3" s="493"/>
      <c r="J3" s="493"/>
      <c r="K3" s="493"/>
      <c r="L3" s="493"/>
      <c r="M3" s="493"/>
      <c r="N3" s="385"/>
      <c r="O3" s="385"/>
      <c r="P3" s="385"/>
      <c r="Q3" s="385"/>
      <c r="R3" s="93"/>
      <c r="S3" s="62"/>
      <c r="T3" s="62"/>
      <c r="U3" s="62"/>
      <c r="V3" s="62"/>
      <c r="W3" s="64"/>
    </row>
    <row r="4" spans="1:23" x14ac:dyDescent="0.3">
      <c r="A4" s="573" t="s">
        <v>13</v>
      </c>
      <c r="B4" s="573"/>
      <c r="C4" s="577">
        <v>3626</v>
      </c>
      <c r="D4" s="577"/>
      <c r="E4" s="578">
        <v>190</v>
      </c>
      <c r="F4" s="579"/>
      <c r="G4" s="578">
        <v>0</v>
      </c>
      <c r="H4" s="579"/>
      <c r="I4" s="578">
        <v>0</v>
      </c>
      <c r="J4" s="579"/>
      <c r="K4" s="578">
        <v>0</v>
      </c>
      <c r="L4" s="579"/>
      <c r="M4" s="98">
        <v>9829</v>
      </c>
      <c r="N4" s="106">
        <v>1049</v>
      </c>
      <c r="O4" s="107">
        <v>550</v>
      </c>
      <c r="P4" s="112">
        <v>10378</v>
      </c>
      <c r="Q4" s="112">
        <v>10080</v>
      </c>
      <c r="R4" s="112">
        <v>5890</v>
      </c>
      <c r="S4" s="62"/>
      <c r="T4" s="62"/>
      <c r="U4" s="64"/>
      <c r="V4" s="62"/>
      <c r="W4" s="64"/>
    </row>
    <row r="5" spans="1:23" x14ac:dyDescent="0.3">
      <c r="A5" s="573" t="s">
        <v>14</v>
      </c>
      <c r="B5" s="573"/>
      <c r="C5" s="574">
        <v>220</v>
      </c>
      <c r="D5" s="574"/>
      <c r="E5" s="575">
        <v>0</v>
      </c>
      <c r="F5" s="576"/>
      <c r="G5" s="575">
        <v>0</v>
      </c>
      <c r="H5" s="576"/>
      <c r="I5" s="575">
        <v>0</v>
      </c>
      <c r="J5" s="576"/>
      <c r="K5" s="575">
        <v>0</v>
      </c>
      <c r="L5" s="576"/>
      <c r="M5" s="98">
        <v>0</v>
      </c>
      <c r="N5" s="96">
        <v>0</v>
      </c>
      <c r="O5" s="97">
        <v>0</v>
      </c>
      <c r="P5" s="96">
        <v>0</v>
      </c>
      <c r="Q5" s="96">
        <v>0</v>
      </c>
      <c r="R5" s="96">
        <v>0</v>
      </c>
      <c r="S5" s="62"/>
      <c r="T5" s="62"/>
      <c r="U5" s="64"/>
      <c r="V5" s="62"/>
      <c r="W5" s="64"/>
    </row>
    <row r="6" spans="1:23" x14ac:dyDescent="0.3">
      <c r="A6" s="569" t="s">
        <v>15</v>
      </c>
      <c r="B6" s="569"/>
      <c r="C6" s="570">
        <v>173</v>
      </c>
      <c r="D6" s="570"/>
      <c r="E6" s="545">
        <v>4</v>
      </c>
      <c r="F6" s="546"/>
      <c r="G6" s="545">
        <v>60</v>
      </c>
      <c r="H6" s="546"/>
      <c r="I6" s="545">
        <v>123</v>
      </c>
      <c r="J6" s="546"/>
      <c r="K6" s="545">
        <v>4</v>
      </c>
      <c r="L6" s="546"/>
      <c r="M6" s="84">
        <v>800</v>
      </c>
      <c r="N6" s="99">
        <v>659</v>
      </c>
      <c r="O6" s="100">
        <v>37</v>
      </c>
      <c r="P6" s="99">
        <v>0</v>
      </c>
      <c r="Q6" s="100">
        <v>0</v>
      </c>
      <c r="R6" s="99">
        <v>0</v>
      </c>
      <c r="S6" s="62"/>
      <c r="T6" s="62"/>
      <c r="U6" s="64"/>
      <c r="V6" s="62"/>
      <c r="W6" s="62"/>
    </row>
    <row r="7" spans="1:23" x14ac:dyDescent="0.3">
      <c r="A7" s="569" t="s">
        <v>16</v>
      </c>
      <c r="B7" s="569"/>
      <c r="C7" s="570">
        <v>183</v>
      </c>
      <c r="D7" s="570"/>
      <c r="E7" s="545">
        <v>6</v>
      </c>
      <c r="F7" s="546"/>
      <c r="G7" s="545">
        <v>0</v>
      </c>
      <c r="H7" s="546"/>
      <c r="I7" s="545">
        <v>10</v>
      </c>
      <c r="J7" s="546"/>
      <c r="K7" s="545">
        <v>0</v>
      </c>
      <c r="L7" s="546"/>
      <c r="M7" s="84">
        <v>200</v>
      </c>
      <c r="N7" s="99">
        <v>226</v>
      </c>
      <c r="O7" s="100">
        <v>8</v>
      </c>
      <c r="P7" s="99">
        <v>0</v>
      </c>
      <c r="Q7" s="100">
        <v>0</v>
      </c>
      <c r="R7" s="99">
        <v>2</v>
      </c>
      <c r="S7" s="62"/>
      <c r="T7" s="62"/>
      <c r="U7" s="62"/>
      <c r="V7" s="62"/>
      <c r="W7" s="62"/>
    </row>
    <row r="8" spans="1:23" x14ac:dyDescent="0.3">
      <c r="A8" s="569" t="s">
        <v>17</v>
      </c>
      <c r="B8" s="569"/>
      <c r="C8" s="570">
        <v>90</v>
      </c>
      <c r="D8" s="570"/>
      <c r="E8" s="545">
        <v>4</v>
      </c>
      <c r="F8" s="546"/>
      <c r="G8" s="545">
        <v>2</v>
      </c>
      <c r="H8" s="546"/>
      <c r="I8" s="545">
        <v>1</v>
      </c>
      <c r="J8" s="546"/>
      <c r="K8" s="545">
        <v>0</v>
      </c>
      <c r="L8" s="546"/>
      <c r="M8" s="84">
        <v>300</v>
      </c>
      <c r="N8" s="99">
        <v>260</v>
      </c>
      <c r="O8" s="100">
        <v>11</v>
      </c>
      <c r="P8" s="99">
        <v>2</v>
      </c>
      <c r="Q8" s="100">
        <v>12</v>
      </c>
      <c r="R8" s="99">
        <v>1</v>
      </c>
      <c r="S8" s="62"/>
      <c r="T8" s="62"/>
      <c r="U8" s="62"/>
      <c r="V8" s="62"/>
      <c r="W8" s="62"/>
    </row>
    <row r="9" spans="1:23" x14ac:dyDescent="0.3">
      <c r="A9" s="569" t="s">
        <v>18</v>
      </c>
      <c r="B9" s="569"/>
      <c r="C9" s="570">
        <v>150</v>
      </c>
      <c r="D9" s="570"/>
      <c r="E9" s="545">
        <v>1</v>
      </c>
      <c r="F9" s="546"/>
      <c r="G9" s="545">
        <v>1</v>
      </c>
      <c r="H9" s="546"/>
      <c r="I9" s="545">
        <v>1</v>
      </c>
      <c r="J9" s="546"/>
      <c r="K9" s="545">
        <v>0</v>
      </c>
      <c r="L9" s="546"/>
      <c r="M9" s="84">
        <v>300</v>
      </c>
      <c r="N9" s="99">
        <v>315</v>
      </c>
      <c r="O9" s="100">
        <v>64</v>
      </c>
      <c r="P9" s="99">
        <v>0</v>
      </c>
      <c r="Q9" s="100">
        <v>0</v>
      </c>
      <c r="R9" s="99">
        <v>0</v>
      </c>
      <c r="S9" s="62"/>
      <c r="T9" s="62"/>
      <c r="U9" s="62"/>
      <c r="V9" s="62"/>
      <c r="W9" s="62"/>
    </row>
    <row r="10" spans="1:23" x14ac:dyDescent="0.3">
      <c r="A10" s="571" t="s">
        <v>19</v>
      </c>
      <c r="B10" s="571"/>
      <c r="C10" s="572">
        <v>287</v>
      </c>
      <c r="D10" s="572"/>
      <c r="E10" s="439">
        <v>0</v>
      </c>
      <c r="F10" s="440"/>
      <c r="G10" s="439">
        <v>0</v>
      </c>
      <c r="H10" s="440"/>
      <c r="I10" s="439">
        <v>0</v>
      </c>
      <c r="J10" s="440"/>
      <c r="K10" s="439">
        <v>0</v>
      </c>
      <c r="L10" s="440"/>
      <c r="M10" s="84">
        <v>200</v>
      </c>
      <c r="N10" s="127">
        <v>193</v>
      </c>
      <c r="O10" s="128">
        <v>205</v>
      </c>
      <c r="P10" s="125">
        <v>82</v>
      </c>
      <c r="Q10" s="60">
        <v>14</v>
      </c>
      <c r="R10" s="125">
        <v>0</v>
      </c>
      <c r="S10" s="62"/>
      <c r="T10" s="62"/>
      <c r="U10" s="62"/>
    </row>
    <row r="11" spans="1:23" x14ac:dyDescent="0.3">
      <c r="A11" s="571" t="s">
        <v>20</v>
      </c>
      <c r="B11" s="571"/>
      <c r="C11" s="572">
        <v>2</v>
      </c>
      <c r="D11" s="572"/>
      <c r="E11" s="439">
        <v>2</v>
      </c>
      <c r="F11" s="440"/>
      <c r="G11" s="439">
        <v>0</v>
      </c>
      <c r="H11" s="440"/>
      <c r="I11" s="439">
        <v>0</v>
      </c>
      <c r="J11" s="440"/>
      <c r="K11" s="439">
        <v>0</v>
      </c>
      <c r="L11" s="440"/>
      <c r="M11" s="84">
        <v>300</v>
      </c>
      <c r="N11" s="125">
        <v>140</v>
      </c>
      <c r="O11" s="60">
        <v>15</v>
      </c>
      <c r="P11" s="125">
        <v>0</v>
      </c>
      <c r="Q11" s="60">
        <v>16</v>
      </c>
      <c r="R11" s="125">
        <v>5</v>
      </c>
    </row>
    <row r="12" spans="1:23" x14ac:dyDescent="0.3">
      <c r="A12" s="571" t="s">
        <v>21</v>
      </c>
      <c r="B12" s="571"/>
      <c r="C12" s="572">
        <v>190</v>
      </c>
      <c r="D12" s="572"/>
      <c r="E12" s="439">
        <v>56</v>
      </c>
      <c r="F12" s="440"/>
      <c r="G12" s="439">
        <v>1</v>
      </c>
      <c r="H12" s="440"/>
      <c r="I12" s="439">
        <v>7</v>
      </c>
      <c r="J12" s="440"/>
      <c r="K12" s="439">
        <v>1</v>
      </c>
      <c r="L12" s="440"/>
      <c r="M12" s="84">
        <v>100</v>
      </c>
      <c r="N12" s="125">
        <v>159</v>
      </c>
      <c r="O12" s="60">
        <v>36</v>
      </c>
      <c r="P12" s="125">
        <v>0</v>
      </c>
      <c r="Q12" s="125">
        <v>0</v>
      </c>
      <c r="R12" s="125">
        <v>0</v>
      </c>
    </row>
    <row r="13" spans="1:23" x14ac:dyDescent="0.3">
      <c r="A13" s="569" t="s">
        <v>22</v>
      </c>
      <c r="B13" s="569"/>
      <c r="C13" s="570">
        <v>295</v>
      </c>
      <c r="D13" s="570"/>
      <c r="E13" s="545">
        <v>0</v>
      </c>
      <c r="F13" s="546"/>
      <c r="G13" s="545">
        <v>1</v>
      </c>
      <c r="H13" s="546"/>
      <c r="I13" s="545">
        <v>0</v>
      </c>
      <c r="J13" s="546"/>
      <c r="K13" s="545">
        <v>0</v>
      </c>
      <c r="L13" s="546"/>
      <c r="M13" s="101">
        <v>200</v>
      </c>
      <c r="N13" s="104">
        <v>219</v>
      </c>
      <c r="O13" s="105">
        <v>21</v>
      </c>
      <c r="P13" s="99">
        <v>0</v>
      </c>
      <c r="Q13" s="99">
        <v>0</v>
      </c>
      <c r="R13" s="99">
        <v>0</v>
      </c>
    </row>
    <row r="14" spans="1:23" ht="15" thickBot="1" x14ac:dyDescent="0.35">
      <c r="A14" s="565" t="s">
        <v>23</v>
      </c>
      <c r="B14" s="565"/>
      <c r="C14" s="566">
        <v>0</v>
      </c>
      <c r="D14" s="566"/>
      <c r="E14" s="567">
        <v>0</v>
      </c>
      <c r="F14" s="568"/>
      <c r="G14" s="567">
        <v>0</v>
      </c>
      <c r="H14" s="568"/>
      <c r="I14" s="567">
        <v>0</v>
      </c>
      <c r="J14" s="568"/>
      <c r="K14" s="567">
        <v>0</v>
      </c>
      <c r="L14" s="568"/>
      <c r="M14" s="114">
        <v>0</v>
      </c>
      <c r="N14" s="104">
        <v>0</v>
      </c>
      <c r="O14" s="105">
        <v>0</v>
      </c>
      <c r="P14" s="113">
        <v>3562</v>
      </c>
      <c r="Q14" s="113">
        <v>2388</v>
      </c>
      <c r="R14" s="111">
        <v>3560</v>
      </c>
    </row>
    <row r="15" spans="1:23" ht="15" thickBot="1" x14ac:dyDescent="0.35">
      <c r="A15" s="562" t="s">
        <v>24</v>
      </c>
      <c r="B15" s="563"/>
      <c r="C15" s="564">
        <f>SUM(C4:D14)</f>
        <v>5216</v>
      </c>
      <c r="D15" s="564"/>
      <c r="E15" s="564">
        <f>SUM(E4:F14)</f>
        <v>263</v>
      </c>
      <c r="F15" s="564"/>
      <c r="G15" s="564">
        <f>SUM(G4:H14)</f>
        <v>65</v>
      </c>
      <c r="H15" s="564"/>
      <c r="I15" s="564">
        <f>SUM(I4:J14)</f>
        <v>142</v>
      </c>
      <c r="J15" s="564"/>
      <c r="K15" s="564">
        <f>SUM(K4:L14)</f>
        <v>5</v>
      </c>
      <c r="L15" s="564"/>
      <c r="M15" s="115">
        <f t="shared" ref="M15:R15" si="0">SUM(M4:M14)</f>
        <v>12229</v>
      </c>
      <c r="N15" s="116">
        <f t="shared" si="0"/>
        <v>3220</v>
      </c>
      <c r="O15" s="117">
        <f t="shared" si="0"/>
        <v>947</v>
      </c>
      <c r="P15" s="118">
        <f t="shared" si="0"/>
        <v>14024</v>
      </c>
      <c r="Q15" s="119">
        <f t="shared" si="0"/>
        <v>12510</v>
      </c>
      <c r="R15" s="120">
        <f t="shared" si="0"/>
        <v>9458</v>
      </c>
      <c r="S15" s="61"/>
      <c r="T15" s="62"/>
    </row>
    <row r="16" spans="1:23" x14ac:dyDescent="0.3">
      <c r="A16" s="559" t="s">
        <v>25</v>
      </c>
      <c r="B16" s="559"/>
      <c r="C16" s="559">
        <v>3326</v>
      </c>
      <c r="D16" s="559"/>
      <c r="E16" s="560">
        <v>190</v>
      </c>
      <c r="F16" s="561"/>
      <c r="G16" s="560">
        <v>0</v>
      </c>
      <c r="H16" s="561"/>
      <c r="I16" s="560">
        <v>0</v>
      </c>
      <c r="J16" s="561"/>
      <c r="K16" s="560">
        <v>0</v>
      </c>
      <c r="L16" s="561"/>
      <c r="M16" s="109">
        <v>9829</v>
      </c>
      <c r="N16" s="108">
        <v>1049</v>
      </c>
      <c r="O16" s="110">
        <v>550</v>
      </c>
      <c r="P16" s="112">
        <v>10378</v>
      </c>
      <c r="Q16" s="112">
        <v>10080</v>
      </c>
      <c r="R16" s="112">
        <v>5890</v>
      </c>
      <c r="S16" s="61"/>
      <c r="T16" s="64"/>
    </row>
    <row r="17" spans="1:20" x14ac:dyDescent="0.3">
      <c r="A17" s="358" t="s">
        <v>26</v>
      </c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9"/>
      <c r="N17" s="359"/>
      <c r="O17" s="358"/>
      <c r="P17" s="358"/>
      <c r="Q17" s="358"/>
      <c r="T17" s="62"/>
    </row>
    <row r="18" spans="1:20" x14ac:dyDescent="0.3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20" x14ac:dyDescent="0.3">
      <c r="A20" s="335" t="s">
        <v>191</v>
      </c>
      <c r="B20" s="336"/>
      <c r="C20" s="339" t="s">
        <v>1</v>
      </c>
      <c r="D20" s="340"/>
      <c r="E20" s="343" t="s">
        <v>28</v>
      </c>
      <c r="F20" s="344"/>
      <c r="G20" s="343" t="s">
        <v>3</v>
      </c>
      <c r="H20" s="344"/>
      <c r="I20" s="347" t="s">
        <v>29</v>
      </c>
      <c r="J20" s="348"/>
      <c r="K20" s="421" t="s">
        <v>7</v>
      </c>
      <c r="L20" s="20"/>
      <c r="M20" s="21"/>
    </row>
    <row r="21" spans="1:20" ht="57.6" x14ac:dyDescent="0.3">
      <c r="A21" s="337"/>
      <c r="B21" s="338"/>
      <c r="C21" s="341"/>
      <c r="D21" s="342"/>
      <c r="E21" s="345"/>
      <c r="F21" s="346"/>
      <c r="G21" s="345"/>
      <c r="H21" s="346"/>
      <c r="I21" s="349"/>
      <c r="J21" s="350"/>
      <c r="K21" s="351"/>
      <c r="L21" s="22" t="s">
        <v>30</v>
      </c>
      <c r="M21" s="23" t="s">
        <v>31</v>
      </c>
    </row>
    <row r="22" spans="1:20" x14ac:dyDescent="0.3">
      <c r="A22" s="263" t="s">
        <v>11</v>
      </c>
      <c r="B22" s="422"/>
      <c r="C22" s="423" t="s">
        <v>232</v>
      </c>
      <c r="D22" s="424"/>
      <c r="E22" s="424"/>
      <c r="F22" s="424"/>
      <c r="G22" s="424"/>
      <c r="H22" s="424"/>
      <c r="I22" s="424"/>
      <c r="J22" s="424"/>
      <c r="K22" s="424"/>
      <c r="L22" s="24"/>
      <c r="M22" s="25"/>
    </row>
    <row r="23" spans="1:20" x14ac:dyDescent="0.3">
      <c r="A23" s="553" t="s">
        <v>15</v>
      </c>
      <c r="B23" s="554"/>
      <c r="C23" s="545">
        <v>462</v>
      </c>
      <c r="D23" s="546"/>
      <c r="E23" s="555" t="s">
        <v>240</v>
      </c>
      <c r="F23" s="556"/>
      <c r="G23" s="545">
        <v>0</v>
      </c>
      <c r="H23" s="546"/>
      <c r="I23" s="545">
        <v>20</v>
      </c>
      <c r="J23" s="546"/>
      <c r="K23" s="121">
        <v>0</v>
      </c>
      <c r="L23" s="122">
        <v>28</v>
      </c>
      <c r="M23" s="122">
        <v>2</v>
      </c>
    </row>
    <row r="24" spans="1:20" x14ac:dyDescent="0.3">
      <c r="A24" s="553" t="s">
        <v>16</v>
      </c>
      <c r="B24" s="554"/>
      <c r="C24" s="545">
        <v>68</v>
      </c>
      <c r="D24" s="546"/>
      <c r="E24" s="555" t="s">
        <v>147</v>
      </c>
      <c r="F24" s="556"/>
      <c r="G24" s="545">
        <v>0</v>
      </c>
      <c r="H24" s="546"/>
      <c r="I24" s="545">
        <v>50</v>
      </c>
      <c r="J24" s="546"/>
      <c r="K24" s="99">
        <v>0</v>
      </c>
      <c r="L24" s="103">
        <v>7</v>
      </c>
      <c r="M24" s="103">
        <v>0</v>
      </c>
    </row>
    <row r="25" spans="1:20" x14ac:dyDescent="0.3">
      <c r="A25" s="553" t="s">
        <v>17</v>
      </c>
      <c r="B25" s="554"/>
      <c r="C25" s="545">
        <v>120</v>
      </c>
      <c r="D25" s="546"/>
      <c r="E25" s="555" t="s">
        <v>81</v>
      </c>
      <c r="F25" s="556"/>
      <c r="G25" s="545">
        <v>11</v>
      </c>
      <c r="H25" s="546"/>
      <c r="I25" s="545">
        <v>37</v>
      </c>
      <c r="J25" s="546"/>
      <c r="K25" s="99">
        <v>4</v>
      </c>
      <c r="L25" s="103">
        <v>3</v>
      </c>
      <c r="M25" s="103">
        <v>2</v>
      </c>
    </row>
    <row r="26" spans="1:20" x14ac:dyDescent="0.3">
      <c r="A26" s="553" t="s">
        <v>18</v>
      </c>
      <c r="B26" s="554"/>
      <c r="C26" s="555" t="s">
        <v>235</v>
      </c>
      <c r="D26" s="556"/>
      <c r="E26" s="555" t="s">
        <v>236</v>
      </c>
      <c r="F26" s="556"/>
      <c r="G26" s="545">
        <v>0</v>
      </c>
      <c r="H26" s="546"/>
      <c r="I26" s="545">
        <v>20</v>
      </c>
      <c r="J26" s="546"/>
      <c r="K26" s="99">
        <v>9</v>
      </c>
      <c r="L26" s="102">
        <v>7</v>
      </c>
      <c r="M26" s="103">
        <v>0</v>
      </c>
    </row>
    <row r="27" spans="1:20" x14ac:dyDescent="0.3">
      <c r="A27" s="557" t="s">
        <v>19</v>
      </c>
      <c r="B27" s="558"/>
      <c r="C27" s="433" t="s">
        <v>245</v>
      </c>
      <c r="D27" s="434"/>
      <c r="E27" s="433" t="s">
        <v>197</v>
      </c>
      <c r="F27" s="434"/>
      <c r="G27" s="439">
        <v>0</v>
      </c>
      <c r="H27" s="440"/>
      <c r="I27" s="439">
        <v>12</v>
      </c>
      <c r="J27" s="440"/>
      <c r="K27" s="125">
        <v>4</v>
      </c>
      <c r="L27" s="126">
        <v>7</v>
      </c>
      <c r="M27" s="126">
        <v>9</v>
      </c>
    </row>
    <row r="28" spans="1:20" x14ac:dyDescent="0.3">
      <c r="A28" s="557" t="s">
        <v>20</v>
      </c>
      <c r="B28" s="558"/>
      <c r="C28" s="439">
        <v>330</v>
      </c>
      <c r="D28" s="440"/>
      <c r="E28" s="433" t="s">
        <v>247</v>
      </c>
      <c r="F28" s="434"/>
      <c r="G28" s="439">
        <v>23</v>
      </c>
      <c r="H28" s="440"/>
      <c r="I28" s="439">
        <v>0</v>
      </c>
      <c r="J28" s="440"/>
      <c r="K28" s="125">
        <v>0</v>
      </c>
      <c r="L28" s="126">
        <v>0</v>
      </c>
      <c r="M28" s="126">
        <v>0</v>
      </c>
    </row>
    <row r="29" spans="1:20" x14ac:dyDescent="0.3">
      <c r="A29" s="557" t="s">
        <v>21</v>
      </c>
      <c r="B29" s="558"/>
      <c r="C29" s="433" t="s">
        <v>199</v>
      </c>
      <c r="D29" s="434"/>
      <c r="E29" s="433" t="s">
        <v>244</v>
      </c>
      <c r="F29" s="434"/>
      <c r="G29" s="439">
        <v>0</v>
      </c>
      <c r="H29" s="440"/>
      <c r="I29" s="439">
        <v>10</v>
      </c>
      <c r="J29" s="440"/>
      <c r="K29" s="125">
        <v>0</v>
      </c>
      <c r="L29" s="126">
        <v>15</v>
      </c>
      <c r="M29" s="126">
        <v>0</v>
      </c>
    </row>
    <row r="30" spans="1:20" x14ac:dyDescent="0.3">
      <c r="A30" s="553" t="s">
        <v>22</v>
      </c>
      <c r="B30" s="554"/>
      <c r="C30" s="545">
        <v>0</v>
      </c>
      <c r="D30" s="546"/>
      <c r="E30" s="555" t="s">
        <v>35</v>
      </c>
      <c r="F30" s="556"/>
      <c r="G30" s="545">
        <v>0</v>
      </c>
      <c r="H30" s="546"/>
      <c r="I30" s="545">
        <v>0</v>
      </c>
      <c r="J30" s="546"/>
      <c r="K30" s="99">
        <v>0</v>
      </c>
      <c r="L30" s="103">
        <v>0</v>
      </c>
      <c r="M30" s="103">
        <v>0</v>
      </c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335" t="s">
        <v>201</v>
      </c>
      <c r="B33" s="336"/>
      <c r="C33" s="339" t="s">
        <v>1</v>
      </c>
      <c r="D33" s="340"/>
      <c r="E33" s="343" t="s">
        <v>28</v>
      </c>
      <c r="F33" s="344"/>
      <c r="G33" s="343" t="s">
        <v>3</v>
      </c>
      <c r="H33" s="344"/>
      <c r="I33" s="347" t="s">
        <v>29</v>
      </c>
      <c r="J33" s="348"/>
      <c r="K33" s="351" t="s">
        <v>7</v>
      </c>
      <c r="L33" s="20"/>
      <c r="M33" s="21"/>
    </row>
    <row r="34" spans="1:13" ht="57.6" x14ac:dyDescent="0.3">
      <c r="A34" s="337"/>
      <c r="B34" s="338"/>
      <c r="C34" s="341"/>
      <c r="D34" s="342"/>
      <c r="E34" s="345"/>
      <c r="F34" s="346"/>
      <c r="G34" s="345"/>
      <c r="H34" s="346"/>
      <c r="I34" s="349"/>
      <c r="J34" s="350"/>
      <c r="K34" s="352"/>
      <c r="L34" s="22" t="s">
        <v>30</v>
      </c>
      <c r="M34" s="23" t="s">
        <v>31</v>
      </c>
    </row>
    <row r="35" spans="1:13" x14ac:dyDescent="0.3">
      <c r="A35" s="263" t="s">
        <v>11</v>
      </c>
      <c r="B35" s="422"/>
      <c r="C35" s="333" t="s">
        <v>232</v>
      </c>
      <c r="D35" s="334"/>
      <c r="E35" s="334"/>
      <c r="F35" s="334"/>
      <c r="G35" s="334"/>
      <c r="H35" s="334"/>
      <c r="I35" s="334"/>
      <c r="J35" s="334"/>
      <c r="K35" s="334"/>
      <c r="L35" s="24"/>
      <c r="M35" s="25"/>
    </row>
    <row r="36" spans="1:13" x14ac:dyDescent="0.3">
      <c r="A36" s="543" t="s">
        <v>15</v>
      </c>
      <c r="B36" s="544"/>
      <c r="C36" s="545" t="s">
        <v>202</v>
      </c>
      <c r="D36" s="546"/>
      <c r="E36" s="547" t="s">
        <v>241</v>
      </c>
      <c r="F36" s="548"/>
      <c r="G36" s="439" t="s">
        <v>40</v>
      </c>
      <c r="H36" s="440"/>
      <c r="I36" s="439">
        <v>8</v>
      </c>
      <c r="J36" s="440"/>
      <c r="K36" s="123">
        <v>0</v>
      </c>
      <c r="L36" s="124" t="s">
        <v>242</v>
      </c>
      <c r="M36" s="124" t="s">
        <v>243</v>
      </c>
    </row>
    <row r="37" spans="1:13" x14ac:dyDescent="0.3">
      <c r="A37" s="543" t="s">
        <v>16</v>
      </c>
      <c r="B37" s="544"/>
      <c r="C37" s="545">
        <v>0</v>
      </c>
      <c r="D37" s="546"/>
      <c r="E37" s="547" t="s">
        <v>238</v>
      </c>
      <c r="F37" s="548"/>
      <c r="G37" s="545" t="s">
        <v>43</v>
      </c>
      <c r="H37" s="546"/>
      <c r="I37" s="545">
        <v>0</v>
      </c>
      <c r="J37" s="546"/>
      <c r="K37" s="99">
        <v>0</v>
      </c>
      <c r="L37" s="103">
        <v>0</v>
      </c>
      <c r="M37" s="103">
        <v>0</v>
      </c>
    </row>
    <row r="38" spans="1:13" x14ac:dyDescent="0.3">
      <c r="A38" s="543" t="s">
        <v>17</v>
      </c>
      <c r="B38" s="544"/>
      <c r="C38" s="545" t="s">
        <v>233</v>
      </c>
      <c r="D38" s="546"/>
      <c r="E38" s="547" t="s">
        <v>234</v>
      </c>
      <c r="F38" s="548"/>
      <c r="G38" s="545" t="s">
        <v>174</v>
      </c>
      <c r="H38" s="546"/>
      <c r="I38" s="545" t="s">
        <v>202</v>
      </c>
      <c r="J38" s="546"/>
      <c r="K38" s="99" t="s">
        <v>45</v>
      </c>
      <c r="L38" s="103" t="s">
        <v>145</v>
      </c>
      <c r="M38" s="103" t="s">
        <v>88</v>
      </c>
    </row>
    <row r="39" spans="1:13" x14ac:dyDescent="0.3">
      <c r="A39" s="543" t="s">
        <v>18</v>
      </c>
      <c r="B39" s="544"/>
      <c r="C39" s="545">
        <v>0</v>
      </c>
      <c r="D39" s="546"/>
      <c r="E39" s="547" t="s">
        <v>237</v>
      </c>
      <c r="F39" s="548"/>
      <c r="G39" s="545" t="s">
        <v>47</v>
      </c>
      <c r="H39" s="546"/>
      <c r="I39" s="545">
        <v>0</v>
      </c>
      <c r="J39" s="546"/>
      <c r="K39" s="99">
        <v>0</v>
      </c>
      <c r="L39" s="103">
        <v>0</v>
      </c>
      <c r="M39" s="103">
        <v>0</v>
      </c>
    </row>
    <row r="40" spans="1:13" x14ac:dyDescent="0.3">
      <c r="A40" s="549" t="s">
        <v>19</v>
      </c>
      <c r="B40" s="550"/>
      <c r="C40" s="439" t="s">
        <v>209</v>
      </c>
      <c r="D40" s="440"/>
      <c r="E40" s="551" t="s">
        <v>246</v>
      </c>
      <c r="F40" s="552"/>
      <c r="G40" s="439">
        <v>0</v>
      </c>
      <c r="H40" s="440"/>
      <c r="I40" s="439" t="s">
        <v>50</v>
      </c>
      <c r="J40" s="440"/>
      <c r="K40" s="125" t="s">
        <v>96</v>
      </c>
      <c r="L40" s="126">
        <v>0</v>
      </c>
      <c r="M40" s="126">
        <v>0</v>
      </c>
    </row>
    <row r="41" spans="1:13" x14ac:dyDescent="0.3">
      <c r="A41" s="549" t="s">
        <v>20</v>
      </c>
      <c r="B41" s="550"/>
      <c r="C41" s="439">
        <v>0</v>
      </c>
      <c r="D41" s="440"/>
      <c r="E41" s="439" t="s">
        <v>248</v>
      </c>
      <c r="F41" s="440"/>
      <c r="G41" s="439" t="s">
        <v>249</v>
      </c>
      <c r="H41" s="440"/>
      <c r="I41" s="439">
        <v>0</v>
      </c>
      <c r="J41" s="440"/>
      <c r="K41" s="125">
        <v>0</v>
      </c>
      <c r="L41" s="126">
        <v>0</v>
      </c>
      <c r="M41" s="126">
        <v>0</v>
      </c>
    </row>
    <row r="42" spans="1:13" x14ac:dyDescent="0.3">
      <c r="A42" s="549" t="s">
        <v>21</v>
      </c>
      <c r="B42" s="550"/>
      <c r="C42" s="439" t="s">
        <v>41</v>
      </c>
      <c r="D42" s="440"/>
      <c r="E42" s="439" t="s">
        <v>213</v>
      </c>
      <c r="F42" s="440"/>
      <c r="G42" s="439">
        <v>0</v>
      </c>
      <c r="H42" s="440"/>
      <c r="I42" s="439">
        <v>0</v>
      </c>
      <c r="J42" s="440"/>
      <c r="K42" s="125">
        <v>0</v>
      </c>
      <c r="L42" s="126" t="s">
        <v>214</v>
      </c>
      <c r="M42" s="126" t="s">
        <v>40</v>
      </c>
    </row>
    <row r="43" spans="1:13" x14ac:dyDescent="0.3">
      <c r="A43" s="543" t="s">
        <v>22</v>
      </c>
      <c r="B43" s="544"/>
      <c r="C43" s="545">
        <v>0</v>
      </c>
      <c r="D43" s="546"/>
      <c r="E43" s="547" t="s">
        <v>113</v>
      </c>
      <c r="F43" s="548"/>
      <c r="G43" s="545">
        <v>0</v>
      </c>
      <c r="H43" s="546"/>
      <c r="I43" s="545" t="s">
        <v>99</v>
      </c>
      <c r="J43" s="546"/>
      <c r="K43" s="99" t="s">
        <v>100</v>
      </c>
      <c r="L43" s="103">
        <v>0</v>
      </c>
      <c r="M43" s="103">
        <v>0</v>
      </c>
    </row>
    <row r="44" spans="1:13" x14ac:dyDescent="0.3">
      <c r="A44" s="313" t="s">
        <v>54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3" x14ac:dyDescent="0.3">
      <c r="A47" s="314" t="s">
        <v>55</v>
      </c>
      <c r="B47" s="315"/>
      <c r="C47" s="315"/>
      <c r="D47" s="315"/>
      <c r="E47" s="315"/>
      <c r="F47" s="315"/>
      <c r="G47" s="315"/>
      <c r="H47" s="315"/>
      <c r="I47" s="315"/>
      <c r="J47" s="316"/>
    </row>
    <row r="48" spans="1:13" x14ac:dyDescent="0.3">
      <c r="A48" s="441" t="s">
        <v>56</v>
      </c>
      <c r="B48" s="442"/>
      <c r="C48" s="541" t="s">
        <v>217</v>
      </c>
      <c r="D48" s="542"/>
      <c r="E48" s="541" t="s">
        <v>190</v>
      </c>
      <c r="F48" s="542"/>
      <c r="G48" s="523" t="s">
        <v>221</v>
      </c>
      <c r="H48" s="524"/>
      <c r="I48" s="523" t="s">
        <v>232</v>
      </c>
      <c r="J48" s="524"/>
    </row>
    <row r="49" spans="1:10" x14ac:dyDescent="0.3">
      <c r="A49" s="445" t="s">
        <v>59</v>
      </c>
      <c r="B49" s="446"/>
      <c r="C49" s="526">
        <v>8892</v>
      </c>
      <c r="D49" s="527"/>
      <c r="E49" s="526">
        <v>8850</v>
      </c>
      <c r="F49" s="527"/>
      <c r="G49" s="525">
        <v>8818</v>
      </c>
      <c r="H49" s="525"/>
      <c r="I49" s="506">
        <v>8791</v>
      </c>
      <c r="J49" s="506"/>
    </row>
    <row r="50" spans="1:10" ht="15" customHeight="1" x14ac:dyDescent="0.3">
      <c r="A50" s="445" t="s">
        <v>60</v>
      </c>
      <c r="B50" s="446"/>
      <c r="C50" s="526">
        <v>13433</v>
      </c>
      <c r="D50" s="527"/>
      <c r="E50" s="526">
        <v>13417</v>
      </c>
      <c r="F50" s="527"/>
      <c r="G50" s="525">
        <v>13461</v>
      </c>
      <c r="H50" s="525"/>
      <c r="I50" s="506">
        <v>13505</v>
      </c>
      <c r="J50" s="506"/>
    </row>
    <row r="51" spans="1:10" x14ac:dyDescent="0.3">
      <c r="A51" s="445" t="s">
        <v>61</v>
      </c>
      <c r="B51" s="446"/>
      <c r="C51" s="526">
        <v>109469</v>
      </c>
      <c r="D51" s="527"/>
      <c r="E51" s="526">
        <v>109069</v>
      </c>
      <c r="F51" s="527"/>
      <c r="G51" s="525">
        <v>109089</v>
      </c>
      <c r="H51" s="525"/>
      <c r="I51" s="506">
        <v>109119</v>
      </c>
      <c r="J51" s="506"/>
    </row>
    <row r="52" spans="1:10" x14ac:dyDescent="0.3">
      <c r="A52" s="445" t="s">
        <v>62</v>
      </c>
      <c r="B52" s="446"/>
      <c r="C52" s="526">
        <v>234</v>
      </c>
      <c r="D52" s="527"/>
      <c r="E52" s="526">
        <v>234</v>
      </c>
      <c r="F52" s="527"/>
      <c r="G52" s="525">
        <v>208</v>
      </c>
      <c r="H52" s="525"/>
      <c r="I52" s="506">
        <v>208</v>
      </c>
      <c r="J52" s="506"/>
    </row>
    <row r="53" spans="1:10" x14ac:dyDescent="0.3">
      <c r="A53" s="445" t="s">
        <v>63</v>
      </c>
      <c r="B53" s="446"/>
      <c r="C53" s="535">
        <v>48829</v>
      </c>
      <c r="D53" s="536"/>
      <c r="E53" s="535">
        <v>48756</v>
      </c>
      <c r="F53" s="536"/>
      <c r="G53" s="528">
        <v>48783</v>
      </c>
      <c r="H53" s="522"/>
      <c r="I53" s="537">
        <v>48801</v>
      </c>
      <c r="J53" s="538"/>
    </row>
    <row r="54" spans="1:10" x14ac:dyDescent="0.3">
      <c r="A54" s="445" t="s">
        <v>64</v>
      </c>
      <c r="B54" s="446"/>
      <c r="C54" s="539">
        <v>6003</v>
      </c>
      <c r="D54" s="540"/>
      <c r="E54" s="539">
        <v>5997</v>
      </c>
      <c r="F54" s="540"/>
      <c r="G54" s="522">
        <v>5995</v>
      </c>
      <c r="H54" s="522"/>
      <c r="I54" s="538">
        <v>5997</v>
      </c>
      <c r="J54" s="538"/>
    </row>
    <row r="55" spans="1:10" x14ac:dyDescent="0.3">
      <c r="A55" s="445" t="s">
        <v>65</v>
      </c>
      <c r="B55" s="446"/>
      <c r="C55" s="535">
        <f>21898+4699</f>
        <v>26597</v>
      </c>
      <c r="D55" s="536"/>
      <c r="E55" s="535">
        <f>21822+4696</f>
        <v>26518</v>
      </c>
      <c r="F55" s="536"/>
      <c r="G55" s="528">
        <v>26464</v>
      </c>
      <c r="H55" s="522"/>
      <c r="I55" s="537">
        <v>26505</v>
      </c>
      <c r="J55" s="538"/>
    </row>
    <row r="56" spans="1:10" x14ac:dyDescent="0.3">
      <c r="A56" s="445" t="s">
        <v>66</v>
      </c>
      <c r="B56" s="446"/>
      <c r="C56" s="539">
        <v>4465</v>
      </c>
      <c r="D56" s="540"/>
      <c r="E56" s="539">
        <v>4479</v>
      </c>
      <c r="F56" s="540"/>
      <c r="G56" s="522">
        <v>4494</v>
      </c>
      <c r="H56" s="522"/>
      <c r="I56" s="538">
        <v>4496</v>
      </c>
      <c r="J56" s="538"/>
    </row>
    <row r="57" spans="1:10" x14ac:dyDescent="0.3">
      <c r="A57" s="445" t="s">
        <v>67</v>
      </c>
      <c r="B57" s="510"/>
      <c r="C57" s="531">
        <v>217961</v>
      </c>
      <c r="D57" s="532"/>
      <c r="E57" s="533">
        <v>217320</v>
      </c>
      <c r="F57" s="534"/>
      <c r="G57" s="512">
        <f>SUM(G49:G56)</f>
        <v>217312</v>
      </c>
      <c r="H57" s="512"/>
      <c r="I57" s="512">
        <v>217422</v>
      </c>
      <c r="J57" s="512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 x14ac:dyDescent="0.3">
      <c r="A59" s="285" t="s">
        <v>68</v>
      </c>
      <c r="B59" s="286"/>
      <c r="C59" s="529" t="s">
        <v>218</v>
      </c>
      <c r="D59" s="530"/>
      <c r="E59" s="529" t="s">
        <v>190</v>
      </c>
      <c r="F59" s="530"/>
      <c r="G59" s="529" t="s">
        <v>221</v>
      </c>
      <c r="H59" s="530"/>
      <c r="I59" s="529" t="s">
        <v>232</v>
      </c>
      <c r="J59" s="530"/>
    </row>
    <row r="60" spans="1:10" x14ac:dyDescent="0.3">
      <c r="A60" s="287"/>
      <c r="B60" s="288"/>
      <c r="C60" s="513">
        <v>143486</v>
      </c>
      <c r="D60" s="514"/>
      <c r="E60" s="513">
        <v>143386</v>
      </c>
      <c r="F60" s="514"/>
      <c r="G60" s="513">
        <v>143413</v>
      </c>
      <c r="H60" s="514"/>
      <c r="I60" s="513">
        <v>143494</v>
      </c>
      <c r="J60" s="514"/>
    </row>
    <row r="61" spans="1:10" x14ac:dyDescent="0.3">
      <c r="A61" s="289"/>
      <c r="B61" s="290"/>
      <c r="C61" s="515"/>
      <c r="D61" s="516"/>
      <c r="E61" s="515"/>
      <c r="F61" s="516"/>
      <c r="G61" s="515"/>
      <c r="H61" s="516"/>
      <c r="I61" s="515"/>
      <c r="J61" s="516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279" t="s">
        <v>69</v>
      </c>
      <c r="B64" s="280"/>
      <c r="C64" s="280"/>
      <c r="D64" s="280"/>
      <c r="E64" s="280"/>
      <c r="F64" s="280"/>
      <c r="G64" s="280"/>
      <c r="H64" s="280"/>
      <c r="I64" s="280"/>
      <c r="J64" s="281"/>
    </row>
    <row r="65" spans="1:10" x14ac:dyDescent="0.3">
      <c r="A65" s="279" t="s">
        <v>11</v>
      </c>
      <c r="B65" s="281"/>
      <c r="C65" s="58" t="s">
        <v>12</v>
      </c>
      <c r="D65" s="59"/>
      <c r="E65" s="459" t="s">
        <v>125</v>
      </c>
      <c r="F65" s="460"/>
      <c r="G65" s="459" t="s">
        <v>219</v>
      </c>
      <c r="H65" s="460"/>
      <c r="I65" s="459" t="s">
        <v>220</v>
      </c>
      <c r="J65" s="460"/>
    </row>
    <row r="66" spans="1:10" x14ac:dyDescent="0.3">
      <c r="A66" s="271" t="s">
        <v>73</v>
      </c>
      <c r="B66" s="272"/>
      <c r="C66" s="271" t="s">
        <v>74</v>
      </c>
      <c r="D66" s="272"/>
      <c r="E66" s="271" t="s">
        <v>74</v>
      </c>
      <c r="F66" s="272"/>
      <c r="G66" s="271" t="s">
        <v>74</v>
      </c>
      <c r="H66" s="272"/>
      <c r="I66" s="271" t="s">
        <v>74</v>
      </c>
      <c r="J66" s="272"/>
    </row>
    <row r="67" spans="1:10" x14ac:dyDescent="0.3">
      <c r="A67" s="273"/>
      <c r="B67" s="274"/>
      <c r="C67" s="273"/>
      <c r="D67" s="274"/>
      <c r="E67" s="273"/>
      <c r="F67" s="274"/>
      <c r="G67" s="273"/>
      <c r="H67" s="274"/>
      <c r="I67" s="273"/>
      <c r="J67" s="274"/>
    </row>
    <row r="68" spans="1:10" x14ac:dyDescent="0.3">
      <c r="A68" s="267" t="s">
        <v>15</v>
      </c>
      <c r="B68" s="268"/>
      <c r="C68" s="517">
        <v>34999</v>
      </c>
      <c r="D68" s="518"/>
      <c r="E68" s="517">
        <v>35287</v>
      </c>
      <c r="F68" s="518"/>
      <c r="G68" s="517">
        <v>35704</v>
      </c>
      <c r="H68" s="518"/>
      <c r="I68" s="517">
        <v>36102</v>
      </c>
      <c r="J68" s="518"/>
    </row>
    <row r="69" spans="1:10" x14ac:dyDescent="0.3">
      <c r="A69" s="269" t="s">
        <v>16</v>
      </c>
      <c r="B69" s="270"/>
      <c r="C69" s="517">
        <v>7925</v>
      </c>
      <c r="D69" s="518"/>
      <c r="E69" s="517">
        <v>8017</v>
      </c>
      <c r="F69" s="518"/>
      <c r="G69" s="517">
        <v>8071</v>
      </c>
      <c r="H69" s="518"/>
      <c r="I69" s="517">
        <v>8166</v>
      </c>
      <c r="J69" s="518"/>
    </row>
    <row r="70" spans="1:10" x14ac:dyDescent="0.3">
      <c r="A70" s="267" t="s">
        <v>17</v>
      </c>
      <c r="B70" s="268"/>
      <c r="C70" s="517">
        <v>7254</v>
      </c>
      <c r="D70" s="518"/>
      <c r="E70" s="517">
        <v>7317</v>
      </c>
      <c r="F70" s="518"/>
      <c r="G70" s="517">
        <v>7417</v>
      </c>
      <c r="H70" s="518"/>
      <c r="I70" s="517">
        <v>7599</v>
      </c>
      <c r="J70" s="518"/>
    </row>
    <row r="71" spans="1:10" x14ac:dyDescent="0.3">
      <c r="A71" s="267" t="s">
        <v>75</v>
      </c>
      <c r="B71" s="268"/>
      <c r="C71" s="517">
        <v>1936</v>
      </c>
      <c r="D71" s="518"/>
      <c r="E71" s="517">
        <v>1970</v>
      </c>
      <c r="F71" s="518"/>
      <c r="G71" s="517">
        <v>2007</v>
      </c>
      <c r="H71" s="518"/>
      <c r="I71" s="517">
        <v>2032</v>
      </c>
      <c r="J71" s="518"/>
    </row>
    <row r="72" spans="1:10" x14ac:dyDescent="0.3">
      <c r="A72" s="269" t="s">
        <v>18</v>
      </c>
      <c r="B72" s="270"/>
      <c r="C72" s="517">
        <v>5839</v>
      </c>
      <c r="D72" s="518"/>
      <c r="E72" s="517">
        <v>5921</v>
      </c>
      <c r="F72" s="518"/>
      <c r="G72" s="517">
        <v>6030</v>
      </c>
      <c r="H72" s="518"/>
      <c r="I72" s="517">
        <v>6107</v>
      </c>
      <c r="J72" s="518"/>
    </row>
    <row r="73" spans="1:10" x14ac:dyDescent="0.3">
      <c r="A73" s="267" t="s">
        <v>19</v>
      </c>
      <c r="B73" s="268"/>
      <c r="C73" s="517">
        <v>5310</v>
      </c>
      <c r="D73" s="518"/>
      <c r="E73" s="517">
        <v>5374</v>
      </c>
      <c r="F73" s="518"/>
      <c r="G73" s="517">
        <v>5388</v>
      </c>
      <c r="H73" s="518"/>
      <c r="I73" s="517">
        <v>5399</v>
      </c>
      <c r="J73" s="518"/>
    </row>
    <row r="74" spans="1:10" x14ac:dyDescent="0.3">
      <c r="A74" s="269" t="s">
        <v>20</v>
      </c>
      <c r="B74" s="270"/>
      <c r="C74" s="517">
        <v>9151</v>
      </c>
      <c r="D74" s="518"/>
      <c r="E74" s="517">
        <v>9255</v>
      </c>
      <c r="F74" s="518"/>
      <c r="G74" s="517">
        <v>9341</v>
      </c>
      <c r="H74" s="518"/>
      <c r="I74" s="517">
        <v>9443</v>
      </c>
      <c r="J74" s="518"/>
    </row>
    <row r="75" spans="1:10" x14ac:dyDescent="0.3">
      <c r="A75" s="267" t="s">
        <v>21</v>
      </c>
      <c r="B75" s="268"/>
      <c r="C75" s="517">
        <v>1791</v>
      </c>
      <c r="D75" s="518"/>
      <c r="E75" s="517">
        <v>1805</v>
      </c>
      <c r="F75" s="518"/>
      <c r="G75" s="517">
        <v>1828</v>
      </c>
      <c r="H75" s="518"/>
      <c r="I75" s="517">
        <v>1839</v>
      </c>
      <c r="J75" s="518"/>
    </row>
    <row r="76" spans="1:10" x14ac:dyDescent="0.3">
      <c r="A76" s="269" t="s">
        <v>22</v>
      </c>
      <c r="B76" s="270"/>
      <c r="C76" s="517">
        <v>6941</v>
      </c>
      <c r="D76" s="518"/>
      <c r="E76" s="517">
        <v>7003</v>
      </c>
      <c r="F76" s="518"/>
      <c r="G76" s="517">
        <v>7091</v>
      </c>
      <c r="H76" s="518"/>
      <c r="I76" s="517">
        <v>7215</v>
      </c>
      <c r="J76" s="518"/>
    </row>
    <row r="77" spans="1:10" x14ac:dyDescent="0.3">
      <c r="A77" s="263" t="s">
        <v>76</v>
      </c>
      <c r="B77" s="264"/>
      <c r="C77" s="517">
        <f>SUM(C68:C76)</f>
        <v>81146</v>
      </c>
      <c r="D77" s="518"/>
      <c r="E77" s="517">
        <f>SUM(E68:E76)</f>
        <v>81949</v>
      </c>
      <c r="F77" s="518"/>
      <c r="G77" s="517">
        <f>SUM(G68:G76)</f>
        <v>82877</v>
      </c>
      <c r="H77" s="518"/>
      <c r="I77" s="517">
        <f>SUM(I68:I76)</f>
        <v>83902</v>
      </c>
      <c r="J77" s="518"/>
    </row>
  </sheetData>
  <mergeCells count="311">
    <mergeCell ref="S2:U2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2:B22"/>
    <mergeCell ref="C22:K22"/>
    <mergeCell ref="A23:B23"/>
    <mergeCell ref="C23:D23"/>
    <mergeCell ref="E23:F23"/>
    <mergeCell ref="G23:H23"/>
    <mergeCell ref="I23:J23"/>
    <mergeCell ref="A17:Q18"/>
    <mergeCell ref="A20:B21"/>
    <mergeCell ref="C20:D21"/>
    <mergeCell ref="E20:F21"/>
    <mergeCell ref="G20:H21"/>
    <mergeCell ref="I20:J21"/>
    <mergeCell ref="K20:K21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K33:K34"/>
    <mergeCell ref="A35:B35"/>
    <mergeCell ref="C35:K35"/>
    <mergeCell ref="A36:B36"/>
    <mergeCell ref="C36:D36"/>
    <mergeCell ref="E36:F36"/>
    <mergeCell ref="G36:H36"/>
    <mergeCell ref="I36:J36"/>
    <mergeCell ref="A30:B30"/>
    <mergeCell ref="C30:D30"/>
    <mergeCell ref="E30:F30"/>
    <mergeCell ref="G30:H30"/>
    <mergeCell ref="I30:J30"/>
    <mergeCell ref="A33:B34"/>
    <mergeCell ref="C33:D34"/>
    <mergeCell ref="E33:F34"/>
    <mergeCell ref="G33:H34"/>
    <mergeCell ref="I33:J34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7:J47"/>
    <mergeCell ref="A48:B48"/>
    <mergeCell ref="C48:D48"/>
    <mergeCell ref="E48:F48"/>
    <mergeCell ref="G48:H48"/>
    <mergeCell ref="I48:J48"/>
    <mergeCell ref="A43:B43"/>
    <mergeCell ref="C43:D43"/>
    <mergeCell ref="E43:F43"/>
    <mergeCell ref="G43:H43"/>
    <mergeCell ref="I43:J43"/>
    <mergeCell ref="A44:K44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9:B61"/>
    <mergeCell ref="C59:D59"/>
    <mergeCell ref="E59:F59"/>
    <mergeCell ref="G59:H59"/>
    <mergeCell ref="I59:J59"/>
    <mergeCell ref="C60:D61"/>
    <mergeCell ref="E60:F61"/>
    <mergeCell ref="G60:H61"/>
    <mergeCell ref="I60:J61"/>
    <mergeCell ref="A64:J64"/>
    <mergeCell ref="A65:B65"/>
    <mergeCell ref="E65:F65"/>
    <mergeCell ref="G65:H65"/>
    <mergeCell ref="I65:J65"/>
    <mergeCell ref="A66:B67"/>
    <mergeCell ref="C66:D67"/>
    <mergeCell ref="E66:F67"/>
    <mergeCell ref="G66:H67"/>
    <mergeCell ref="I66:J67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7:B77"/>
    <mergeCell ref="C77:D77"/>
    <mergeCell ref="E77:F77"/>
    <mergeCell ref="G77:H77"/>
    <mergeCell ref="I77:J77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</mergeCells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7B-96B9-4A09-A222-A66951F1F6EE}">
  <dimension ref="A1:V81"/>
  <sheetViews>
    <sheetView topLeftCell="A3" workbookViewId="0">
      <selection activeCell="Q38" sqref="Q38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24" customWidth="1"/>
  </cols>
  <sheetData>
    <row r="1" spans="1:22" ht="67.5" customHeight="1" x14ac:dyDescent="0.3">
      <c r="A1" s="595"/>
      <c r="B1" s="595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6"/>
      <c r="O1" s="586"/>
      <c r="P1" s="586"/>
      <c r="Q1" s="588"/>
      <c r="R1" s="588"/>
    </row>
    <row r="2" spans="1:22" ht="9" customHeight="1" x14ac:dyDescent="0.3">
      <c r="A2" s="595"/>
      <c r="B2" s="595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604"/>
      <c r="N2" s="586"/>
      <c r="O2" s="586"/>
      <c r="P2" s="586"/>
      <c r="Q2" s="588"/>
      <c r="R2" s="588"/>
      <c r="S2" s="602"/>
      <c r="T2" s="602"/>
    </row>
    <row r="3" spans="1:22" x14ac:dyDescent="0.3">
      <c r="A3" s="580"/>
      <c r="B3" s="580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4"/>
      <c r="S3" s="64"/>
      <c r="T3" s="64"/>
      <c r="U3" s="64"/>
      <c r="V3" s="64"/>
    </row>
    <row r="4" spans="1:22" x14ac:dyDescent="0.3">
      <c r="A4" s="600"/>
      <c r="B4" s="600"/>
      <c r="C4" s="596"/>
      <c r="D4" s="596"/>
      <c r="E4" s="597"/>
      <c r="F4" s="597"/>
      <c r="G4" s="597"/>
      <c r="H4" s="597"/>
      <c r="I4" s="597"/>
      <c r="J4" s="597"/>
      <c r="K4" s="597"/>
      <c r="L4" s="597"/>
      <c r="M4" s="148"/>
      <c r="N4" s="8"/>
      <c r="O4" s="8"/>
      <c r="P4" s="149"/>
      <c r="Q4" s="149"/>
      <c r="R4" s="149"/>
      <c r="S4" s="64"/>
      <c r="T4" s="64"/>
      <c r="U4" s="64"/>
      <c r="V4" s="64"/>
    </row>
    <row r="5" spans="1:22" x14ac:dyDescent="0.3">
      <c r="A5" s="600"/>
      <c r="B5" s="600"/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148"/>
      <c r="N5" s="150"/>
      <c r="O5" s="150"/>
      <c r="P5" s="150"/>
      <c r="Q5" s="150"/>
      <c r="R5" s="150"/>
      <c r="S5" s="64"/>
      <c r="T5" s="64"/>
      <c r="U5" s="64"/>
      <c r="V5" s="64"/>
    </row>
    <row r="6" spans="1:22" x14ac:dyDescent="0.3">
      <c r="A6" s="584"/>
      <c r="B6" s="584"/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64"/>
      <c r="N6" s="152"/>
      <c r="O6" s="152"/>
      <c r="P6" s="152"/>
      <c r="Q6" s="152"/>
      <c r="R6" s="152"/>
      <c r="S6" s="64"/>
      <c r="T6" s="64"/>
      <c r="U6" s="64"/>
      <c r="V6" s="64"/>
    </row>
    <row r="7" spans="1:22" x14ac:dyDescent="0.3">
      <c r="A7" s="584"/>
      <c r="B7" s="584"/>
      <c r="C7" s="591"/>
      <c r="D7" s="591"/>
      <c r="E7" s="591"/>
      <c r="F7" s="591"/>
      <c r="G7" s="591"/>
      <c r="H7" s="591"/>
      <c r="I7" s="591"/>
      <c r="J7" s="591"/>
      <c r="K7" s="591"/>
      <c r="L7" s="591"/>
      <c r="M7" s="64"/>
      <c r="N7" s="152"/>
      <c r="O7" s="152"/>
      <c r="P7" s="152"/>
      <c r="Q7" s="152"/>
      <c r="R7" s="152"/>
      <c r="S7" s="64"/>
      <c r="T7" s="64"/>
      <c r="U7" s="64"/>
      <c r="V7" s="64"/>
    </row>
    <row r="8" spans="1:22" x14ac:dyDescent="0.3">
      <c r="A8" s="584"/>
      <c r="B8" s="584"/>
      <c r="C8" s="591"/>
      <c r="D8" s="591"/>
      <c r="E8" s="591"/>
      <c r="F8" s="591"/>
      <c r="G8" s="591"/>
      <c r="H8" s="591"/>
      <c r="I8" s="591"/>
      <c r="J8" s="591"/>
      <c r="K8" s="591"/>
      <c r="L8" s="591"/>
      <c r="M8" s="64"/>
      <c r="N8" s="152"/>
      <c r="O8" s="152"/>
      <c r="P8" s="152"/>
      <c r="Q8" s="152"/>
      <c r="R8" s="152"/>
      <c r="S8" s="64"/>
      <c r="T8" s="64"/>
      <c r="U8" s="64"/>
      <c r="V8" s="64"/>
    </row>
    <row r="9" spans="1:22" x14ac:dyDescent="0.3">
      <c r="A9" s="584"/>
      <c r="B9" s="584"/>
      <c r="C9" s="591"/>
      <c r="D9" s="591"/>
      <c r="E9" s="591"/>
      <c r="F9" s="591"/>
      <c r="G9" s="591"/>
      <c r="H9" s="591"/>
      <c r="I9" s="591"/>
      <c r="J9" s="591"/>
      <c r="K9" s="591"/>
      <c r="L9" s="591"/>
      <c r="M9" s="64"/>
      <c r="N9" s="152"/>
      <c r="O9" s="152"/>
      <c r="P9" s="152"/>
      <c r="Q9" s="152"/>
      <c r="R9" s="152"/>
      <c r="S9" s="64"/>
      <c r="T9" s="64"/>
      <c r="U9" s="64"/>
      <c r="V9" s="64"/>
    </row>
    <row r="10" spans="1:22" x14ac:dyDescent="0.3">
      <c r="A10" s="584"/>
      <c r="B10" s="606"/>
      <c r="C10" s="591"/>
      <c r="D10" s="605"/>
      <c r="E10" s="591"/>
      <c r="F10" s="605"/>
      <c r="G10" s="591"/>
      <c r="H10" s="605"/>
      <c r="I10" s="591"/>
      <c r="J10" s="605"/>
      <c r="K10" s="591"/>
      <c r="L10" s="605"/>
      <c r="M10" s="64"/>
      <c r="N10" s="153"/>
      <c r="O10" s="153"/>
      <c r="P10" s="152"/>
      <c r="Q10" s="152"/>
      <c r="R10" s="152"/>
      <c r="S10" s="64"/>
      <c r="T10" s="64"/>
      <c r="U10" s="64"/>
      <c r="V10" s="64"/>
    </row>
    <row r="11" spans="1:22" x14ac:dyDescent="0.3">
      <c r="A11" s="584"/>
      <c r="B11" s="584"/>
      <c r="C11" s="591"/>
      <c r="D11" s="591"/>
      <c r="E11" s="591"/>
      <c r="F11" s="591"/>
      <c r="G11" s="591"/>
      <c r="H11" s="591"/>
      <c r="I11" s="591"/>
      <c r="J11" s="591"/>
      <c r="K11" s="591"/>
      <c r="L11" s="591"/>
      <c r="M11" s="64"/>
      <c r="N11" s="152"/>
      <c r="O11" s="152"/>
      <c r="P11" s="152"/>
      <c r="Q11" s="152"/>
      <c r="R11" s="152"/>
      <c r="S11" s="64"/>
      <c r="T11" s="64"/>
    </row>
    <row r="12" spans="1:22" x14ac:dyDescent="0.3">
      <c r="A12" s="584"/>
      <c r="B12" s="584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64"/>
      <c r="N12" s="152"/>
      <c r="O12" s="152"/>
      <c r="P12" s="152"/>
      <c r="Q12" s="152"/>
      <c r="R12" s="152"/>
    </row>
    <row r="13" spans="1:22" x14ac:dyDescent="0.3">
      <c r="A13" s="584"/>
      <c r="B13" s="584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64"/>
      <c r="N13" s="152"/>
      <c r="O13" s="152"/>
      <c r="P13" s="152"/>
      <c r="Q13" s="152"/>
      <c r="R13" s="152"/>
    </row>
    <row r="14" spans="1:22" x14ac:dyDescent="0.3">
      <c r="A14" s="584"/>
      <c r="B14" s="584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64"/>
      <c r="N14" s="152"/>
      <c r="O14" s="152"/>
      <c r="P14" s="152"/>
      <c r="Q14" s="152"/>
      <c r="R14" s="152"/>
    </row>
    <row r="15" spans="1:22" x14ac:dyDescent="0.3">
      <c r="A15" s="599"/>
      <c r="B15" s="599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154"/>
      <c r="N15" s="152"/>
      <c r="O15" s="152"/>
      <c r="P15" s="155"/>
      <c r="Q15" s="155"/>
      <c r="R15" s="156"/>
    </row>
    <row r="16" spans="1:22" x14ac:dyDescent="0.3">
      <c r="A16" s="580"/>
      <c r="B16" s="580"/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64"/>
      <c r="N16" s="146"/>
      <c r="O16" s="146"/>
      <c r="P16" s="158"/>
      <c r="Q16" s="158"/>
      <c r="R16" s="157"/>
      <c r="S16" s="64"/>
    </row>
    <row r="17" spans="1:19" x14ac:dyDescent="0.3">
      <c r="A17" s="596"/>
      <c r="B17" s="596"/>
      <c r="C17" s="597"/>
      <c r="D17" s="597"/>
      <c r="E17" s="596"/>
      <c r="F17" s="596"/>
      <c r="G17" s="596"/>
      <c r="H17" s="596"/>
      <c r="I17" s="596"/>
      <c r="J17" s="596"/>
      <c r="K17" s="596"/>
      <c r="L17" s="596"/>
      <c r="M17" s="159"/>
      <c r="N17" s="147"/>
      <c r="O17" s="160"/>
      <c r="P17" s="149"/>
      <c r="Q17" s="149"/>
      <c r="R17" s="149"/>
      <c r="S17" s="64"/>
    </row>
    <row r="18" spans="1:19" x14ac:dyDescent="0.3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S18" s="64"/>
    </row>
    <row r="19" spans="1:19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9" x14ac:dyDescent="0.3">
      <c r="A21" s="595"/>
      <c r="B21" s="595"/>
      <c r="C21" s="588"/>
      <c r="D21" s="588"/>
      <c r="E21" s="588"/>
      <c r="F21" s="588"/>
      <c r="G21" s="588"/>
      <c r="H21" s="588"/>
      <c r="I21" s="586"/>
      <c r="J21" s="586"/>
      <c r="K21" s="586"/>
      <c r="L21" s="1"/>
      <c r="M21" s="1"/>
      <c r="O21" s="597"/>
      <c r="P21" s="597"/>
    </row>
    <row r="22" spans="1:19" x14ac:dyDescent="0.3">
      <c r="A22" s="595"/>
      <c r="B22" s="595"/>
      <c r="C22" s="588"/>
      <c r="D22" s="588"/>
      <c r="E22" s="588"/>
      <c r="F22" s="588"/>
      <c r="G22" s="588"/>
      <c r="H22" s="588"/>
      <c r="I22" s="586"/>
      <c r="J22" s="586"/>
      <c r="K22" s="586"/>
      <c r="L22" s="161"/>
      <c r="M22" s="161"/>
    </row>
    <row r="23" spans="1:19" x14ac:dyDescent="0.3">
      <c r="A23" s="580"/>
      <c r="B23" s="580"/>
      <c r="C23" s="588"/>
      <c r="D23" s="588"/>
      <c r="E23" s="588"/>
      <c r="F23" s="588"/>
      <c r="G23" s="588"/>
      <c r="H23" s="588"/>
      <c r="I23" s="588"/>
      <c r="J23" s="588"/>
      <c r="K23" s="588"/>
      <c r="L23" s="1"/>
      <c r="M23" s="1"/>
    </row>
    <row r="24" spans="1:19" x14ac:dyDescent="0.3">
      <c r="A24" s="584"/>
      <c r="B24" s="584"/>
      <c r="C24" s="591"/>
      <c r="D24" s="591"/>
      <c r="E24" s="594"/>
      <c r="F24" s="594"/>
      <c r="G24" s="591"/>
      <c r="H24" s="591"/>
      <c r="I24" s="591"/>
      <c r="J24" s="591"/>
      <c r="K24" s="152"/>
      <c r="L24" s="29"/>
      <c r="M24" s="29"/>
    </row>
    <row r="25" spans="1:19" x14ac:dyDescent="0.3">
      <c r="A25" s="584"/>
      <c r="B25" s="584"/>
      <c r="C25" s="591"/>
      <c r="D25" s="591"/>
      <c r="E25" s="594"/>
      <c r="F25" s="594"/>
      <c r="G25" s="591"/>
      <c r="H25" s="591"/>
      <c r="I25" s="591"/>
      <c r="J25" s="591"/>
      <c r="K25" s="152"/>
      <c r="L25" s="29"/>
      <c r="M25" s="29"/>
    </row>
    <row r="26" spans="1:19" x14ac:dyDescent="0.3">
      <c r="A26" s="584"/>
      <c r="B26" s="584"/>
      <c r="C26" s="591"/>
      <c r="D26" s="591"/>
      <c r="E26" s="594"/>
      <c r="F26" s="594"/>
      <c r="G26" s="591"/>
      <c r="H26" s="591"/>
      <c r="I26" s="591"/>
      <c r="J26" s="591"/>
      <c r="K26" s="152"/>
      <c r="L26" s="29"/>
      <c r="M26" s="29"/>
    </row>
    <row r="27" spans="1:19" x14ac:dyDescent="0.3">
      <c r="A27" s="584"/>
      <c r="B27" s="584"/>
      <c r="C27" s="594"/>
      <c r="D27" s="594"/>
      <c r="E27" s="594"/>
      <c r="F27" s="594"/>
      <c r="G27" s="591"/>
      <c r="H27" s="591"/>
      <c r="I27" s="591"/>
      <c r="J27" s="591"/>
      <c r="K27" s="152"/>
      <c r="L27" s="29"/>
      <c r="M27" s="29"/>
    </row>
    <row r="28" spans="1:19" x14ac:dyDescent="0.3">
      <c r="A28" s="584"/>
      <c r="B28" s="606"/>
      <c r="C28" s="594"/>
      <c r="D28" s="605"/>
      <c r="E28" s="594"/>
      <c r="F28" s="605"/>
      <c r="G28" s="591"/>
      <c r="H28" s="605"/>
      <c r="I28" s="591"/>
      <c r="J28" s="605"/>
      <c r="K28" s="152"/>
      <c r="L28" s="29"/>
      <c r="M28" s="29"/>
    </row>
    <row r="29" spans="1:19" x14ac:dyDescent="0.3">
      <c r="A29" s="584"/>
      <c r="B29" s="584"/>
      <c r="C29" s="594"/>
      <c r="D29" s="594"/>
      <c r="E29" s="594"/>
      <c r="F29" s="594"/>
      <c r="G29" s="591"/>
      <c r="H29" s="591"/>
      <c r="I29" s="591"/>
      <c r="J29" s="591"/>
      <c r="K29" s="152"/>
      <c r="L29" s="29"/>
      <c r="M29" s="29"/>
    </row>
    <row r="30" spans="1:19" x14ac:dyDescent="0.3">
      <c r="A30" s="584"/>
      <c r="B30" s="584"/>
      <c r="C30" s="591"/>
      <c r="D30" s="591"/>
      <c r="E30" s="594"/>
      <c r="F30" s="594"/>
      <c r="G30" s="591"/>
      <c r="H30" s="591"/>
      <c r="I30" s="591"/>
      <c r="J30" s="591"/>
      <c r="K30" s="152"/>
      <c r="L30" s="29"/>
      <c r="M30" s="29"/>
    </row>
    <row r="31" spans="1:19" x14ac:dyDescent="0.3">
      <c r="A31" s="584"/>
      <c r="B31" s="584"/>
      <c r="C31" s="594"/>
      <c r="D31" s="594"/>
      <c r="E31" s="594"/>
      <c r="F31" s="594"/>
      <c r="G31" s="591"/>
      <c r="H31" s="591"/>
      <c r="I31" s="591"/>
      <c r="J31" s="591"/>
      <c r="K31" s="152"/>
      <c r="L31" s="29"/>
      <c r="M31" s="29"/>
    </row>
    <row r="32" spans="1:19" x14ac:dyDescent="0.3">
      <c r="A32" s="584"/>
      <c r="B32" s="584"/>
      <c r="C32" s="591"/>
      <c r="D32" s="591"/>
      <c r="E32" s="594"/>
      <c r="F32" s="594"/>
      <c r="G32" s="591"/>
      <c r="H32" s="591"/>
      <c r="I32" s="591"/>
      <c r="J32" s="591"/>
      <c r="K32" s="152"/>
      <c r="L32" s="29"/>
      <c r="M32" s="29"/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595"/>
      <c r="B35" s="595"/>
      <c r="C35" s="588"/>
      <c r="D35" s="588"/>
      <c r="E35" s="588"/>
      <c r="F35" s="588"/>
      <c r="G35" s="588"/>
      <c r="H35" s="588"/>
      <c r="I35" s="586"/>
      <c r="J35" s="586"/>
      <c r="K35" s="586"/>
      <c r="L35" s="1"/>
      <c r="M35" s="1"/>
    </row>
    <row r="36" spans="1:13" x14ac:dyDescent="0.3">
      <c r="A36" s="595"/>
      <c r="B36" s="595"/>
      <c r="C36" s="588"/>
      <c r="D36" s="588"/>
      <c r="E36" s="588"/>
      <c r="F36" s="588"/>
      <c r="G36" s="588"/>
      <c r="H36" s="588"/>
      <c r="I36" s="586"/>
      <c r="J36" s="586"/>
      <c r="K36" s="586"/>
      <c r="L36" s="161"/>
      <c r="M36" s="161"/>
    </row>
    <row r="37" spans="1:13" x14ac:dyDescent="0.3">
      <c r="A37" s="580"/>
      <c r="B37" s="580"/>
      <c r="C37" s="588"/>
      <c r="D37" s="588"/>
      <c r="E37" s="588"/>
      <c r="F37" s="588"/>
      <c r="G37" s="588"/>
      <c r="H37" s="588"/>
      <c r="I37" s="588"/>
      <c r="J37" s="588"/>
      <c r="K37" s="588"/>
      <c r="L37" s="1"/>
      <c r="M37" s="1"/>
    </row>
    <row r="38" spans="1:13" x14ac:dyDescent="0.3">
      <c r="A38" s="590"/>
      <c r="B38" s="590"/>
      <c r="C38" s="591"/>
      <c r="D38" s="591"/>
      <c r="E38" s="592"/>
      <c r="F38" s="592"/>
      <c r="G38" s="591"/>
      <c r="H38" s="591"/>
      <c r="I38" s="591"/>
      <c r="J38" s="591"/>
      <c r="K38" s="152"/>
      <c r="L38" s="29"/>
      <c r="M38" s="29"/>
    </row>
    <row r="39" spans="1:13" x14ac:dyDescent="0.3">
      <c r="A39" s="590"/>
      <c r="B39" s="590"/>
      <c r="C39" s="591"/>
      <c r="D39" s="591"/>
      <c r="E39" s="592"/>
      <c r="F39" s="592"/>
      <c r="G39" s="591"/>
      <c r="H39" s="591"/>
      <c r="I39" s="591"/>
      <c r="J39" s="591"/>
      <c r="K39" s="152"/>
      <c r="L39" s="29"/>
      <c r="M39" s="29"/>
    </row>
    <row r="40" spans="1:13" x14ac:dyDescent="0.3">
      <c r="A40" s="590"/>
      <c r="B40" s="590"/>
      <c r="C40" s="591"/>
      <c r="D40" s="591"/>
      <c r="E40" s="592"/>
      <c r="F40" s="592"/>
      <c r="G40" s="591"/>
      <c r="H40" s="591"/>
      <c r="I40" s="591"/>
      <c r="J40" s="591"/>
      <c r="K40" s="152"/>
      <c r="L40" s="29"/>
      <c r="M40" s="29"/>
    </row>
    <row r="41" spans="1:13" x14ac:dyDescent="0.3">
      <c r="A41" s="590"/>
      <c r="B41" s="590"/>
      <c r="C41" s="591"/>
      <c r="D41" s="591"/>
      <c r="E41" s="592"/>
      <c r="F41" s="592"/>
      <c r="G41" s="591"/>
      <c r="H41" s="591"/>
      <c r="I41" s="591"/>
      <c r="J41" s="591"/>
      <c r="K41" s="152"/>
      <c r="L41" s="29"/>
      <c r="M41" s="29"/>
    </row>
    <row r="42" spans="1:13" x14ac:dyDescent="0.3">
      <c r="A42" s="590"/>
      <c r="B42" s="607"/>
      <c r="C42" s="591"/>
      <c r="D42" s="605"/>
      <c r="E42" s="592"/>
      <c r="F42" s="604"/>
      <c r="G42" s="591"/>
      <c r="H42" s="605"/>
      <c r="I42" s="152"/>
      <c r="J42" s="152"/>
      <c r="K42" s="152"/>
      <c r="L42" s="29"/>
      <c r="M42" s="29"/>
    </row>
    <row r="43" spans="1:13" x14ac:dyDescent="0.3">
      <c r="A43" s="590"/>
      <c r="B43" s="590"/>
      <c r="C43" s="591"/>
      <c r="D43" s="591"/>
      <c r="E43" s="592"/>
      <c r="F43" s="592"/>
      <c r="G43" s="591"/>
      <c r="H43" s="591"/>
      <c r="I43" s="591"/>
      <c r="J43" s="591"/>
      <c r="K43" s="152"/>
      <c r="L43" s="29"/>
      <c r="M43" s="29"/>
    </row>
    <row r="44" spans="1:13" x14ac:dyDescent="0.3">
      <c r="A44" s="590"/>
      <c r="B44" s="590"/>
      <c r="C44" s="591"/>
      <c r="D44" s="591"/>
      <c r="E44" s="591"/>
      <c r="F44" s="591"/>
      <c r="G44" s="591"/>
      <c r="H44" s="591"/>
      <c r="I44" s="591"/>
      <c r="J44" s="591"/>
      <c r="K44" s="152"/>
      <c r="L44" s="29"/>
      <c r="M44" s="29"/>
    </row>
    <row r="45" spans="1:13" x14ac:dyDescent="0.3">
      <c r="A45" s="590"/>
      <c r="B45" s="590"/>
      <c r="C45" s="591"/>
      <c r="D45" s="591"/>
      <c r="E45" s="591"/>
      <c r="F45" s="591"/>
      <c r="G45" s="591"/>
      <c r="H45" s="591"/>
      <c r="I45" s="591"/>
      <c r="J45" s="591"/>
      <c r="K45" s="152"/>
      <c r="L45" s="29"/>
      <c r="M45" s="29"/>
    </row>
    <row r="46" spans="1:13" x14ac:dyDescent="0.3">
      <c r="A46" s="590"/>
      <c r="B46" s="590"/>
      <c r="C46" s="591"/>
      <c r="D46" s="591"/>
      <c r="E46" s="592"/>
      <c r="F46" s="592"/>
      <c r="G46" s="591"/>
      <c r="H46" s="591"/>
      <c r="I46" s="591"/>
      <c r="J46" s="591"/>
      <c r="K46" s="152"/>
      <c r="L46" s="29"/>
      <c r="M46" s="29"/>
    </row>
    <row r="47" spans="1:13" x14ac:dyDescent="0.3">
      <c r="A47" s="593"/>
      <c r="B47" s="593"/>
      <c r="C47" s="593"/>
      <c r="D47" s="593"/>
      <c r="E47" s="593"/>
      <c r="F47" s="593"/>
      <c r="G47" s="593"/>
      <c r="H47" s="593"/>
      <c r="I47" s="593"/>
      <c r="J47" s="593"/>
      <c r="K47" s="59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580"/>
      <c r="B50" s="580"/>
      <c r="C50" s="580"/>
      <c r="D50" s="580"/>
      <c r="E50" s="580"/>
      <c r="F50" s="580"/>
      <c r="G50" s="580"/>
      <c r="H50" s="580"/>
      <c r="I50" s="580"/>
      <c r="J50" s="580"/>
    </row>
    <row r="51" spans="1:10" x14ac:dyDescent="0.3">
      <c r="A51" s="580"/>
      <c r="B51" s="580"/>
      <c r="C51" s="585"/>
      <c r="D51" s="585"/>
      <c r="E51" s="585"/>
      <c r="F51" s="585"/>
      <c r="G51" s="585"/>
      <c r="H51" s="585"/>
      <c r="I51" s="585"/>
      <c r="J51" s="585"/>
    </row>
    <row r="52" spans="1:10" x14ac:dyDescent="0.3">
      <c r="A52" s="580"/>
      <c r="B52" s="580"/>
      <c r="C52" s="589"/>
      <c r="D52" s="589"/>
      <c r="E52" s="589"/>
      <c r="F52" s="589"/>
      <c r="G52" s="589"/>
      <c r="H52" s="589"/>
      <c r="I52" s="589"/>
      <c r="J52" s="589"/>
    </row>
    <row r="53" spans="1:10" ht="15" customHeight="1" x14ac:dyDescent="0.3">
      <c r="A53" s="580"/>
      <c r="B53" s="580"/>
      <c r="C53" s="589"/>
      <c r="D53" s="589"/>
      <c r="E53" s="589"/>
      <c r="F53" s="589"/>
      <c r="G53" s="589"/>
      <c r="H53" s="589"/>
      <c r="I53" s="589"/>
      <c r="J53" s="589"/>
    </row>
    <row r="54" spans="1:10" x14ac:dyDescent="0.3">
      <c r="A54" s="580"/>
      <c r="B54" s="580"/>
      <c r="C54" s="589"/>
      <c r="D54" s="589"/>
      <c r="E54" s="589"/>
      <c r="F54" s="589"/>
      <c r="G54" s="589"/>
      <c r="H54" s="589"/>
      <c r="I54" s="589"/>
      <c r="J54" s="589"/>
    </row>
    <row r="55" spans="1:10" x14ac:dyDescent="0.3">
      <c r="A55" s="580"/>
      <c r="B55" s="580"/>
      <c r="C55" s="589"/>
      <c r="D55" s="589"/>
      <c r="E55" s="589"/>
      <c r="F55" s="589"/>
      <c r="G55" s="589"/>
      <c r="H55" s="589"/>
      <c r="I55" s="589"/>
      <c r="J55" s="589"/>
    </row>
    <row r="56" spans="1:10" x14ac:dyDescent="0.3">
      <c r="A56" s="580"/>
      <c r="B56" s="580"/>
      <c r="C56" s="582"/>
      <c r="D56" s="582"/>
      <c r="E56" s="582"/>
      <c r="F56" s="582"/>
      <c r="G56" s="582"/>
      <c r="H56" s="582"/>
      <c r="I56" s="582"/>
      <c r="J56" s="582"/>
    </row>
    <row r="57" spans="1:10" x14ac:dyDescent="0.3">
      <c r="A57" s="580"/>
      <c r="B57" s="580"/>
      <c r="C57" s="582"/>
      <c r="D57" s="582"/>
      <c r="E57" s="582"/>
      <c r="F57" s="582"/>
      <c r="G57" s="582"/>
      <c r="H57" s="582"/>
      <c r="I57" s="582"/>
      <c r="J57" s="582"/>
    </row>
    <row r="58" spans="1:10" x14ac:dyDescent="0.3">
      <c r="A58" s="580"/>
      <c r="B58" s="580"/>
      <c r="C58" s="582"/>
      <c r="D58" s="582"/>
      <c r="E58" s="582"/>
      <c r="F58" s="582"/>
      <c r="G58" s="582"/>
      <c r="H58" s="582"/>
      <c r="I58" s="582"/>
      <c r="J58" s="582"/>
    </row>
    <row r="59" spans="1:10" x14ac:dyDescent="0.3">
      <c r="A59" s="580"/>
      <c r="B59" s="580"/>
      <c r="C59" s="582"/>
      <c r="D59" s="582"/>
      <c r="E59" s="582"/>
      <c r="F59" s="582"/>
      <c r="G59" s="582"/>
      <c r="H59" s="582"/>
      <c r="I59" s="582"/>
      <c r="J59" s="582"/>
    </row>
    <row r="60" spans="1:10" x14ac:dyDescent="0.3">
      <c r="A60" s="146"/>
      <c r="B60" s="151"/>
      <c r="C60" s="582"/>
      <c r="D60" s="582"/>
      <c r="E60" s="582"/>
      <c r="F60" s="582"/>
      <c r="G60" s="582"/>
      <c r="H60" s="582"/>
      <c r="I60" s="582"/>
      <c r="J60" s="582"/>
    </row>
    <row r="61" spans="1:10" x14ac:dyDescent="0.3">
      <c r="A61" s="580"/>
      <c r="B61" s="580"/>
      <c r="C61" s="587"/>
      <c r="D61" s="587"/>
      <c r="E61" s="587"/>
      <c r="F61" s="587"/>
      <c r="G61" s="587"/>
      <c r="H61" s="587"/>
      <c r="I61" s="587"/>
      <c r="J61" s="58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586"/>
      <c r="B63" s="586"/>
      <c r="C63" s="162"/>
      <c r="D63" s="162"/>
      <c r="E63" s="162"/>
      <c r="F63" s="162"/>
      <c r="G63" s="585"/>
      <c r="H63" s="585"/>
      <c r="I63" s="585"/>
      <c r="J63" s="585"/>
    </row>
    <row r="64" spans="1:10" x14ac:dyDescent="0.3">
      <c r="A64" s="586"/>
      <c r="B64" s="586"/>
      <c r="C64" s="145"/>
      <c r="D64" s="145"/>
      <c r="E64" s="145"/>
      <c r="F64" s="145"/>
      <c r="G64" s="588"/>
      <c r="H64" s="588"/>
      <c r="I64" s="588"/>
      <c r="J64" s="588"/>
    </row>
    <row r="65" spans="1:10" x14ac:dyDescent="0.3">
      <c r="A65" s="586"/>
      <c r="B65" s="586"/>
      <c r="C65" s="145"/>
      <c r="D65" s="145"/>
      <c r="E65" s="145"/>
      <c r="F65" s="145"/>
      <c r="G65" s="588"/>
      <c r="H65" s="588"/>
      <c r="I65" s="588"/>
      <c r="J65" s="588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580"/>
      <c r="B68" s="580"/>
      <c r="C68" s="580"/>
      <c r="D68" s="580"/>
      <c r="E68" s="580"/>
      <c r="F68" s="580"/>
      <c r="G68" s="580"/>
      <c r="H68" s="580"/>
      <c r="I68" s="580"/>
      <c r="J68" s="580"/>
    </row>
    <row r="69" spans="1:10" x14ac:dyDescent="0.3">
      <c r="A69" s="580"/>
      <c r="B69" s="580"/>
      <c r="C69" s="585"/>
      <c r="D69" s="585"/>
      <c r="E69" s="585"/>
      <c r="F69" s="585"/>
      <c r="G69" s="585"/>
      <c r="H69" s="585"/>
      <c r="I69" s="585"/>
      <c r="J69" s="585"/>
    </row>
    <row r="70" spans="1:10" x14ac:dyDescent="0.3">
      <c r="A70" s="586"/>
      <c r="B70" s="586"/>
      <c r="C70" s="586"/>
      <c r="D70" s="586"/>
      <c r="E70" s="586"/>
      <c r="F70" s="586"/>
      <c r="G70" s="586"/>
      <c r="H70" s="586"/>
      <c r="I70" s="586"/>
      <c r="J70" s="586"/>
    </row>
    <row r="71" spans="1:10" x14ac:dyDescent="0.3">
      <c r="A71" s="586"/>
      <c r="B71" s="586"/>
      <c r="C71" s="586"/>
      <c r="D71" s="586"/>
      <c r="E71" s="586"/>
      <c r="F71" s="586"/>
      <c r="G71" s="586"/>
      <c r="H71" s="586"/>
      <c r="I71" s="586"/>
      <c r="J71" s="586"/>
    </row>
    <row r="72" spans="1:10" x14ac:dyDescent="0.3">
      <c r="A72" s="583"/>
      <c r="B72" s="583"/>
      <c r="C72" s="581"/>
      <c r="D72" s="581"/>
      <c r="E72" s="581"/>
      <c r="F72" s="581"/>
      <c r="G72" s="581"/>
      <c r="H72" s="581"/>
      <c r="I72" s="581"/>
      <c r="J72" s="581"/>
    </row>
    <row r="73" spans="1:10" x14ac:dyDescent="0.3">
      <c r="A73" s="584"/>
      <c r="B73" s="584"/>
      <c r="C73" s="581"/>
      <c r="D73" s="581"/>
      <c r="E73" s="581"/>
      <c r="F73" s="581"/>
      <c r="G73" s="581"/>
      <c r="H73" s="581"/>
      <c r="I73" s="581"/>
      <c r="J73" s="581"/>
    </row>
    <row r="74" spans="1:10" x14ac:dyDescent="0.3">
      <c r="A74" s="583"/>
      <c r="B74" s="583"/>
      <c r="C74" s="581"/>
      <c r="D74" s="581"/>
      <c r="E74" s="581"/>
      <c r="F74" s="581"/>
      <c r="G74" s="581"/>
      <c r="H74" s="581"/>
      <c r="I74" s="581"/>
      <c r="J74" s="581"/>
    </row>
    <row r="75" spans="1:10" x14ac:dyDescent="0.3">
      <c r="A75" s="583"/>
      <c r="B75" s="583"/>
      <c r="C75" s="581"/>
      <c r="D75" s="581"/>
      <c r="E75" s="581"/>
      <c r="F75" s="581"/>
      <c r="G75" s="581"/>
      <c r="H75" s="581"/>
      <c r="I75" s="581"/>
      <c r="J75" s="581"/>
    </row>
    <row r="76" spans="1:10" x14ac:dyDescent="0.3">
      <c r="A76" s="584"/>
      <c r="B76" s="584"/>
      <c r="C76" s="581"/>
      <c r="D76" s="581"/>
      <c r="E76" s="581"/>
      <c r="F76" s="581"/>
      <c r="G76" s="581"/>
      <c r="H76" s="581"/>
      <c r="I76" s="581"/>
      <c r="J76" s="581"/>
    </row>
    <row r="77" spans="1:10" x14ac:dyDescent="0.3">
      <c r="A77" s="583"/>
      <c r="B77" s="583"/>
      <c r="C77" s="581"/>
      <c r="D77" s="581"/>
      <c r="E77" s="581"/>
      <c r="F77" s="581"/>
      <c r="G77" s="581"/>
      <c r="H77" s="581"/>
      <c r="I77" s="581"/>
      <c r="J77" s="581"/>
    </row>
    <row r="78" spans="1:10" x14ac:dyDescent="0.3">
      <c r="A78" s="584"/>
      <c r="B78" s="584"/>
      <c r="C78" s="581"/>
      <c r="D78" s="581"/>
      <c r="E78" s="581"/>
      <c r="F78" s="581"/>
      <c r="G78" s="581"/>
      <c r="H78" s="581"/>
      <c r="I78" s="581"/>
      <c r="J78" s="581"/>
    </row>
    <row r="79" spans="1:10" x14ac:dyDescent="0.3">
      <c r="A79" s="583"/>
      <c r="B79" s="583"/>
      <c r="C79" s="581"/>
      <c r="D79" s="581"/>
      <c r="E79" s="581"/>
      <c r="F79" s="581"/>
      <c r="G79" s="581"/>
      <c r="H79" s="581"/>
      <c r="I79" s="581"/>
      <c r="J79" s="581"/>
    </row>
    <row r="80" spans="1:10" x14ac:dyDescent="0.3">
      <c r="A80" s="584"/>
      <c r="B80" s="584"/>
      <c r="C80" s="581"/>
      <c r="D80" s="581"/>
      <c r="E80" s="581"/>
      <c r="F80" s="581"/>
      <c r="G80" s="581"/>
      <c r="H80" s="581"/>
      <c r="I80" s="581"/>
      <c r="J80" s="581"/>
    </row>
    <row r="81" spans="1:10" x14ac:dyDescent="0.3">
      <c r="A81" s="580"/>
      <c r="B81" s="580"/>
      <c r="C81" s="581"/>
      <c r="D81" s="581"/>
      <c r="E81" s="581"/>
      <c r="F81" s="581"/>
      <c r="G81" s="581"/>
      <c r="H81" s="581"/>
      <c r="I81" s="581"/>
      <c r="J81" s="581"/>
    </row>
  </sheetData>
  <mergeCells count="328">
    <mergeCell ref="A10:B10"/>
    <mergeCell ref="A28:B28"/>
    <mergeCell ref="C28:D28"/>
    <mergeCell ref="E28:F28"/>
    <mergeCell ref="G28:H28"/>
    <mergeCell ref="I28:J28"/>
    <mergeCell ref="A42:B42"/>
    <mergeCell ref="E42:F42"/>
    <mergeCell ref="G42:H42"/>
    <mergeCell ref="C42:D42"/>
    <mergeCell ref="A12:B12"/>
    <mergeCell ref="A11:B11"/>
    <mergeCell ref="A14:B14"/>
    <mergeCell ref="A13:B13"/>
    <mergeCell ref="C13:D13"/>
    <mergeCell ref="E13:F13"/>
    <mergeCell ref="G13:H13"/>
    <mergeCell ref="I13:J13"/>
    <mergeCell ref="A23:B23"/>
    <mergeCell ref="C23:K23"/>
    <mergeCell ref="A24:B24"/>
    <mergeCell ref="C24:D24"/>
    <mergeCell ref="E24:F24"/>
    <mergeCell ref="G24:H24"/>
    <mergeCell ref="G1:H2"/>
    <mergeCell ref="I1:J2"/>
    <mergeCell ref="K1:L2"/>
    <mergeCell ref="C69:D69"/>
    <mergeCell ref="C10:D10"/>
    <mergeCell ref="E10:F10"/>
    <mergeCell ref="G10:H10"/>
    <mergeCell ref="I10:J10"/>
    <mergeCell ref="K10:L10"/>
    <mergeCell ref="C12:D12"/>
    <mergeCell ref="E12:F12"/>
    <mergeCell ref="G12:H12"/>
    <mergeCell ref="I12:J12"/>
    <mergeCell ref="K12:L12"/>
    <mergeCell ref="C11:D11"/>
    <mergeCell ref="E11:F11"/>
    <mergeCell ref="G11:H11"/>
    <mergeCell ref="I11:J11"/>
    <mergeCell ref="K11:L11"/>
    <mergeCell ref="C14:D14"/>
    <mergeCell ref="E14:F14"/>
    <mergeCell ref="G14:H14"/>
    <mergeCell ref="I14:J14"/>
    <mergeCell ref="K14:L14"/>
    <mergeCell ref="A5:B5"/>
    <mergeCell ref="C5:D5"/>
    <mergeCell ref="E5:F5"/>
    <mergeCell ref="G5:H5"/>
    <mergeCell ref="I5:J5"/>
    <mergeCell ref="K5:L5"/>
    <mergeCell ref="S2:T2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I24:J24"/>
    <mergeCell ref="A18:Q19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1:B22"/>
    <mergeCell ref="O21:P21"/>
    <mergeCell ref="K21:K22"/>
    <mergeCell ref="I21:J22"/>
    <mergeCell ref="G21:H22"/>
    <mergeCell ref="E21:F22"/>
    <mergeCell ref="C21:D22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50:J50"/>
    <mergeCell ref="A51:B51"/>
    <mergeCell ref="C51:D51"/>
    <mergeCell ref="E51:F51"/>
    <mergeCell ref="G51:H51"/>
    <mergeCell ref="I51:J51"/>
    <mergeCell ref="A46:B46"/>
    <mergeCell ref="C46:D46"/>
    <mergeCell ref="E46:F46"/>
    <mergeCell ref="G46:H46"/>
    <mergeCell ref="I46:J46"/>
    <mergeCell ref="A47:K47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1:B61"/>
    <mergeCell ref="C61:D61"/>
    <mergeCell ref="E61:F61"/>
    <mergeCell ref="G61:H61"/>
    <mergeCell ref="I61:J61"/>
    <mergeCell ref="A63:B65"/>
    <mergeCell ref="G63:H63"/>
    <mergeCell ref="I63:J63"/>
    <mergeCell ref="G64:H65"/>
    <mergeCell ref="I64:J65"/>
    <mergeCell ref="A68:J68"/>
    <mergeCell ref="A69:B69"/>
    <mergeCell ref="E69:F69"/>
    <mergeCell ref="G69:H69"/>
    <mergeCell ref="I69:J69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I60:J60"/>
    <mergeCell ref="G60:H60"/>
    <mergeCell ref="E60:F60"/>
    <mergeCell ref="C60:D60"/>
    <mergeCell ref="A79:B79"/>
    <mergeCell ref="C79:D79"/>
    <mergeCell ref="E79:F79"/>
    <mergeCell ref="G79:H79"/>
    <mergeCell ref="I79:J79"/>
    <mergeCell ref="A80:B80"/>
    <mergeCell ref="C80:D80"/>
    <mergeCell ref="E80:F80"/>
    <mergeCell ref="A76:B76"/>
    <mergeCell ref="C76:D76"/>
    <mergeCell ref="E76:F76"/>
    <mergeCell ref="G76:H76"/>
    <mergeCell ref="I76:J76"/>
    <mergeCell ref="G80:H80"/>
    <mergeCell ref="I80:J8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F790-F48D-4624-99F9-856F84905D63}">
  <dimension ref="A1:V81"/>
  <sheetViews>
    <sheetView topLeftCell="A57" workbookViewId="0">
      <selection activeCell="A68" sqref="A68:J68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44.33203125" customWidth="1"/>
    <col min="21" max="21" width="14.44140625" customWidth="1"/>
  </cols>
  <sheetData>
    <row r="1" spans="1:22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2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492"/>
      <c r="T2" s="492"/>
    </row>
    <row r="3" spans="1:22" x14ac:dyDescent="0.3">
      <c r="A3" s="263" t="s">
        <v>11</v>
      </c>
      <c r="B3" s="264"/>
      <c r="C3" s="384" t="s">
        <v>255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2"/>
      <c r="V3" s="64"/>
    </row>
    <row r="4" spans="1:22" x14ac:dyDescent="0.3">
      <c r="A4" s="573" t="s">
        <v>13</v>
      </c>
      <c r="B4" s="573"/>
      <c r="C4" s="386">
        <v>2866</v>
      </c>
      <c r="D4" s="386"/>
      <c r="E4" s="387">
        <v>190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9644</v>
      </c>
      <c r="N4" s="6">
        <v>548</v>
      </c>
      <c r="O4" s="6">
        <v>480</v>
      </c>
      <c r="P4" s="7">
        <v>9157</v>
      </c>
      <c r="Q4" s="7">
        <v>9270</v>
      </c>
      <c r="R4" s="7">
        <v>5059</v>
      </c>
      <c r="S4" s="62"/>
      <c r="T4" s="64"/>
      <c r="U4" s="62"/>
      <c r="V4" s="64"/>
    </row>
    <row r="5" spans="1:22" x14ac:dyDescent="0.3">
      <c r="A5" s="573" t="s">
        <v>14</v>
      </c>
      <c r="B5" s="573"/>
      <c r="C5" s="382">
        <v>546</v>
      </c>
      <c r="D5" s="382"/>
      <c r="E5" s="382">
        <v>12</v>
      </c>
      <c r="F5" s="382"/>
      <c r="G5" s="382">
        <v>0</v>
      </c>
      <c r="H5" s="382"/>
      <c r="I5" s="382">
        <v>2</v>
      </c>
      <c r="J5" s="382"/>
      <c r="K5" s="382">
        <v>0</v>
      </c>
      <c r="L5" s="382"/>
      <c r="M5" s="135">
        <v>0</v>
      </c>
      <c r="N5" s="86">
        <v>32</v>
      </c>
      <c r="O5" s="86">
        <v>0</v>
      </c>
      <c r="P5" s="86">
        <v>0</v>
      </c>
      <c r="Q5" s="86">
        <v>0</v>
      </c>
      <c r="R5" s="86">
        <v>0</v>
      </c>
      <c r="S5" s="62"/>
      <c r="T5" s="64"/>
      <c r="U5" s="62"/>
      <c r="V5" s="64"/>
    </row>
    <row r="6" spans="1:22" x14ac:dyDescent="0.3">
      <c r="A6" s="569" t="s">
        <v>15</v>
      </c>
      <c r="B6" s="569"/>
      <c r="C6" s="377">
        <v>332</v>
      </c>
      <c r="D6" s="377"/>
      <c r="E6" s="377">
        <v>5</v>
      </c>
      <c r="F6" s="377"/>
      <c r="G6" s="377">
        <v>58</v>
      </c>
      <c r="H6" s="377"/>
      <c r="I6" s="377">
        <v>20</v>
      </c>
      <c r="J6" s="377"/>
      <c r="K6" s="377">
        <v>4</v>
      </c>
      <c r="L6" s="377"/>
      <c r="M6" s="95">
        <v>818</v>
      </c>
      <c r="N6" s="9">
        <v>505</v>
      </c>
      <c r="O6" s="9">
        <v>86</v>
      </c>
      <c r="P6" s="9">
        <v>0</v>
      </c>
      <c r="Q6" s="9">
        <v>0</v>
      </c>
      <c r="R6" s="9">
        <v>0</v>
      </c>
      <c r="S6" s="62"/>
      <c r="T6" s="64"/>
      <c r="U6" s="62"/>
      <c r="V6" s="62"/>
    </row>
    <row r="7" spans="1:22" x14ac:dyDescent="0.3">
      <c r="A7" s="569" t="s">
        <v>16</v>
      </c>
      <c r="B7" s="569"/>
      <c r="C7" s="377">
        <v>442</v>
      </c>
      <c r="D7" s="377"/>
      <c r="E7" s="377">
        <v>6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200</v>
      </c>
      <c r="N7" s="9">
        <v>192</v>
      </c>
      <c r="O7" s="9">
        <v>8</v>
      </c>
      <c r="P7" s="9">
        <v>0</v>
      </c>
      <c r="Q7" s="9">
        <v>0</v>
      </c>
      <c r="R7" s="9">
        <v>2</v>
      </c>
      <c r="S7" s="62"/>
      <c r="T7" s="62"/>
      <c r="U7" s="62"/>
      <c r="V7" s="62"/>
    </row>
    <row r="8" spans="1:22" x14ac:dyDescent="0.3">
      <c r="A8" s="569" t="s">
        <v>17</v>
      </c>
      <c r="B8" s="569"/>
      <c r="C8" s="377">
        <v>270</v>
      </c>
      <c r="D8" s="377"/>
      <c r="E8" s="377">
        <v>0</v>
      </c>
      <c r="F8" s="377"/>
      <c r="G8" s="377">
        <v>0</v>
      </c>
      <c r="H8" s="377"/>
      <c r="I8" s="377">
        <v>1</v>
      </c>
      <c r="J8" s="377"/>
      <c r="K8" s="377">
        <v>0</v>
      </c>
      <c r="L8" s="377"/>
      <c r="M8" s="95">
        <v>194</v>
      </c>
      <c r="N8" s="9">
        <v>174</v>
      </c>
      <c r="O8" s="9">
        <v>0</v>
      </c>
      <c r="P8" s="9">
        <v>2</v>
      </c>
      <c r="Q8" s="9">
        <v>12</v>
      </c>
      <c r="R8" s="9">
        <v>1</v>
      </c>
      <c r="S8" s="62"/>
      <c r="T8" s="62"/>
      <c r="U8" s="62"/>
      <c r="V8" s="62"/>
    </row>
    <row r="9" spans="1:22" x14ac:dyDescent="0.3">
      <c r="A9" s="569" t="s">
        <v>18</v>
      </c>
      <c r="B9" s="569"/>
      <c r="C9" s="377">
        <v>40</v>
      </c>
      <c r="D9" s="377"/>
      <c r="E9" s="377">
        <v>1</v>
      </c>
      <c r="F9" s="377"/>
      <c r="G9" s="377">
        <v>1</v>
      </c>
      <c r="H9" s="377"/>
      <c r="I9" s="377">
        <v>1</v>
      </c>
      <c r="J9" s="377"/>
      <c r="K9" s="377">
        <v>0</v>
      </c>
      <c r="L9" s="377"/>
      <c r="M9" s="95">
        <v>127</v>
      </c>
      <c r="N9" s="9">
        <v>170</v>
      </c>
      <c r="O9" s="9">
        <v>20</v>
      </c>
      <c r="P9" s="9">
        <v>0</v>
      </c>
      <c r="Q9" s="9">
        <v>0</v>
      </c>
      <c r="R9" s="9">
        <v>0</v>
      </c>
      <c r="S9" s="62"/>
      <c r="T9" s="62"/>
      <c r="U9" s="62"/>
      <c r="V9" s="62"/>
    </row>
    <row r="10" spans="1:22" x14ac:dyDescent="0.3">
      <c r="A10" s="553" t="s">
        <v>262</v>
      </c>
      <c r="B10" s="379"/>
      <c r="C10" s="377">
        <v>45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93</v>
      </c>
      <c r="N10" s="138">
        <v>86</v>
      </c>
      <c r="O10" s="138">
        <v>0</v>
      </c>
      <c r="P10" s="9">
        <v>0</v>
      </c>
      <c r="Q10" s="9">
        <v>0</v>
      </c>
      <c r="R10" s="9">
        <v>0</v>
      </c>
      <c r="S10" s="62"/>
      <c r="T10" s="62"/>
      <c r="U10" s="62"/>
      <c r="V10" s="62"/>
    </row>
    <row r="11" spans="1:22" x14ac:dyDescent="0.3">
      <c r="A11" s="571" t="s">
        <v>19</v>
      </c>
      <c r="B11" s="571"/>
      <c r="C11" s="377">
        <v>218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199</v>
      </c>
      <c r="N11" s="9">
        <v>163</v>
      </c>
      <c r="O11" s="9">
        <v>191</v>
      </c>
      <c r="P11" s="9">
        <v>82</v>
      </c>
      <c r="Q11" s="9">
        <v>14</v>
      </c>
      <c r="R11" s="9">
        <v>0</v>
      </c>
      <c r="S11" s="62"/>
      <c r="T11" s="62"/>
    </row>
    <row r="12" spans="1:22" x14ac:dyDescent="0.3">
      <c r="A12" s="571" t="s">
        <v>20</v>
      </c>
      <c r="B12" s="571"/>
      <c r="C12" s="377">
        <v>2</v>
      </c>
      <c r="D12" s="377"/>
      <c r="E12" s="377">
        <v>1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260</v>
      </c>
      <c r="N12" s="9">
        <v>390</v>
      </c>
      <c r="O12" s="9">
        <v>14</v>
      </c>
      <c r="P12" s="9">
        <v>0</v>
      </c>
      <c r="Q12" s="9">
        <v>16</v>
      </c>
      <c r="R12" s="9">
        <v>5</v>
      </c>
    </row>
    <row r="13" spans="1:22" x14ac:dyDescent="0.3">
      <c r="A13" s="571" t="s">
        <v>21</v>
      </c>
      <c r="B13" s="571"/>
      <c r="C13" s="377">
        <f>248+18</f>
        <v>266</v>
      </c>
      <c r="D13" s="377"/>
      <c r="E13" s="377">
        <v>42</v>
      </c>
      <c r="F13" s="377"/>
      <c r="G13" s="377">
        <v>1</v>
      </c>
      <c r="H13" s="377"/>
      <c r="I13" s="377">
        <v>7</v>
      </c>
      <c r="J13" s="377"/>
      <c r="K13" s="377">
        <v>0</v>
      </c>
      <c r="L13" s="377"/>
      <c r="M13" s="95">
        <v>100</v>
      </c>
      <c r="N13" s="9">
        <v>144</v>
      </c>
      <c r="O13" s="9">
        <v>33</v>
      </c>
      <c r="P13" s="9">
        <v>0</v>
      </c>
      <c r="Q13" s="9">
        <v>0</v>
      </c>
      <c r="R13" s="9">
        <v>0</v>
      </c>
    </row>
    <row r="14" spans="1:22" x14ac:dyDescent="0.3">
      <c r="A14" s="569" t="s">
        <v>22</v>
      </c>
      <c r="B14" s="569"/>
      <c r="C14" s="377">
        <v>220</v>
      </c>
      <c r="D14" s="377"/>
      <c r="E14" s="377">
        <v>0</v>
      </c>
      <c r="F14" s="377"/>
      <c r="G14" s="377">
        <v>1</v>
      </c>
      <c r="H14" s="377"/>
      <c r="I14" s="377">
        <v>0</v>
      </c>
      <c r="J14" s="377"/>
      <c r="K14" s="377">
        <v>0</v>
      </c>
      <c r="L14" s="377"/>
      <c r="M14" s="95">
        <v>121</v>
      </c>
      <c r="N14" s="9">
        <v>155</v>
      </c>
      <c r="O14" s="9">
        <v>21</v>
      </c>
      <c r="P14" s="9">
        <v>0</v>
      </c>
      <c r="Q14" s="9">
        <v>0</v>
      </c>
      <c r="R14" s="9">
        <v>0</v>
      </c>
    </row>
    <row r="15" spans="1:22" ht="15" thickBot="1" x14ac:dyDescent="0.35">
      <c r="A15" s="565" t="s">
        <v>23</v>
      </c>
      <c r="B15" s="565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4148</v>
      </c>
      <c r="Q15" s="73">
        <v>2794</v>
      </c>
      <c r="R15" s="94">
        <v>3907</v>
      </c>
    </row>
    <row r="16" spans="1:22" ht="15" thickBot="1" x14ac:dyDescent="0.35">
      <c r="A16" s="562" t="s">
        <v>24</v>
      </c>
      <c r="B16" s="608"/>
      <c r="C16" s="372">
        <f>SUM(C4:D15)</f>
        <v>5247</v>
      </c>
      <c r="D16" s="373"/>
      <c r="E16" s="373">
        <f>SUM(E4:F15)</f>
        <v>257</v>
      </c>
      <c r="F16" s="373"/>
      <c r="G16" s="373">
        <f>SUM(G4:H15)</f>
        <v>61</v>
      </c>
      <c r="H16" s="373"/>
      <c r="I16" s="373">
        <f>SUM(I4:J15)</f>
        <v>41</v>
      </c>
      <c r="J16" s="373"/>
      <c r="K16" s="373">
        <f>SUM(K4:L15)</f>
        <v>4</v>
      </c>
      <c r="L16" s="373"/>
      <c r="M16" s="139">
        <f>SUM(M4:M15)</f>
        <v>11756</v>
      </c>
      <c r="N16" s="13">
        <f t="shared" ref="N16:R16" si="0">SUM(N4:N15)</f>
        <v>2559</v>
      </c>
      <c r="O16" s="13">
        <f t="shared" si="0"/>
        <v>853</v>
      </c>
      <c r="P16" s="16">
        <f t="shared" si="0"/>
        <v>13389</v>
      </c>
      <c r="Q16" s="142">
        <f t="shared" si="0"/>
        <v>12106</v>
      </c>
      <c r="R16" s="143">
        <f t="shared" si="0"/>
        <v>8974</v>
      </c>
      <c r="S16" s="64"/>
    </row>
    <row r="17" spans="1:22" x14ac:dyDescent="0.3">
      <c r="A17" s="559" t="s">
        <v>25</v>
      </c>
      <c r="B17" s="559"/>
      <c r="C17" s="369">
        <v>2776</v>
      </c>
      <c r="D17" s="369"/>
      <c r="E17" s="368">
        <v>190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9579</v>
      </c>
      <c r="N17" s="131">
        <v>448</v>
      </c>
      <c r="O17" s="91">
        <v>420</v>
      </c>
      <c r="P17" s="140">
        <v>9158</v>
      </c>
      <c r="Q17" s="140">
        <v>9270</v>
      </c>
      <c r="R17" s="144">
        <v>5059</v>
      </c>
      <c r="S17" s="602"/>
      <c r="T17" s="602"/>
      <c r="U17" s="602"/>
      <c r="V17" s="602"/>
    </row>
    <row r="18" spans="1:22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64"/>
      <c r="V18" s="141"/>
    </row>
    <row r="19" spans="1:22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64"/>
      <c r="V19" s="14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64"/>
      <c r="V20" s="141"/>
    </row>
    <row r="21" spans="1:22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64"/>
      <c r="V21" s="141"/>
    </row>
    <row r="22" spans="1:22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64"/>
      <c r="V22" s="141"/>
    </row>
    <row r="23" spans="1:22" x14ac:dyDescent="0.3">
      <c r="A23" s="263" t="s">
        <v>11</v>
      </c>
      <c r="B23" s="422"/>
      <c r="C23" s="333" t="s">
        <v>255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64"/>
      <c r="V23" s="141"/>
    </row>
    <row r="24" spans="1:22" x14ac:dyDescent="0.3">
      <c r="A24" s="553" t="s">
        <v>15</v>
      </c>
      <c r="B24" s="554"/>
      <c r="C24" s="377">
        <v>450</v>
      </c>
      <c r="D24" s="377"/>
      <c r="E24" s="609" t="s">
        <v>223</v>
      </c>
      <c r="F24" s="609"/>
      <c r="G24" s="377">
        <v>0</v>
      </c>
      <c r="H24" s="377"/>
      <c r="I24" s="377">
        <v>10</v>
      </c>
      <c r="J24" s="377"/>
      <c r="K24" s="9">
        <v>0</v>
      </c>
      <c r="L24" s="28">
        <v>23</v>
      </c>
      <c r="M24" s="28">
        <v>2</v>
      </c>
      <c r="S24" s="64"/>
      <c r="T24" s="64"/>
      <c r="U24" s="64"/>
      <c r="V24" s="141"/>
    </row>
    <row r="25" spans="1:22" x14ac:dyDescent="0.3">
      <c r="A25" s="553" t="s">
        <v>16</v>
      </c>
      <c r="B25" s="554"/>
      <c r="C25" s="377">
        <v>60</v>
      </c>
      <c r="D25" s="377"/>
      <c r="E25" s="609" t="s">
        <v>265</v>
      </c>
      <c r="F25" s="609"/>
      <c r="G25" s="377">
        <v>0</v>
      </c>
      <c r="H25" s="377"/>
      <c r="I25" s="377">
        <v>54</v>
      </c>
      <c r="J25" s="377"/>
      <c r="K25" s="9">
        <v>0</v>
      </c>
      <c r="L25" s="28">
        <v>7</v>
      </c>
      <c r="M25" s="28">
        <v>0</v>
      </c>
      <c r="S25" s="64"/>
      <c r="T25" s="64"/>
      <c r="U25" s="64"/>
      <c r="V25" s="141"/>
    </row>
    <row r="26" spans="1:22" x14ac:dyDescent="0.3">
      <c r="A26" s="553" t="s">
        <v>17</v>
      </c>
      <c r="B26" s="554"/>
      <c r="C26" s="377">
        <v>148</v>
      </c>
      <c r="D26" s="377"/>
      <c r="E26" s="609" t="s">
        <v>260</v>
      </c>
      <c r="F26" s="609"/>
      <c r="G26" s="377">
        <v>1</v>
      </c>
      <c r="H26" s="377"/>
      <c r="I26" s="377">
        <v>0</v>
      </c>
      <c r="J26" s="377"/>
      <c r="K26" s="9">
        <v>0</v>
      </c>
      <c r="L26" s="28">
        <v>5</v>
      </c>
      <c r="M26" s="28">
        <v>2</v>
      </c>
    </row>
    <row r="27" spans="1:22" x14ac:dyDescent="0.3">
      <c r="A27" s="553" t="s">
        <v>18</v>
      </c>
      <c r="B27" s="554"/>
      <c r="C27" s="609" t="s">
        <v>258</v>
      </c>
      <c r="D27" s="609"/>
      <c r="E27" s="609" t="s">
        <v>253</v>
      </c>
      <c r="F27" s="609"/>
      <c r="G27" s="377">
        <v>0</v>
      </c>
      <c r="H27" s="377"/>
      <c r="I27" s="377">
        <v>14</v>
      </c>
      <c r="J27" s="377"/>
      <c r="K27" s="9">
        <v>7</v>
      </c>
      <c r="L27" s="28">
        <v>2</v>
      </c>
      <c r="M27" s="28">
        <v>0</v>
      </c>
      <c r="T27" s="64"/>
      <c r="U27" s="64"/>
    </row>
    <row r="28" spans="1:22" x14ac:dyDescent="0.3">
      <c r="A28" s="553" t="s">
        <v>262</v>
      </c>
      <c r="B28" s="379"/>
      <c r="C28" s="609" t="s">
        <v>263</v>
      </c>
      <c r="D28" s="380"/>
      <c r="E28" s="609" t="s">
        <v>35</v>
      </c>
      <c r="F28" s="380"/>
      <c r="G28" s="377">
        <v>0</v>
      </c>
      <c r="H28" s="380"/>
      <c r="I28" s="377">
        <v>10</v>
      </c>
      <c r="J28" s="380"/>
      <c r="K28" s="9">
        <v>0</v>
      </c>
      <c r="L28" s="28">
        <v>5</v>
      </c>
      <c r="M28" s="28">
        <v>5</v>
      </c>
      <c r="T28" s="64"/>
      <c r="U28" s="64"/>
    </row>
    <row r="29" spans="1:22" x14ac:dyDescent="0.3">
      <c r="A29" s="557" t="s">
        <v>19</v>
      </c>
      <c r="B29" s="558"/>
      <c r="C29" s="609" t="s">
        <v>245</v>
      </c>
      <c r="D29" s="609"/>
      <c r="E29" s="609" t="s">
        <v>197</v>
      </c>
      <c r="F29" s="609"/>
      <c r="G29" s="377">
        <v>0</v>
      </c>
      <c r="H29" s="377"/>
      <c r="I29" s="377">
        <v>12</v>
      </c>
      <c r="J29" s="377"/>
      <c r="K29" s="9">
        <v>4</v>
      </c>
      <c r="L29" s="28">
        <v>7</v>
      </c>
      <c r="M29" s="28">
        <v>9</v>
      </c>
    </row>
    <row r="30" spans="1:22" x14ac:dyDescent="0.3">
      <c r="A30" s="557" t="s">
        <v>20</v>
      </c>
      <c r="B30" s="558"/>
      <c r="C30" s="377">
        <v>330</v>
      </c>
      <c r="D30" s="377"/>
      <c r="E30" s="609" t="s">
        <v>268</v>
      </c>
      <c r="F30" s="609"/>
      <c r="G30" s="377">
        <v>10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2" x14ac:dyDescent="0.3">
      <c r="A31" s="557" t="s">
        <v>21</v>
      </c>
      <c r="B31" s="558"/>
      <c r="C31" s="609" t="s">
        <v>81</v>
      </c>
      <c r="D31" s="609"/>
      <c r="E31" s="609" t="s">
        <v>267</v>
      </c>
      <c r="F31" s="609"/>
      <c r="G31" s="377">
        <v>0</v>
      </c>
      <c r="H31" s="377"/>
      <c r="I31" s="377">
        <v>12</v>
      </c>
      <c r="J31" s="377"/>
      <c r="K31" s="9">
        <v>0</v>
      </c>
      <c r="L31" s="28">
        <v>14</v>
      </c>
      <c r="M31" s="28">
        <v>0</v>
      </c>
    </row>
    <row r="32" spans="1:22" x14ac:dyDescent="0.3">
      <c r="A32" s="553" t="s">
        <v>22</v>
      </c>
      <c r="B32" s="554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263" t="s">
        <v>11</v>
      </c>
      <c r="B37" s="422"/>
      <c r="C37" s="333" t="s">
        <v>255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3" t="s">
        <v>15</v>
      </c>
      <c r="B38" s="544"/>
      <c r="C38" s="409" t="s">
        <v>165</v>
      </c>
      <c r="D38" s="410"/>
      <c r="E38" s="437" t="s">
        <v>256</v>
      </c>
      <c r="F38" s="438"/>
      <c r="G38" s="409" t="s">
        <v>40</v>
      </c>
      <c r="H38" s="410"/>
      <c r="I38" s="409">
        <v>15</v>
      </c>
      <c r="J38" s="410"/>
      <c r="K38" s="26">
        <v>0</v>
      </c>
      <c r="L38" s="27" t="s">
        <v>257</v>
      </c>
      <c r="M38" s="27" t="s">
        <v>187</v>
      </c>
    </row>
    <row r="39" spans="1:13" x14ac:dyDescent="0.3">
      <c r="A39" s="543" t="s">
        <v>16</v>
      </c>
      <c r="B39" s="544"/>
      <c r="C39" s="409">
        <v>0</v>
      </c>
      <c r="D39" s="410"/>
      <c r="E39" s="437" t="s">
        <v>266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543" t="s">
        <v>17</v>
      </c>
      <c r="B40" s="544"/>
      <c r="C40" s="409" t="s">
        <v>206</v>
      </c>
      <c r="D40" s="410"/>
      <c r="E40" s="437" t="s">
        <v>261</v>
      </c>
      <c r="F40" s="438"/>
      <c r="G40" s="409" t="s">
        <v>82</v>
      </c>
      <c r="H40" s="410"/>
      <c r="I40" s="409" t="s">
        <v>202</v>
      </c>
      <c r="J40" s="410"/>
      <c r="K40" s="9" t="s">
        <v>45</v>
      </c>
      <c r="L40" s="28" t="s">
        <v>252</v>
      </c>
      <c r="M40" s="28" t="s">
        <v>145</v>
      </c>
    </row>
    <row r="41" spans="1:13" x14ac:dyDescent="0.3">
      <c r="A41" s="543" t="s">
        <v>18</v>
      </c>
      <c r="B41" s="544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543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549" t="s">
        <v>19</v>
      </c>
      <c r="B43" s="550"/>
      <c r="C43" s="409" t="s">
        <v>209</v>
      </c>
      <c r="D43" s="410"/>
      <c r="E43" s="437" t="s">
        <v>246</v>
      </c>
      <c r="F43" s="438"/>
      <c r="G43" s="409">
        <v>0</v>
      </c>
      <c r="H43" s="410"/>
      <c r="I43" s="409" t="s">
        <v>254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09">
        <v>0</v>
      </c>
      <c r="D44" s="410"/>
      <c r="E44" s="409" t="s">
        <v>269</v>
      </c>
      <c r="F44" s="410"/>
      <c r="G44" s="409" t="s">
        <v>270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549" t="s">
        <v>21</v>
      </c>
      <c r="B45" s="550"/>
      <c r="C45" s="409" t="s">
        <v>96</v>
      </c>
      <c r="D45" s="410"/>
      <c r="E45" s="409" t="s">
        <v>213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214</v>
      </c>
      <c r="M45" s="28" t="s">
        <v>40</v>
      </c>
    </row>
    <row r="46" spans="1:13" x14ac:dyDescent="0.3">
      <c r="A46" s="543" t="s">
        <v>22</v>
      </c>
      <c r="B46" s="544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282" t="s">
        <v>221</v>
      </c>
      <c r="D51" s="284"/>
      <c r="E51" s="282" t="s">
        <v>232</v>
      </c>
      <c r="F51" s="284"/>
      <c r="G51" s="319" t="s">
        <v>250</v>
      </c>
      <c r="H51" s="320"/>
      <c r="I51" s="319" t="s">
        <v>255</v>
      </c>
      <c r="J51" s="320"/>
    </row>
    <row r="52" spans="1:10" x14ac:dyDescent="0.3">
      <c r="A52" s="445" t="s">
        <v>59</v>
      </c>
      <c r="B52" s="446"/>
      <c r="C52" s="311">
        <v>8818</v>
      </c>
      <c r="D52" s="312"/>
      <c r="E52" s="311">
        <v>8791</v>
      </c>
      <c r="F52" s="312"/>
      <c r="G52" s="487">
        <v>8767</v>
      </c>
      <c r="H52" s="487"/>
      <c r="I52" s="487">
        <v>8738</v>
      </c>
      <c r="J52" s="487"/>
    </row>
    <row r="53" spans="1:10" ht="15" customHeight="1" x14ac:dyDescent="0.3">
      <c r="A53" s="445" t="s">
        <v>60</v>
      </c>
      <c r="B53" s="446"/>
      <c r="C53" s="311">
        <v>13461</v>
      </c>
      <c r="D53" s="312"/>
      <c r="E53" s="311">
        <v>13505</v>
      </c>
      <c r="F53" s="312"/>
      <c r="G53" s="311">
        <v>13525</v>
      </c>
      <c r="H53" s="312"/>
      <c r="I53" s="311">
        <v>13538</v>
      </c>
      <c r="J53" s="312"/>
    </row>
    <row r="54" spans="1:10" x14ac:dyDescent="0.3">
      <c r="A54" s="445" t="s">
        <v>61</v>
      </c>
      <c r="B54" s="446"/>
      <c r="C54" s="311">
        <v>109089</v>
      </c>
      <c r="D54" s="312"/>
      <c r="E54" s="311">
        <v>109119</v>
      </c>
      <c r="F54" s="312"/>
      <c r="G54" s="487">
        <v>109097</v>
      </c>
      <c r="H54" s="487"/>
      <c r="I54" s="487">
        <v>108985</v>
      </c>
      <c r="J54" s="487"/>
    </row>
    <row r="55" spans="1:10" x14ac:dyDescent="0.3">
      <c r="A55" s="445" t="s">
        <v>62</v>
      </c>
      <c r="B55" s="446"/>
      <c r="C55" s="311">
        <v>208</v>
      </c>
      <c r="D55" s="312"/>
      <c r="E55" s="311">
        <v>208</v>
      </c>
      <c r="F55" s="312"/>
      <c r="G55" s="487">
        <v>208</v>
      </c>
      <c r="H55" s="487"/>
      <c r="I55" s="487">
        <v>208</v>
      </c>
      <c r="J55" s="487"/>
    </row>
    <row r="56" spans="1:10" x14ac:dyDescent="0.3">
      <c r="A56" s="445" t="s">
        <v>63</v>
      </c>
      <c r="B56" s="446"/>
      <c r="C56" s="303">
        <v>48783</v>
      </c>
      <c r="D56" s="283"/>
      <c r="E56" s="303">
        <v>48801</v>
      </c>
      <c r="F56" s="283"/>
      <c r="G56" s="486">
        <v>48819</v>
      </c>
      <c r="H56" s="486"/>
      <c r="I56" s="486">
        <v>48815</v>
      </c>
      <c r="J56" s="486"/>
    </row>
    <row r="57" spans="1:10" x14ac:dyDescent="0.3">
      <c r="A57" s="445" t="s">
        <v>64</v>
      </c>
      <c r="B57" s="446"/>
      <c r="C57" s="303">
        <v>5995</v>
      </c>
      <c r="D57" s="283"/>
      <c r="E57" s="303">
        <v>5997</v>
      </c>
      <c r="F57" s="283"/>
      <c r="G57" s="486">
        <v>5990</v>
      </c>
      <c r="H57" s="486"/>
      <c r="I57" s="486">
        <v>5983</v>
      </c>
      <c r="J57" s="486"/>
    </row>
    <row r="58" spans="1:10" x14ac:dyDescent="0.3">
      <c r="A58" s="445" t="s">
        <v>65</v>
      </c>
      <c r="B58" s="446"/>
      <c r="C58" s="303">
        <v>26464</v>
      </c>
      <c r="D58" s="283"/>
      <c r="E58" s="303">
        <v>26505</v>
      </c>
      <c r="F58" s="283"/>
      <c r="G58" s="486">
        <v>26538</v>
      </c>
      <c r="H58" s="486"/>
      <c r="I58" s="486">
        <v>26459</v>
      </c>
      <c r="J58" s="486"/>
    </row>
    <row r="59" spans="1:10" x14ac:dyDescent="0.3">
      <c r="A59" s="445" t="s">
        <v>66</v>
      </c>
      <c r="B59" s="446"/>
      <c r="C59" s="303">
        <v>4494</v>
      </c>
      <c r="D59" s="283"/>
      <c r="E59" s="303">
        <v>4496</v>
      </c>
      <c r="F59" s="283"/>
      <c r="G59" s="486">
        <v>4501</v>
      </c>
      <c r="H59" s="486"/>
      <c r="I59" s="486">
        <v>4499</v>
      </c>
      <c r="J59" s="486"/>
    </row>
    <row r="60" spans="1:10" x14ac:dyDescent="0.3">
      <c r="A60" s="129"/>
      <c r="B60" s="130" t="s">
        <v>251</v>
      </c>
      <c r="C60" s="303">
        <v>0</v>
      </c>
      <c r="D60" s="283"/>
      <c r="E60" s="303">
        <v>0</v>
      </c>
      <c r="F60" s="283"/>
      <c r="G60" s="486">
        <v>155</v>
      </c>
      <c r="H60" s="486"/>
      <c r="I60" s="486">
        <v>286</v>
      </c>
      <c r="J60" s="486"/>
    </row>
    <row r="61" spans="1:10" x14ac:dyDescent="0.3">
      <c r="A61" s="445" t="s">
        <v>67</v>
      </c>
      <c r="B61" s="510"/>
      <c r="C61" s="613">
        <f>SUM(C52:C59)</f>
        <v>217312</v>
      </c>
      <c r="D61" s="614"/>
      <c r="E61" s="613">
        <v>217422</v>
      </c>
      <c r="F61" s="614"/>
      <c r="G61" s="307">
        <f>SUM(G52:G60)</f>
        <v>217600</v>
      </c>
      <c r="H61" s="307"/>
      <c r="I61" s="307">
        <v>217547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132" t="s">
        <v>221</v>
      </c>
      <c r="D63" s="133"/>
      <c r="E63" s="132" t="s">
        <v>232</v>
      </c>
      <c r="F63" s="133"/>
      <c r="G63" s="319" t="s">
        <v>250</v>
      </c>
      <c r="H63" s="320"/>
      <c r="I63" s="529" t="s">
        <v>255</v>
      </c>
      <c r="J63" s="530"/>
    </row>
    <row r="64" spans="1:10" x14ac:dyDescent="0.3">
      <c r="A64" s="287"/>
      <c r="B64" s="288"/>
      <c r="C64" s="297">
        <v>143413</v>
      </c>
      <c r="D64" s="475"/>
      <c r="E64" s="297">
        <v>143494</v>
      </c>
      <c r="F64" s="475"/>
      <c r="G64" s="297">
        <v>143602</v>
      </c>
      <c r="H64" s="298"/>
      <c r="I64" s="297">
        <v>143589</v>
      </c>
      <c r="J64" s="298"/>
    </row>
    <row r="65" spans="1:10" x14ac:dyDescent="0.3">
      <c r="A65" s="289"/>
      <c r="B65" s="290"/>
      <c r="C65" s="476"/>
      <c r="D65" s="477"/>
      <c r="E65" s="476"/>
      <c r="F65" s="477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125</v>
      </c>
      <c r="D69" s="284"/>
      <c r="E69" s="282" t="s">
        <v>219</v>
      </c>
      <c r="F69" s="284"/>
      <c r="G69" s="282" t="s">
        <v>220</v>
      </c>
      <c r="H69" s="284"/>
      <c r="I69" s="282" t="s">
        <v>250</v>
      </c>
      <c r="J69" s="284"/>
    </row>
    <row r="70" spans="1:10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35287</v>
      </c>
      <c r="D72" s="266"/>
      <c r="E72" s="265">
        <v>35704</v>
      </c>
      <c r="F72" s="266"/>
      <c r="G72" s="265">
        <v>36102</v>
      </c>
      <c r="H72" s="266"/>
      <c r="I72" s="265">
        <v>36368</v>
      </c>
      <c r="J72" s="266"/>
    </row>
    <row r="73" spans="1:10" x14ac:dyDescent="0.3">
      <c r="A73" s="269" t="s">
        <v>16</v>
      </c>
      <c r="B73" s="270"/>
      <c r="C73" s="265">
        <v>8017</v>
      </c>
      <c r="D73" s="266"/>
      <c r="E73" s="265">
        <v>8071</v>
      </c>
      <c r="F73" s="266"/>
      <c r="G73" s="265">
        <v>8166</v>
      </c>
      <c r="H73" s="266"/>
      <c r="I73" s="265">
        <v>8201</v>
      </c>
      <c r="J73" s="266"/>
    </row>
    <row r="74" spans="1:10" x14ac:dyDescent="0.3">
      <c r="A74" s="267" t="s">
        <v>17</v>
      </c>
      <c r="B74" s="268"/>
      <c r="C74" s="265">
        <v>7317</v>
      </c>
      <c r="D74" s="266"/>
      <c r="E74" s="265">
        <v>7417</v>
      </c>
      <c r="F74" s="266"/>
      <c r="G74" s="265">
        <v>7599</v>
      </c>
      <c r="H74" s="266"/>
      <c r="I74" s="265">
        <v>7219</v>
      </c>
      <c r="J74" s="266"/>
    </row>
    <row r="75" spans="1:10" x14ac:dyDescent="0.3">
      <c r="A75" s="267" t="s">
        <v>75</v>
      </c>
      <c r="B75" s="268"/>
      <c r="C75" s="265">
        <v>1970</v>
      </c>
      <c r="D75" s="266"/>
      <c r="E75" s="265">
        <v>2007</v>
      </c>
      <c r="F75" s="266"/>
      <c r="G75" s="265">
        <v>2032</v>
      </c>
      <c r="H75" s="266"/>
      <c r="I75" s="265">
        <v>2508</v>
      </c>
      <c r="J75" s="266"/>
    </row>
    <row r="76" spans="1:10" x14ac:dyDescent="0.3">
      <c r="A76" s="269" t="s">
        <v>18</v>
      </c>
      <c r="B76" s="270"/>
      <c r="C76" s="265">
        <v>5921</v>
      </c>
      <c r="D76" s="266"/>
      <c r="E76" s="265">
        <v>6030</v>
      </c>
      <c r="F76" s="266"/>
      <c r="G76" s="265">
        <v>6107</v>
      </c>
      <c r="H76" s="266"/>
      <c r="I76" s="265">
        <v>6196</v>
      </c>
      <c r="J76" s="266"/>
    </row>
    <row r="77" spans="1:10" x14ac:dyDescent="0.3">
      <c r="A77" s="267" t="s">
        <v>19</v>
      </c>
      <c r="B77" s="268"/>
      <c r="C77" s="265">
        <v>5374</v>
      </c>
      <c r="D77" s="266"/>
      <c r="E77" s="265">
        <v>5388</v>
      </c>
      <c r="F77" s="266"/>
      <c r="G77" s="265">
        <v>5399</v>
      </c>
      <c r="H77" s="266"/>
      <c r="I77" s="265">
        <v>5419</v>
      </c>
      <c r="J77" s="266"/>
    </row>
    <row r="78" spans="1:10" x14ac:dyDescent="0.3">
      <c r="A78" s="269" t="s">
        <v>20</v>
      </c>
      <c r="B78" s="270"/>
      <c r="C78" s="265">
        <v>9255</v>
      </c>
      <c r="D78" s="266"/>
      <c r="E78" s="265">
        <v>9341</v>
      </c>
      <c r="F78" s="266"/>
      <c r="G78" s="265">
        <v>9443</v>
      </c>
      <c r="H78" s="266"/>
      <c r="I78" s="265">
        <v>9569</v>
      </c>
      <c r="J78" s="266"/>
    </row>
    <row r="79" spans="1:10" x14ac:dyDescent="0.3">
      <c r="A79" s="267" t="s">
        <v>21</v>
      </c>
      <c r="B79" s="268"/>
      <c r="C79" s="265">
        <v>1805</v>
      </c>
      <c r="D79" s="266"/>
      <c r="E79" s="265">
        <v>1828</v>
      </c>
      <c r="F79" s="266"/>
      <c r="G79" s="265">
        <v>1839</v>
      </c>
      <c r="H79" s="266"/>
      <c r="I79" s="265">
        <v>1853</v>
      </c>
      <c r="J79" s="266"/>
    </row>
    <row r="80" spans="1:10" x14ac:dyDescent="0.3">
      <c r="A80" s="269" t="s">
        <v>22</v>
      </c>
      <c r="B80" s="270"/>
      <c r="C80" s="265">
        <v>7003</v>
      </c>
      <c r="D80" s="266"/>
      <c r="E80" s="265">
        <v>7091</v>
      </c>
      <c r="F80" s="266"/>
      <c r="G80" s="265">
        <v>7215</v>
      </c>
      <c r="H80" s="266"/>
      <c r="I80" s="265">
        <v>7327</v>
      </c>
      <c r="J80" s="266"/>
    </row>
    <row r="81" spans="1:10" x14ac:dyDescent="0.3">
      <c r="A81" s="263" t="s">
        <v>76</v>
      </c>
      <c r="B81" s="264"/>
      <c r="C81" s="265">
        <f>SUM(C72:C80)</f>
        <v>81949</v>
      </c>
      <c r="D81" s="266"/>
      <c r="E81" s="265">
        <f>SUM(E72:E80)</f>
        <v>82877</v>
      </c>
      <c r="F81" s="266"/>
      <c r="G81" s="265">
        <f>SUM(G72:G80)</f>
        <v>83902</v>
      </c>
      <c r="H81" s="266"/>
      <c r="I81" s="265">
        <v>84660</v>
      </c>
      <c r="J81" s="266"/>
    </row>
  </sheetData>
  <mergeCells count="332">
    <mergeCell ref="S17:V17"/>
    <mergeCell ref="A80:B80"/>
    <mergeCell ref="C80:D80"/>
    <mergeCell ref="E80:F80"/>
    <mergeCell ref="G80:H80"/>
    <mergeCell ref="I80:J80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A81:B81"/>
    <mergeCell ref="C81:D81"/>
    <mergeCell ref="E81:F81"/>
    <mergeCell ref="G81:H81"/>
    <mergeCell ref="I81:J81"/>
    <mergeCell ref="A78:B78"/>
    <mergeCell ref="C78:D78"/>
    <mergeCell ref="E78:F78"/>
    <mergeCell ref="G78:H78"/>
    <mergeCell ref="I78:J78"/>
    <mergeCell ref="A79:B79"/>
    <mergeCell ref="C79:D79"/>
    <mergeCell ref="E79:F79"/>
    <mergeCell ref="G79:H79"/>
    <mergeCell ref="I79:J79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69:B69"/>
    <mergeCell ref="C69:D69"/>
    <mergeCell ref="E69:F69"/>
    <mergeCell ref="G69:H69"/>
    <mergeCell ref="I69:J69"/>
    <mergeCell ref="A70:B71"/>
    <mergeCell ref="C70:D71"/>
    <mergeCell ref="E70:F71"/>
    <mergeCell ref="G70:H71"/>
    <mergeCell ref="I70:J71"/>
    <mergeCell ref="A63:B65"/>
    <mergeCell ref="G63:H63"/>
    <mergeCell ref="I63:J63"/>
    <mergeCell ref="G64:H65"/>
    <mergeCell ref="I64:J65"/>
    <mergeCell ref="A68:J68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C64:D65"/>
    <mergeCell ref="E64:F65"/>
    <mergeCell ref="A58:B58"/>
    <mergeCell ref="C58:D58"/>
    <mergeCell ref="E58:F58"/>
    <mergeCell ref="G58:H58"/>
    <mergeCell ref="I57:J57"/>
    <mergeCell ref="A59:B59"/>
    <mergeCell ref="C59:D59"/>
    <mergeCell ref="E59:F59"/>
    <mergeCell ref="G59:H59"/>
    <mergeCell ref="I59:J59"/>
    <mergeCell ref="I58:J58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7:B7"/>
    <mergeCell ref="C7:D7"/>
    <mergeCell ref="E7:F7"/>
    <mergeCell ref="G7:H7"/>
    <mergeCell ref="I7:J7"/>
    <mergeCell ref="K7:L7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S2:T2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5386-32FB-4A40-8CE0-14050BDF1719}">
  <dimension ref="A1:U81"/>
  <sheetViews>
    <sheetView topLeftCell="A60" workbookViewId="0">
      <selection activeCell="G21" sqref="G21:H22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1" ht="67.5" customHeight="1" x14ac:dyDescent="0.3">
      <c r="A1" s="624" t="s">
        <v>0</v>
      </c>
      <c r="B1" s="625"/>
      <c r="C1" s="636" t="s">
        <v>1</v>
      </c>
      <c r="D1" s="298"/>
      <c r="E1" s="297" t="s">
        <v>175</v>
      </c>
      <c r="F1" s="298"/>
      <c r="G1" s="297" t="s">
        <v>3</v>
      </c>
      <c r="H1" s="298"/>
      <c r="I1" s="297" t="s">
        <v>4</v>
      </c>
      <c r="J1" s="298"/>
      <c r="K1" s="297" t="s">
        <v>5</v>
      </c>
      <c r="L1" s="298"/>
      <c r="M1" s="633" t="s">
        <v>239</v>
      </c>
      <c r="N1" s="630" t="s">
        <v>6</v>
      </c>
      <c r="O1" s="630" t="s">
        <v>7</v>
      </c>
      <c r="P1" s="634" t="s">
        <v>8</v>
      </c>
      <c r="Q1" s="333" t="s">
        <v>9</v>
      </c>
      <c r="R1" s="635" t="s">
        <v>10</v>
      </c>
    </row>
    <row r="2" spans="1:21" ht="9" customHeight="1" x14ac:dyDescent="0.3">
      <c r="A2" s="626"/>
      <c r="B2" s="627"/>
      <c r="C2" s="637"/>
      <c r="D2" s="300"/>
      <c r="E2" s="299"/>
      <c r="F2" s="300"/>
      <c r="G2" s="299"/>
      <c r="H2" s="300"/>
      <c r="I2" s="299"/>
      <c r="J2" s="300"/>
      <c r="K2" s="299"/>
      <c r="L2" s="300"/>
      <c r="M2" s="389"/>
      <c r="N2" s="632"/>
      <c r="O2" s="632"/>
      <c r="P2" s="634"/>
      <c r="Q2" s="333"/>
      <c r="R2" s="635"/>
      <c r="S2" s="62"/>
    </row>
    <row r="3" spans="1:21" x14ac:dyDescent="0.3">
      <c r="A3" s="331" t="s">
        <v>11</v>
      </c>
      <c r="B3" s="383"/>
      <c r="C3" s="384" t="s">
        <v>271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1" x14ac:dyDescent="0.3">
      <c r="A4" s="381" t="s">
        <v>13</v>
      </c>
      <c r="B4" s="381"/>
      <c r="C4" s="386">
        <v>2416</v>
      </c>
      <c r="D4" s="386"/>
      <c r="E4" s="387">
        <v>190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9494</v>
      </c>
      <c r="N4" s="6">
        <v>448</v>
      </c>
      <c r="O4" s="6">
        <v>320</v>
      </c>
      <c r="P4" s="7">
        <v>8433</v>
      </c>
      <c r="Q4" s="7">
        <v>8895</v>
      </c>
      <c r="R4" s="7">
        <v>4602</v>
      </c>
      <c r="S4" s="64"/>
      <c r="T4" s="64"/>
      <c r="U4" s="64"/>
    </row>
    <row r="5" spans="1:2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1" x14ac:dyDescent="0.3">
      <c r="A6" s="376" t="s">
        <v>15</v>
      </c>
      <c r="B6" s="376"/>
      <c r="C6" s="377">
        <v>308</v>
      </c>
      <c r="D6" s="377"/>
      <c r="E6" s="377">
        <v>10</v>
      </c>
      <c r="F6" s="377"/>
      <c r="G6" s="377">
        <v>97</v>
      </c>
      <c r="H6" s="377"/>
      <c r="I6" s="377">
        <v>30</v>
      </c>
      <c r="J6" s="377"/>
      <c r="K6" s="377">
        <v>6</v>
      </c>
      <c r="L6" s="377"/>
      <c r="M6" s="95">
        <v>680</v>
      </c>
      <c r="N6" s="9">
        <v>386</v>
      </c>
      <c r="O6" s="9">
        <v>81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1" x14ac:dyDescent="0.3">
      <c r="A7" s="376" t="s">
        <v>16</v>
      </c>
      <c r="B7" s="376"/>
      <c r="C7" s="377">
        <v>428</v>
      </c>
      <c r="D7" s="377"/>
      <c r="E7" s="377">
        <v>6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200</v>
      </c>
      <c r="N7" s="9">
        <v>168</v>
      </c>
      <c r="O7" s="9">
        <v>8</v>
      </c>
      <c r="P7" s="9">
        <v>0</v>
      </c>
      <c r="Q7" s="9">
        <v>0</v>
      </c>
      <c r="R7" s="9">
        <v>2</v>
      </c>
      <c r="S7" s="62"/>
      <c r="T7" s="62"/>
      <c r="U7" s="62"/>
    </row>
    <row r="8" spans="1:21" x14ac:dyDescent="0.3">
      <c r="A8" s="376" t="s">
        <v>17</v>
      </c>
      <c r="B8" s="376"/>
      <c r="C8" s="377">
        <v>224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123</v>
      </c>
      <c r="N8" s="9">
        <v>140</v>
      </c>
      <c r="O8" s="9">
        <v>0</v>
      </c>
      <c r="P8" s="9">
        <v>2</v>
      </c>
      <c r="Q8" s="9">
        <v>12</v>
      </c>
      <c r="R8" s="9">
        <v>1</v>
      </c>
      <c r="S8" s="62"/>
      <c r="T8" s="62"/>
      <c r="U8" s="62"/>
    </row>
    <row r="9" spans="1:21" x14ac:dyDescent="0.3">
      <c r="A9" s="376" t="s">
        <v>18</v>
      </c>
      <c r="B9" s="376"/>
      <c r="C9" s="377">
        <v>320</v>
      </c>
      <c r="D9" s="377"/>
      <c r="E9" s="377">
        <v>1</v>
      </c>
      <c r="F9" s="377"/>
      <c r="G9" s="377">
        <v>1</v>
      </c>
      <c r="H9" s="377"/>
      <c r="I9" s="377">
        <v>1</v>
      </c>
      <c r="J9" s="377"/>
      <c r="K9" s="377">
        <v>0</v>
      </c>
      <c r="L9" s="377"/>
      <c r="M9" s="95">
        <v>110</v>
      </c>
      <c r="N9" s="9">
        <v>155</v>
      </c>
      <c r="O9" s="9">
        <v>92</v>
      </c>
      <c r="P9" s="9">
        <v>0</v>
      </c>
      <c r="Q9" s="9">
        <v>0</v>
      </c>
      <c r="R9" s="9">
        <v>0</v>
      </c>
      <c r="S9" s="62"/>
      <c r="T9" s="62"/>
      <c r="U9" s="62"/>
    </row>
    <row r="10" spans="1:21" x14ac:dyDescent="0.3">
      <c r="A10" s="378" t="s">
        <v>262</v>
      </c>
      <c r="B10" s="379"/>
      <c r="C10" s="377">
        <v>191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239</v>
      </c>
      <c r="N10" s="172">
        <v>182</v>
      </c>
      <c r="O10" s="172">
        <v>60</v>
      </c>
      <c r="P10" s="9">
        <v>0</v>
      </c>
      <c r="Q10" s="9">
        <v>0</v>
      </c>
      <c r="R10" s="9">
        <v>0</v>
      </c>
      <c r="S10" s="64"/>
      <c r="T10" s="64"/>
      <c r="U10" s="64"/>
    </row>
    <row r="11" spans="1:21" x14ac:dyDescent="0.3">
      <c r="A11" s="376" t="s">
        <v>19</v>
      </c>
      <c r="B11" s="376"/>
      <c r="C11" s="377">
        <v>187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199</v>
      </c>
      <c r="N11" s="9">
        <v>153</v>
      </c>
      <c r="O11" s="9">
        <v>191</v>
      </c>
      <c r="P11" s="9">
        <v>87</v>
      </c>
      <c r="Q11" s="9">
        <v>14</v>
      </c>
      <c r="R11" s="9">
        <v>0</v>
      </c>
      <c r="S11" s="64"/>
    </row>
    <row r="12" spans="1:21" x14ac:dyDescent="0.3">
      <c r="A12" s="376" t="s">
        <v>20</v>
      </c>
      <c r="B12" s="376"/>
      <c r="C12" s="377">
        <v>2</v>
      </c>
      <c r="D12" s="377"/>
      <c r="E12" s="377">
        <v>1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230</v>
      </c>
      <c r="N12" s="9">
        <v>360</v>
      </c>
      <c r="O12" s="9">
        <v>14</v>
      </c>
      <c r="P12" s="9">
        <v>0</v>
      </c>
      <c r="Q12" s="9">
        <v>16</v>
      </c>
      <c r="R12" s="9">
        <v>5</v>
      </c>
    </row>
    <row r="13" spans="1:21" x14ac:dyDescent="0.3">
      <c r="A13" s="376" t="s">
        <v>21</v>
      </c>
      <c r="B13" s="376"/>
      <c r="C13" s="377">
        <v>261</v>
      </c>
      <c r="D13" s="377"/>
      <c r="E13" s="377">
        <v>39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100</v>
      </c>
      <c r="N13" s="9">
        <v>147</v>
      </c>
      <c r="O13" s="9">
        <v>32</v>
      </c>
      <c r="P13" s="9">
        <v>0</v>
      </c>
      <c r="Q13" s="9">
        <v>0</v>
      </c>
      <c r="R13" s="9">
        <v>0</v>
      </c>
    </row>
    <row r="14" spans="1:21" x14ac:dyDescent="0.3">
      <c r="A14" s="376" t="s">
        <v>22</v>
      </c>
      <c r="B14" s="376"/>
      <c r="C14" s="377">
        <v>195</v>
      </c>
      <c r="D14" s="377"/>
      <c r="E14" s="377">
        <v>0</v>
      </c>
      <c r="F14" s="377"/>
      <c r="G14" s="377">
        <v>1</v>
      </c>
      <c r="H14" s="377"/>
      <c r="I14" s="377">
        <v>0</v>
      </c>
      <c r="J14" s="377"/>
      <c r="K14" s="377">
        <v>0</v>
      </c>
      <c r="L14" s="377"/>
      <c r="M14" s="95">
        <v>93</v>
      </c>
      <c r="N14" s="9">
        <v>128</v>
      </c>
      <c r="O14" s="9">
        <v>21</v>
      </c>
      <c r="P14" s="9">
        <v>0</v>
      </c>
      <c r="Q14" s="9">
        <v>0</v>
      </c>
      <c r="R14" s="9">
        <v>0</v>
      </c>
    </row>
    <row r="15" spans="1:21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3833</v>
      </c>
      <c r="Q15" s="73">
        <v>2572</v>
      </c>
      <c r="R15" s="94">
        <v>3658</v>
      </c>
    </row>
    <row r="16" spans="1:21" ht="15" thickBot="1" x14ac:dyDescent="0.35">
      <c r="A16" s="370" t="s">
        <v>24</v>
      </c>
      <c r="B16" s="371"/>
      <c r="C16" s="372">
        <f>SUM(C4:D15)</f>
        <v>4752</v>
      </c>
      <c r="D16" s="373"/>
      <c r="E16" s="373">
        <f>SUM(E4:F15)</f>
        <v>247</v>
      </c>
      <c r="F16" s="373"/>
      <c r="G16" s="373">
        <f>SUM(G4:H15)</f>
        <v>100</v>
      </c>
      <c r="H16" s="373"/>
      <c r="I16" s="373">
        <f>SUM(I4:J15)</f>
        <v>48</v>
      </c>
      <c r="J16" s="373"/>
      <c r="K16" s="373">
        <f>SUM(K4:L15)</f>
        <v>7</v>
      </c>
      <c r="L16" s="373"/>
      <c r="M16" s="139">
        <f>SUM(M4:M15)</f>
        <v>11468</v>
      </c>
      <c r="N16" s="13">
        <f t="shared" ref="N16:R16" si="0">SUM(N4:N15)</f>
        <v>2267</v>
      </c>
      <c r="O16" s="13">
        <f t="shared" si="0"/>
        <v>819</v>
      </c>
      <c r="P16" s="16">
        <f t="shared" si="0"/>
        <v>12355</v>
      </c>
      <c r="Q16" s="142">
        <f t="shared" si="0"/>
        <v>11509</v>
      </c>
      <c r="R16" s="143">
        <f t="shared" si="0"/>
        <v>8268</v>
      </c>
    </row>
    <row r="17" spans="1:21" x14ac:dyDescent="0.3">
      <c r="A17" s="368" t="s">
        <v>25</v>
      </c>
      <c r="B17" s="368"/>
      <c r="C17" s="369">
        <v>2416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9419</v>
      </c>
      <c r="N17" s="131">
        <v>448</v>
      </c>
      <c r="O17" s="91">
        <v>320</v>
      </c>
      <c r="P17" s="140">
        <v>8433</v>
      </c>
      <c r="Q17" s="140">
        <v>9270</v>
      </c>
      <c r="R17" s="144">
        <v>5059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x14ac:dyDescent="0.3">
      <c r="A21" s="624" t="s">
        <v>191</v>
      </c>
      <c r="B21" s="625"/>
      <c r="C21" s="297" t="s">
        <v>1</v>
      </c>
      <c r="D21" s="298"/>
      <c r="E21" s="297" t="s">
        <v>28</v>
      </c>
      <c r="F21" s="298"/>
      <c r="G21" s="297" t="s">
        <v>3</v>
      </c>
      <c r="H21" s="298"/>
      <c r="I21" s="275" t="s">
        <v>29</v>
      </c>
      <c r="J21" s="276"/>
      <c r="K21" s="630" t="s">
        <v>7</v>
      </c>
      <c r="L21" s="167"/>
      <c r="M21" s="167"/>
      <c r="O21" s="367"/>
      <c r="P21" s="367"/>
      <c r="S21" s="64"/>
      <c r="T21" s="64"/>
      <c r="U21" s="141"/>
    </row>
    <row r="22" spans="1:21" ht="57.6" x14ac:dyDescent="0.3">
      <c r="A22" s="626"/>
      <c r="B22" s="627"/>
      <c r="C22" s="299"/>
      <c r="D22" s="300"/>
      <c r="E22" s="299"/>
      <c r="F22" s="300"/>
      <c r="G22" s="299"/>
      <c r="H22" s="300"/>
      <c r="I22" s="277"/>
      <c r="J22" s="278"/>
      <c r="K22" s="632"/>
      <c r="L22" s="168" t="s">
        <v>30</v>
      </c>
      <c r="M22" s="171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271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470</v>
      </c>
      <c r="D24" s="377"/>
      <c r="E24" s="609" t="s">
        <v>230</v>
      </c>
      <c r="F24" s="609"/>
      <c r="G24" s="377">
        <v>0</v>
      </c>
      <c r="H24" s="377"/>
      <c r="I24" s="377">
        <v>11</v>
      </c>
      <c r="J24" s="377"/>
      <c r="K24" s="9">
        <v>0</v>
      </c>
      <c r="L24" s="28">
        <v>14</v>
      </c>
      <c r="M24" s="28">
        <v>4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60</v>
      </c>
      <c r="D25" s="377"/>
      <c r="E25" s="609" t="s">
        <v>273</v>
      </c>
      <c r="F25" s="609"/>
      <c r="G25" s="377">
        <v>0</v>
      </c>
      <c r="H25" s="377"/>
      <c r="I25" s="377">
        <v>55</v>
      </c>
      <c r="J25" s="377"/>
      <c r="K25" s="9">
        <v>0</v>
      </c>
      <c r="L25" s="28">
        <v>7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152</v>
      </c>
      <c r="D26" s="377"/>
      <c r="E26" s="609" t="s">
        <v>260</v>
      </c>
      <c r="F26" s="609"/>
      <c r="G26" s="377">
        <v>1</v>
      </c>
      <c r="H26" s="377"/>
      <c r="I26" s="377">
        <v>0</v>
      </c>
      <c r="J26" s="377"/>
      <c r="K26" s="9">
        <v>0</v>
      </c>
      <c r="L26" s="28">
        <v>5</v>
      </c>
      <c r="M26" s="28">
        <v>2</v>
      </c>
    </row>
    <row r="27" spans="1:21" x14ac:dyDescent="0.3">
      <c r="A27" s="378" t="s">
        <v>18</v>
      </c>
      <c r="B27" s="617"/>
      <c r="C27" s="609" t="s">
        <v>272</v>
      </c>
      <c r="D27" s="609"/>
      <c r="E27" s="609" t="s">
        <v>253</v>
      </c>
      <c r="F27" s="609"/>
      <c r="G27" s="377">
        <v>0</v>
      </c>
      <c r="H27" s="377"/>
      <c r="I27" s="377">
        <v>16</v>
      </c>
      <c r="J27" s="377"/>
      <c r="K27" s="9">
        <v>5</v>
      </c>
      <c r="L27" s="28">
        <v>8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284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245</v>
      </c>
      <c r="D29" s="609"/>
      <c r="E29" s="609" t="s">
        <v>197</v>
      </c>
      <c r="F29" s="609"/>
      <c r="G29" s="377">
        <v>0</v>
      </c>
      <c r="H29" s="377"/>
      <c r="I29" s="377">
        <v>12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280</v>
      </c>
      <c r="D30" s="377"/>
      <c r="E30" s="609" t="s">
        <v>275</v>
      </c>
      <c r="F30" s="609"/>
      <c r="G30" s="377">
        <v>6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278</v>
      </c>
      <c r="D31" s="609"/>
      <c r="E31" s="609" t="s">
        <v>279</v>
      </c>
      <c r="F31" s="609"/>
      <c r="G31" s="377">
        <v>0</v>
      </c>
      <c r="H31" s="377"/>
      <c r="I31" s="377">
        <v>12</v>
      </c>
      <c r="J31" s="377"/>
      <c r="K31" s="9">
        <v>0</v>
      </c>
      <c r="L31" s="28">
        <v>14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624" t="s">
        <v>201</v>
      </c>
      <c r="B35" s="625"/>
      <c r="C35" s="297" t="s">
        <v>1</v>
      </c>
      <c r="D35" s="298"/>
      <c r="E35" s="297" t="s">
        <v>28</v>
      </c>
      <c r="F35" s="298"/>
      <c r="G35" s="297" t="s">
        <v>3</v>
      </c>
      <c r="H35" s="298"/>
      <c r="I35" s="275" t="s">
        <v>29</v>
      </c>
      <c r="J35" s="276"/>
      <c r="K35" s="630" t="s">
        <v>7</v>
      </c>
      <c r="L35" s="167"/>
      <c r="M35" s="169"/>
    </row>
    <row r="36" spans="1:13" ht="57.6" x14ac:dyDescent="0.3">
      <c r="A36" s="626"/>
      <c r="B36" s="627"/>
      <c r="C36" s="628"/>
      <c r="D36" s="629"/>
      <c r="E36" s="628"/>
      <c r="F36" s="629"/>
      <c r="G36" s="628"/>
      <c r="H36" s="629"/>
      <c r="I36" s="618"/>
      <c r="J36" s="619"/>
      <c r="K36" s="631"/>
      <c r="L36" s="168" t="s">
        <v>30</v>
      </c>
      <c r="M36" s="170" t="s">
        <v>31</v>
      </c>
    </row>
    <row r="37" spans="1:13" x14ac:dyDescent="0.3">
      <c r="A37" s="331" t="s">
        <v>11</v>
      </c>
      <c r="B37" s="332"/>
      <c r="C37" s="333" t="s">
        <v>271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202</v>
      </c>
      <c r="D38" s="410"/>
      <c r="E38" s="437" t="s">
        <v>281</v>
      </c>
      <c r="F38" s="438"/>
      <c r="G38" s="409" t="s">
        <v>40</v>
      </c>
      <c r="H38" s="410"/>
      <c r="I38" s="409">
        <v>15</v>
      </c>
      <c r="J38" s="410"/>
      <c r="K38" s="26">
        <v>0</v>
      </c>
      <c r="L38" s="27" t="s">
        <v>282</v>
      </c>
      <c r="M38" s="27" t="s">
        <v>283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274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206</v>
      </c>
      <c r="D40" s="410"/>
      <c r="E40" s="437" t="s">
        <v>261</v>
      </c>
      <c r="F40" s="438"/>
      <c r="G40" s="409" t="s">
        <v>82</v>
      </c>
      <c r="H40" s="410"/>
      <c r="I40" s="409" t="s">
        <v>202</v>
      </c>
      <c r="J40" s="410"/>
      <c r="K40" s="9" t="s">
        <v>45</v>
      </c>
      <c r="L40" s="28" t="s">
        <v>204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209</v>
      </c>
      <c r="D43" s="410"/>
      <c r="E43" s="437" t="s">
        <v>246</v>
      </c>
      <c r="F43" s="438"/>
      <c r="G43" s="409">
        <v>0</v>
      </c>
      <c r="H43" s="410"/>
      <c r="I43" s="409" t="s">
        <v>254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276</v>
      </c>
      <c r="F44" s="410"/>
      <c r="G44" s="409" t="s">
        <v>277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96</v>
      </c>
      <c r="D45" s="410"/>
      <c r="E45" s="409" t="s">
        <v>213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31" t="s">
        <v>55</v>
      </c>
      <c r="B50" s="332"/>
      <c r="C50" s="332"/>
      <c r="D50" s="332"/>
      <c r="E50" s="332"/>
      <c r="F50" s="332"/>
      <c r="G50" s="332"/>
      <c r="H50" s="332"/>
      <c r="I50" s="332"/>
      <c r="J50" s="383"/>
    </row>
    <row r="51" spans="1:10" x14ac:dyDescent="0.3">
      <c r="A51" s="620" t="s">
        <v>56</v>
      </c>
      <c r="B51" s="621"/>
      <c r="C51" s="282" t="s">
        <v>232</v>
      </c>
      <c r="D51" s="284"/>
      <c r="E51" s="282" t="s">
        <v>250</v>
      </c>
      <c r="F51" s="284"/>
      <c r="G51" s="319" t="s">
        <v>255</v>
      </c>
      <c r="H51" s="320"/>
      <c r="I51" s="319" t="s">
        <v>271</v>
      </c>
      <c r="J51" s="320"/>
    </row>
    <row r="52" spans="1:10" x14ac:dyDescent="0.3">
      <c r="A52" s="331" t="s">
        <v>59</v>
      </c>
      <c r="B52" s="383"/>
      <c r="C52" s="311">
        <v>8791</v>
      </c>
      <c r="D52" s="312"/>
      <c r="E52" s="311">
        <v>8767</v>
      </c>
      <c r="F52" s="312"/>
      <c r="G52" s="487">
        <v>8738</v>
      </c>
      <c r="H52" s="487"/>
      <c r="I52" s="487">
        <v>8723</v>
      </c>
      <c r="J52" s="487"/>
    </row>
    <row r="53" spans="1:10" ht="15" customHeight="1" x14ac:dyDescent="0.3">
      <c r="A53" s="331" t="s">
        <v>60</v>
      </c>
      <c r="B53" s="383"/>
      <c r="C53" s="311">
        <v>13505</v>
      </c>
      <c r="D53" s="312"/>
      <c r="E53" s="311">
        <v>13525</v>
      </c>
      <c r="F53" s="312"/>
      <c r="G53" s="311">
        <v>13538</v>
      </c>
      <c r="H53" s="312"/>
      <c r="I53" s="311">
        <v>13548</v>
      </c>
      <c r="J53" s="312"/>
    </row>
    <row r="54" spans="1:10" x14ac:dyDescent="0.3">
      <c r="A54" s="331" t="s">
        <v>61</v>
      </c>
      <c r="B54" s="383"/>
      <c r="C54" s="311">
        <v>109119</v>
      </c>
      <c r="D54" s="312"/>
      <c r="E54" s="311">
        <v>109097</v>
      </c>
      <c r="F54" s="312"/>
      <c r="G54" s="487">
        <v>108985</v>
      </c>
      <c r="H54" s="487"/>
      <c r="I54" s="487">
        <v>108974</v>
      </c>
      <c r="J54" s="487"/>
    </row>
    <row r="55" spans="1:10" x14ac:dyDescent="0.3">
      <c r="A55" s="331" t="s">
        <v>62</v>
      </c>
      <c r="B55" s="383"/>
      <c r="C55" s="311">
        <v>208</v>
      </c>
      <c r="D55" s="312"/>
      <c r="E55" s="311">
        <v>208</v>
      </c>
      <c r="F55" s="312"/>
      <c r="G55" s="487">
        <v>208</v>
      </c>
      <c r="H55" s="487"/>
      <c r="I55" s="487">
        <v>208</v>
      </c>
      <c r="J55" s="487"/>
    </row>
    <row r="56" spans="1:10" x14ac:dyDescent="0.3">
      <c r="A56" s="331" t="s">
        <v>63</v>
      </c>
      <c r="B56" s="383"/>
      <c r="C56" s="303">
        <v>48801</v>
      </c>
      <c r="D56" s="283"/>
      <c r="E56" s="303">
        <v>48819</v>
      </c>
      <c r="F56" s="283"/>
      <c r="G56" s="486">
        <v>48815</v>
      </c>
      <c r="H56" s="486"/>
      <c r="I56" s="486">
        <v>48815</v>
      </c>
      <c r="J56" s="486"/>
    </row>
    <row r="57" spans="1:10" x14ac:dyDescent="0.3">
      <c r="A57" s="331" t="s">
        <v>64</v>
      </c>
      <c r="B57" s="383"/>
      <c r="C57" s="303">
        <v>5997</v>
      </c>
      <c r="D57" s="283"/>
      <c r="E57" s="303">
        <v>5990</v>
      </c>
      <c r="F57" s="283"/>
      <c r="G57" s="486">
        <v>5983</v>
      </c>
      <c r="H57" s="486"/>
      <c r="I57" s="486">
        <v>5975</v>
      </c>
      <c r="J57" s="486"/>
    </row>
    <row r="58" spans="1:10" x14ac:dyDescent="0.3">
      <c r="A58" s="331" t="s">
        <v>65</v>
      </c>
      <c r="B58" s="383"/>
      <c r="C58" s="303">
        <v>26505</v>
      </c>
      <c r="D58" s="283"/>
      <c r="E58" s="303">
        <v>26538</v>
      </c>
      <c r="F58" s="283"/>
      <c r="G58" s="486">
        <v>26459</v>
      </c>
      <c r="H58" s="486"/>
      <c r="I58" s="486">
        <v>26502</v>
      </c>
      <c r="J58" s="486"/>
    </row>
    <row r="59" spans="1:10" x14ac:dyDescent="0.3">
      <c r="A59" s="331" t="s">
        <v>66</v>
      </c>
      <c r="B59" s="383"/>
      <c r="C59" s="303">
        <v>4496</v>
      </c>
      <c r="D59" s="283"/>
      <c r="E59" s="303">
        <v>4501</v>
      </c>
      <c r="F59" s="283"/>
      <c r="G59" s="486">
        <v>4499</v>
      </c>
      <c r="H59" s="486"/>
      <c r="I59" s="486">
        <v>4501</v>
      </c>
      <c r="J59" s="486"/>
    </row>
    <row r="60" spans="1:10" x14ac:dyDescent="0.3">
      <c r="A60" s="165"/>
      <c r="B60" s="166" t="s">
        <v>251</v>
      </c>
      <c r="C60" s="303">
        <v>0</v>
      </c>
      <c r="D60" s="283"/>
      <c r="E60" s="303">
        <v>155</v>
      </c>
      <c r="F60" s="283"/>
      <c r="G60" s="486">
        <v>286</v>
      </c>
      <c r="H60" s="486"/>
      <c r="I60" s="486">
        <v>411</v>
      </c>
      <c r="J60" s="486"/>
    </row>
    <row r="61" spans="1:10" x14ac:dyDescent="0.3">
      <c r="A61" s="331" t="s">
        <v>67</v>
      </c>
      <c r="B61" s="332"/>
      <c r="C61" s="613">
        <v>217422</v>
      </c>
      <c r="D61" s="614"/>
      <c r="E61" s="613">
        <f>SUM(E52:E60)</f>
        <v>217600</v>
      </c>
      <c r="F61" s="614"/>
      <c r="G61" s="307">
        <v>217547</v>
      </c>
      <c r="H61" s="307"/>
      <c r="I61" s="307">
        <v>217657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75" t="s">
        <v>68</v>
      </c>
      <c r="B63" s="276"/>
      <c r="C63" s="132" t="s">
        <v>232</v>
      </c>
      <c r="D63" s="133"/>
      <c r="E63" s="319" t="s">
        <v>250</v>
      </c>
      <c r="F63" s="320"/>
      <c r="G63" s="319" t="s">
        <v>255</v>
      </c>
      <c r="H63" s="320"/>
      <c r="I63" s="319" t="s">
        <v>271</v>
      </c>
      <c r="J63" s="320"/>
    </row>
    <row r="64" spans="1:10" x14ac:dyDescent="0.3">
      <c r="A64" s="618"/>
      <c r="B64" s="619"/>
      <c r="C64" s="297">
        <v>143494</v>
      </c>
      <c r="D64" s="475"/>
      <c r="E64" s="297">
        <v>143602</v>
      </c>
      <c r="F64" s="298"/>
      <c r="G64" s="297">
        <v>143589</v>
      </c>
      <c r="H64" s="298"/>
      <c r="I64" s="297">
        <v>143666</v>
      </c>
      <c r="J64" s="298"/>
    </row>
    <row r="65" spans="1:10" x14ac:dyDescent="0.3">
      <c r="A65" s="277"/>
      <c r="B65" s="278"/>
      <c r="C65" s="476"/>
      <c r="D65" s="477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331" t="s">
        <v>69</v>
      </c>
      <c r="B68" s="332"/>
      <c r="C68" s="332"/>
      <c r="D68" s="332"/>
      <c r="E68" s="332"/>
      <c r="F68" s="332"/>
      <c r="G68" s="332"/>
      <c r="H68" s="332"/>
      <c r="I68" s="332"/>
      <c r="J68" s="383"/>
    </row>
    <row r="69" spans="1:10" x14ac:dyDescent="0.3">
      <c r="A69" s="331" t="s">
        <v>11</v>
      </c>
      <c r="B69" s="383"/>
      <c r="C69" s="282" t="s">
        <v>125</v>
      </c>
      <c r="D69" s="284"/>
      <c r="E69" s="282" t="s">
        <v>219</v>
      </c>
      <c r="F69" s="284"/>
      <c r="G69" s="282" t="s">
        <v>220</v>
      </c>
      <c r="H69" s="284"/>
      <c r="I69" s="282" t="s">
        <v>250</v>
      </c>
      <c r="J69" s="284"/>
    </row>
    <row r="70" spans="1:10" x14ac:dyDescent="0.3">
      <c r="A70" s="275" t="s">
        <v>73</v>
      </c>
      <c r="B70" s="276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7"/>
      <c r="B71" s="278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615" t="s">
        <v>15</v>
      </c>
      <c r="B72" s="616"/>
      <c r="C72" s="265">
        <v>35287</v>
      </c>
      <c r="D72" s="266"/>
      <c r="E72" s="265">
        <v>35704</v>
      </c>
      <c r="F72" s="266"/>
      <c r="G72" s="265">
        <v>36102</v>
      </c>
      <c r="H72" s="266"/>
      <c r="I72" s="265">
        <v>36368</v>
      </c>
      <c r="J72" s="266"/>
    </row>
    <row r="73" spans="1:10" x14ac:dyDescent="0.3">
      <c r="A73" s="378" t="s">
        <v>16</v>
      </c>
      <c r="B73" s="617"/>
      <c r="C73" s="265">
        <v>8017</v>
      </c>
      <c r="D73" s="266"/>
      <c r="E73" s="265">
        <v>8071</v>
      </c>
      <c r="F73" s="266"/>
      <c r="G73" s="265">
        <v>8166</v>
      </c>
      <c r="H73" s="266"/>
      <c r="I73" s="265">
        <v>8201</v>
      </c>
      <c r="J73" s="266"/>
    </row>
    <row r="74" spans="1:10" x14ac:dyDescent="0.3">
      <c r="A74" s="615" t="s">
        <v>17</v>
      </c>
      <c r="B74" s="616"/>
      <c r="C74" s="265">
        <v>7317</v>
      </c>
      <c r="D74" s="266"/>
      <c r="E74" s="265">
        <v>7417</v>
      </c>
      <c r="F74" s="266"/>
      <c r="G74" s="265">
        <v>7599</v>
      </c>
      <c r="H74" s="266"/>
      <c r="I74" s="265">
        <v>7219</v>
      </c>
      <c r="J74" s="266"/>
    </row>
    <row r="75" spans="1:10" x14ac:dyDescent="0.3">
      <c r="A75" s="615" t="s">
        <v>75</v>
      </c>
      <c r="B75" s="616"/>
      <c r="C75" s="265">
        <v>1970</v>
      </c>
      <c r="D75" s="266"/>
      <c r="E75" s="265">
        <v>2007</v>
      </c>
      <c r="F75" s="266"/>
      <c r="G75" s="265">
        <v>2032</v>
      </c>
      <c r="H75" s="266"/>
      <c r="I75" s="265">
        <v>2508</v>
      </c>
      <c r="J75" s="266"/>
    </row>
    <row r="76" spans="1:10" x14ac:dyDescent="0.3">
      <c r="A76" s="378" t="s">
        <v>18</v>
      </c>
      <c r="B76" s="617"/>
      <c r="C76" s="265">
        <v>5921</v>
      </c>
      <c r="D76" s="266"/>
      <c r="E76" s="265">
        <v>6030</v>
      </c>
      <c r="F76" s="266"/>
      <c r="G76" s="265">
        <v>6107</v>
      </c>
      <c r="H76" s="266"/>
      <c r="I76" s="265">
        <v>6196</v>
      </c>
      <c r="J76" s="266"/>
    </row>
    <row r="77" spans="1:10" x14ac:dyDescent="0.3">
      <c r="A77" s="615" t="s">
        <v>19</v>
      </c>
      <c r="B77" s="616"/>
      <c r="C77" s="265">
        <v>5374</v>
      </c>
      <c r="D77" s="266"/>
      <c r="E77" s="265">
        <v>5388</v>
      </c>
      <c r="F77" s="266"/>
      <c r="G77" s="265">
        <v>5399</v>
      </c>
      <c r="H77" s="266"/>
      <c r="I77" s="265">
        <v>5419</v>
      </c>
      <c r="J77" s="266"/>
    </row>
    <row r="78" spans="1:10" x14ac:dyDescent="0.3">
      <c r="A78" s="378" t="s">
        <v>20</v>
      </c>
      <c r="B78" s="617"/>
      <c r="C78" s="265">
        <v>9255</v>
      </c>
      <c r="D78" s="266"/>
      <c r="E78" s="265">
        <v>9341</v>
      </c>
      <c r="F78" s="266"/>
      <c r="G78" s="265">
        <v>9443</v>
      </c>
      <c r="H78" s="266"/>
      <c r="I78" s="265">
        <v>9569</v>
      </c>
      <c r="J78" s="266"/>
    </row>
    <row r="79" spans="1:10" x14ac:dyDescent="0.3">
      <c r="A79" s="615" t="s">
        <v>21</v>
      </c>
      <c r="B79" s="616"/>
      <c r="C79" s="265">
        <v>1805</v>
      </c>
      <c r="D79" s="266"/>
      <c r="E79" s="265">
        <v>1828</v>
      </c>
      <c r="F79" s="266"/>
      <c r="G79" s="265">
        <v>1839</v>
      </c>
      <c r="H79" s="266"/>
      <c r="I79" s="265">
        <v>1853</v>
      </c>
      <c r="J79" s="266"/>
    </row>
    <row r="80" spans="1:10" x14ac:dyDescent="0.3">
      <c r="A80" s="378" t="s">
        <v>22</v>
      </c>
      <c r="B80" s="617"/>
      <c r="C80" s="265">
        <v>7003</v>
      </c>
      <c r="D80" s="266"/>
      <c r="E80" s="265">
        <v>7091</v>
      </c>
      <c r="F80" s="266"/>
      <c r="G80" s="265">
        <v>7215</v>
      </c>
      <c r="H80" s="266"/>
      <c r="I80" s="265">
        <v>7327</v>
      </c>
      <c r="J80" s="266"/>
    </row>
    <row r="81" spans="1:10" x14ac:dyDescent="0.3">
      <c r="A81" s="331" t="s">
        <v>76</v>
      </c>
      <c r="B81" s="383"/>
      <c r="C81" s="265">
        <f>SUM(C72:C80)</f>
        <v>81949</v>
      </c>
      <c r="D81" s="266"/>
      <c r="E81" s="265">
        <f>SUM(E72:E80)</f>
        <v>82877</v>
      </c>
      <c r="F81" s="266"/>
      <c r="G81" s="265">
        <f>SUM(G72:G80)</f>
        <v>83902</v>
      </c>
      <c r="H81" s="266"/>
      <c r="I81" s="265">
        <v>84660</v>
      </c>
      <c r="J81" s="266"/>
    </row>
  </sheetData>
  <mergeCells count="332"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A4:B4"/>
    <mergeCell ref="C4:D4"/>
    <mergeCell ref="E4:F4"/>
    <mergeCell ref="G4:H4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81:B81"/>
    <mergeCell ref="C81:D81"/>
    <mergeCell ref="E81:F81"/>
    <mergeCell ref="G81:H81"/>
    <mergeCell ref="I81:J81"/>
    <mergeCell ref="E63:F63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D0CA-9BC9-4AF7-BF25-D2F1FEF0C4DE}">
  <dimension ref="A1:AA81"/>
  <sheetViews>
    <sheetView topLeftCell="A57" workbookViewId="0">
      <selection activeCell="I77" sqref="I77:J77"/>
    </sheetView>
  </sheetViews>
  <sheetFormatPr defaultRowHeight="14.4" x14ac:dyDescent="0.3"/>
  <cols>
    <col min="2" max="2" width="22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624" t="s">
        <v>0</v>
      </c>
      <c r="B1" s="625"/>
      <c r="C1" s="636" t="s">
        <v>1</v>
      </c>
      <c r="D1" s="298"/>
      <c r="E1" s="297" t="s">
        <v>175</v>
      </c>
      <c r="F1" s="298"/>
      <c r="G1" s="297" t="s">
        <v>3</v>
      </c>
      <c r="H1" s="298"/>
      <c r="I1" s="297" t="s">
        <v>4</v>
      </c>
      <c r="J1" s="298"/>
      <c r="K1" s="297" t="s">
        <v>5</v>
      </c>
      <c r="L1" s="298"/>
      <c r="M1" s="633" t="s">
        <v>239</v>
      </c>
      <c r="N1" s="630" t="s">
        <v>6</v>
      </c>
      <c r="O1" s="630" t="s">
        <v>7</v>
      </c>
      <c r="P1" s="634" t="s">
        <v>8</v>
      </c>
      <c r="Q1" s="333" t="s">
        <v>9</v>
      </c>
      <c r="R1" s="635" t="s">
        <v>10</v>
      </c>
    </row>
    <row r="2" spans="1:27" ht="9" customHeight="1" x14ac:dyDescent="0.3">
      <c r="A2" s="626"/>
      <c r="B2" s="627"/>
      <c r="C2" s="637"/>
      <c r="D2" s="300"/>
      <c r="E2" s="299"/>
      <c r="F2" s="300"/>
      <c r="G2" s="299"/>
      <c r="H2" s="300"/>
      <c r="I2" s="299"/>
      <c r="J2" s="300"/>
      <c r="K2" s="299"/>
      <c r="L2" s="300"/>
      <c r="M2" s="389"/>
      <c r="N2" s="632"/>
      <c r="O2" s="632"/>
      <c r="P2" s="634"/>
      <c r="Q2" s="333"/>
      <c r="R2" s="635"/>
      <c r="S2" s="62"/>
    </row>
    <row r="3" spans="1:27" x14ac:dyDescent="0.3">
      <c r="A3" s="331" t="s">
        <v>11</v>
      </c>
      <c r="B3" s="383"/>
      <c r="C3" s="384" t="s">
        <v>285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2116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8794</v>
      </c>
      <c r="N4" s="6">
        <v>348</v>
      </c>
      <c r="O4" s="6">
        <v>320</v>
      </c>
      <c r="P4" s="7">
        <v>6973</v>
      </c>
      <c r="Q4" s="7">
        <v>8715</v>
      </c>
      <c r="R4" s="7">
        <v>3782</v>
      </c>
      <c r="S4" s="64"/>
      <c r="T4" s="64"/>
      <c r="U4" s="64"/>
    </row>
    <row r="5" spans="1:27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291</v>
      </c>
      <c r="D6" s="377"/>
      <c r="E6" s="377">
        <v>10</v>
      </c>
      <c r="F6" s="377"/>
      <c r="G6" s="377">
        <v>57</v>
      </c>
      <c r="H6" s="377"/>
      <c r="I6" s="377">
        <v>28</v>
      </c>
      <c r="J6" s="377"/>
      <c r="K6" s="377">
        <v>6</v>
      </c>
      <c r="L6" s="377"/>
      <c r="M6" s="95">
        <v>543</v>
      </c>
      <c r="N6" s="9">
        <v>351</v>
      </c>
      <c r="O6" s="9">
        <v>72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351</v>
      </c>
      <c r="D7" s="377"/>
      <c r="E7" s="377">
        <v>6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200</v>
      </c>
      <c r="N7" s="9">
        <v>147</v>
      </c>
      <c r="O7" s="9">
        <v>8</v>
      </c>
      <c r="P7" s="9">
        <v>0</v>
      </c>
      <c r="Q7" s="9">
        <v>0</v>
      </c>
      <c r="R7" s="9">
        <v>2</v>
      </c>
      <c r="S7" s="62"/>
      <c r="T7" s="62"/>
      <c r="U7" s="62"/>
    </row>
    <row r="8" spans="1:27" x14ac:dyDescent="0.3">
      <c r="A8" s="376" t="s">
        <v>17</v>
      </c>
      <c r="B8" s="376"/>
      <c r="C8" s="377">
        <v>190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119</v>
      </c>
      <c r="N8" s="9">
        <v>130</v>
      </c>
      <c r="O8" s="9">
        <v>0</v>
      </c>
      <c r="P8" s="9">
        <v>2</v>
      </c>
      <c r="Q8" s="9">
        <v>12</v>
      </c>
      <c r="R8" s="9">
        <v>1</v>
      </c>
      <c r="S8" s="62"/>
      <c r="T8" s="62"/>
      <c r="U8" s="62"/>
    </row>
    <row r="9" spans="1:27" x14ac:dyDescent="0.3">
      <c r="A9" s="376" t="s">
        <v>18</v>
      </c>
      <c r="B9" s="376"/>
      <c r="C9" s="377">
        <v>295</v>
      </c>
      <c r="D9" s="377"/>
      <c r="E9" s="377">
        <v>1</v>
      </c>
      <c r="F9" s="377"/>
      <c r="G9" s="377">
        <v>1</v>
      </c>
      <c r="H9" s="377"/>
      <c r="I9" s="377">
        <v>1</v>
      </c>
      <c r="J9" s="377"/>
      <c r="K9" s="377">
        <v>0</v>
      </c>
      <c r="L9" s="377"/>
      <c r="M9" s="95">
        <v>82</v>
      </c>
      <c r="N9" s="9">
        <v>150</v>
      </c>
      <c r="O9" s="9">
        <v>50</v>
      </c>
      <c r="P9" s="9">
        <v>0</v>
      </c>
      <c r="Q9" s="9">
        <v>0</v>
      </c>
      <c r="R9" s="9">
        <v>0</v>
      </c>
      <c r="S9" s="62"/>
      <c r="T9" s="62"/>
      <c r="U9" s="62"/>
    </row>
    <row r="10" spans="1:27" ht="15" thickBot="1" x14ac:dyDescent="0.35">
      <c r="A10" s="378" t="s">
        <v>262</v>
      </c>
      <c r="B10" s="379"/>
      <c r="C10" s="377">
        <v>179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205</v>
      </c>
      <c r="N10" s="172">
        <v>173</v>
      </c>
      <c r="O10" s="172">
        <v>60</v>
      </c>
      <c r="P10" s="9">
        <v>0</v>
      </c>
      <c r="Q10" s="9">
        <v>0</v>
      </c>
      <c r="R10" s="9">
        <v>0</v>
      </c>
      <c r="S10" s="64"/>
      <c r="T10" s="64"/>
      <c r="U10" s="62"/>
      <c r="V10" s="64"/>
      <c r="Z10" s="176"/>
      <c r="AA10" s="176"/>
    </row>
    <row r="11" spans="1:27" ht="15" thickBot="1" x14ac:dyDescent="0.35">
      <c r="A11" s="376" t="s">
        <v>19</v>
      </c>
      <c r="B11" s="376"/>
      <c r="C11" s="377">
        <v>174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191</v>
      </c>
      <c r="N11" s="9">
        <v>144</v>
      </c>
      <c r="O11" s="9">
        <v>76</v>
      </c>
      <c r="P11" s="9">
        <v>82</v>
      </c>
      <c r="Q11" s="9">
        <v>14</v>
      </c>
      <c r="R11" s="9">
        <v>0</v>
      </c>
      <c r="S11" s="64"/>
      <c r="U11" s="62"/>
      <c r="V11" s="64"/>
      <c r="Z11" s="176"/>
      <c r="AA11" s="176"/>
    </row>
    <row r="12" spans="1:27" x14ac:dyDescent="0.3">
      <c r="A12" s="638" t="s">
        <v>20</v>
      </c>
      <c r="B12" s="638"/>
      <c r="C12" s="325">
        <v>2</v>
      </c>
      <c r="D12" s="325"/>
      <c r="E12" s="325">
        <v>1</v>
      </c>
      <c r="F12" s="325"/>
      <c r="G12" s="325">
        <v>0</v>
      </c>
      <c r="H12" s="325"/>
      <c r="I12" s="325">
        <v>0</v>
      </c>
      <c r="J12" s="325"/>
      <c r="K12" s="325">
        <v>0</v>
      </c>
      <c r="L12" s="325"/>
      <c r="M12" s="174">
        <v>230</v>
      </c>
      <c r="N12" s="173">
        <v>360</v>
      </c>
      <c r="O12" s="173">
        <v>14</v>
      </c>
      <c r="P12" s="173">
        <v>0</v>
      </c>
      <c r="Q12" s="173">
        <v>16</v>
      </c>
      <c r="R12" s="173">
        <v>5</v>
      </c>
    </row>
    <row r="13" spans="1:27" x14ac:dyDescent="0.3">
      <c r="A13" s="376" t="s">
        <v>21</v>
      </c>
      <c r="B13" s="376"/>
      <c r="C13" s="377">
        <v>228</v>
      </c>
      <c r="D13" s="377"/>
      <c r="E13" s="377">
        <v>18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80</v>
      </c>
      <c r="N13" s="9">
        <v>142</v>
      </c>
      <c r="O13" s="9">
        <v>32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168</v>
      </c>
      <c r="D14" s="377"/>
      <c r="E14" s="377">
        <v>0</v>
      </c>
      <c r="F14" s="377"/>
      <c r="G14" s="377">
        <v>1</v>
      </c>
      <c r="H14" s="377"/>
      <c r="I14" s="377">
        <v>0</v>
      </c>
      <c r="J14" s="377"/>
      <c r="K14" s="377">
        <v>0</v>
      </c>
      <c r="L14" s="377"/>
      <c r="M14" s="95">
        <v>263</v>
      </c>
      <c r="N14" s="9">
        <v>103</v>
      </c>
      <c r="O14" s="9">
        <v>21</v>
      </c>
      <c r="P14" s="9">
        <v>0</v>
      </c>
      <c r="Q14" s="9">
        <v>0</v>
      </c>
      <c r="R14" s="9">
        <v>0</v>
      </c>
      <c r="W14" s="62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4509</v>
      </c>
      <c r="Q15" s="73">
        <v>2908</v>
      </c>
      <c r="R15" s="94">
        <v>3976</v>
      </c>
    </row>
    <row r="16" spans="1:27" ht="15" thickBot="1" x14ac:dyDescent="0.35">
      <c r="A16" s="370" t="s">
        <v>24</v>
      </c>
      <c r="B16" s="371"/>
      <c r="C16" s="372">
        <f>SUM(C4:D15)</f>
        <v>4214</v>
      </c>
      <c r="D16" s="373"/>
      <c r="E16" s="373">
        <f>SUM(E4:F15)</f>
        <v>194</v>
      </c>
      <c r="F16" s="373"/>
      <c r="G16" s="373">
        <f>SUM(G4:H15)</f>
        <v>60</v>
      </c>
      <c r="H16" s="373"/>
      <c r="I16" s="373">
        <f>SUM(I4:J15)</f>
        <v>46</v>
      </c>
      <c r="J16" s="373"/>
      <c r="K16" s="373">
        <f>SUM(K4:L15)</f>
        <v>7</v>
      </c>
      <c r="L16" s="373"/>
      <c r="M16" s="139">
        <f>SUM(M4:M15)</f>
        <v>10707</v>
      </c>
      <c r="N16" s="13">
        <f t="shared" ref="N16:R16" si="0">SUM(N4:N15)</f>
        <v>2048</v>
      </c>
      <c r="O16" s="13">
        <f t="shared" si="0"/>
        <v>653</v>
      </c>
      <c r="P16" s="16">
        <f t="shared" si="0"/>
        <v>11566</v>
      </c>
      <c r="Q16" s="142">
        <f t="shared" si="0"/>
        <v>11665</v>
      </c>
      <c r="R16" s="143">
        <f t="shared" si="0"/>
        <v>7766</v>
      </c>
    </row>
    <row r="17" spans="1:21" x14ac:dyDescent="0.3">
      <c r="A17" s="368" t="s">
        <v>25</v>
      </c>
      <c r="B17" s="368"/>
      <c r="C17" s="369">
        <v>2016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8419</v>
      </c>
      <c r="N17" s="131">
        <v>348</v>
      </c>
      <c r="O17" s="91">
        <v>320</v>
      </c>
      <c r="P17" s="140">
        <v>8433</v>
      </c>
      <c r="Q17" s="140">
        <v>9270</v>
      </c>
      <c r="R17" s="144">
        <v>5059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x14ac:dyDescent="0.3">
      <c r="A21" s="624" t="s">
        <v>191</v>
      </c>
      <c r="B21" s="625"/>
      <c r="C21" s="297" t="s">
        <v>1</v>
      </c>
      <c r="D21" s="298"/>
      <c r="E21" s="297" t="s">
        <v>28</v>
      </c>
      <c r="F21" s="298"/>
      <c r="G21" s="297" t="s">
        <v>3</v>
      </c>
      <c r="H21" s="298"/>
      <c r="I21" s="275" t="s">
        <v>29</v>
      </c>
      <c r="J21" s="276"/>
      <c r="K21" s="630" t="s">
        <v>7</v>
      </c>
      <c r="L21" s="167"/>
      <c r="M21" s="167"/>
      <c r="O21" s="367"/>
      <c r="P21" s="367"/>
      <c r="S21" s="64"/>
      <c r="T21" s="64"/>
      <c r="U21" s="141"/>
    </row>
    <row r="22" spans="1:21" ht="57.6" x14ac:dyDescent="0.3">
      <c r="A22" s="626"/>
      <c r="B22" s="627"/>
      <c r="C22" s="299"/>
      <c r="D22" s="300"/>
      <c r="E22" s="299"/>
      <c r="F22" s="300"/>
      <c r="G22" s="299"/>
      <c r="H22" s="300"/>
      <c r="I22" s="277"/>
      <c r="J22" s="278"/>
      <c r="K22" s="632"/>
      <c r="L22" s="168" t="s">
        <v>30</v>
      </c>
      <c r="M22" s="171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285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558</v>
      </c>
      <c r="D24" s="377"/>
      <c r="E24" s="609" t="s">
        <v>287</v>
      </c>
      <c r="F24" s="609"/>
      <c r="G24" s="377">
        <v>0</v>
      </c>
      <c r="H24" s="377"/>
      <c r="I24" s="377">
        <v>41</v>
      </c>
      <c r="J24" s="377"/>
      <c r="K24" s="9">
        <v>0</v>
      </c>
      <c r="L24" s="28">
        <v>11</v>
      </c>
      <c r="M24" s="28">
        <v>8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53</v>
      </c>
      <c r="D25" s="377"/>
      <c r="E25" s="609" t="s">
        <v>289</v>
      </c>
      <c r="F25" s="609"/>
      <c r="G25" s="377">
        <v>0</v>
      </c>
      <c r="H25" s="377"/>
      <c r="I25" s="377">
        <v>54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154</v>
      </c>
      <c r="D26" s="377"/>
      <c r="E26" s="609" t="s">
        <v>260</v>
      </c>
      <c r="F26" s="609"/>
      <c r="G26" s="377">
        <v>1</v>
      </c>
      <c r="H26" s="377"/>
      <c r="I26" s="377">
        <v>0</v>
      </c>
      <c r="J26" s="377"/>
      <c r="K26" s="9">
        <v>0</v>
      </c>
      <c r="L26" s="28">
        <v>5</v>
      </c>
      <c r="M26" s="28">
        <v>2</v>
      </c>
    </row>
    <row r="27" spans="1:21" x14ac:dyDescent="0.3">
      <c r="A27" s="378" t="s">
        <v>18</v>
      </c>
      <c r="B27" s="617"/>
      <c r="C27" s="609" t="s">
        <v>272</v>
      </c>
      <c r="D27" s="609"/>
      <c r="E27" s="609" t="s">
        <v>253</v>
      </c>
      <c r="F27" s="609"/>
      <c r="G27" s="377">
        <v>0</v>
      </c>
      <c r="H27" s="377"/>
      <c r="I27" s="377">
        <v>19</v>
      </c>
      <c r="J27" s="377"/>
      <c r="K27" s="9">
        <v>5</v>
      </c>
      <c r="L27" s="28">
        <v>8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286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245</v>
      </c>
      <c r="D29" s="609"/>
      <c r="E29" s="609" t="s">
        <v>291</v>
      </c>
      <c r="F29" s="609"/>
      <c r="G29" s="377">
        <v>0</v>
      </c>
      <c r="H29" s="377"/>
      <c r="I29" s="377">
        <v>17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53" t="s">
        <v>20</v>
      </c>
      <c r="B30" s="354"/>
      <c r="C30" s="325">
        <v>280</v>
      </c>
      <c r="D30" s="325"/>
      <c r="E30" s="355" t="s">
        <v>275</v>
      </c>
      <c r="F30" s="355"/>
      <c r="G30" s="325">
        <v>6</v>
      </c>
      <c r="H30" s="325"/>
      <c r="I30" s="325">
        <v>0</v>
      </c>
      <c r="J30" s="325"/>
      <c r="K30" s="173">
        <v>0</v>
      </c>
      <c r="L30" s="175">
        <v>0</v>
      </c>
      <c r="M30" s="175">
        <v>0</v>
      </c>
    </row>
    <row r="31" spans="1:21" x14ac:dyDescent="0.3">
      <c r="A31" s="378" t="s">
        <v>21</v>
      </c>
      <c r="B31" s="617"/>
      <c r="C31" s="609" t="s">
        <v>278</v>
      </c>
      <c r="D31" s="609"/>
      <c r="E31" s="609" t="s">
        <v>279</v>
      </c>
      <c r="F31" s="609"/>
      <c r="G31" s="377">
        <v>0</v>
      </c>
      <c r="H31" s="377"/>
      <c r="I31" s="377">
        <v>12</v>
      </c>
      <c r="J31" s="377"/>
      <c r="K31" s="9">
        <v>0</v>
      </c>
      <c r="L31" s="28">
        <v>14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624" t="s">
        <v>201</v>
      </c>
      <c r="B35" s="625"/>
      <c r="C35" s="297" t="s">
        <v>1</v>
      </c>
      <c r="D35" s="298"/>
      <c r="E35" s="297" t="s">
        <v>28</v>
      </c>
      <c r="F35" s="298"/>
      <c r="G35" s="297" t="s">
        <v>3</v>
      </c>
      <c r="H35" s="298"/>
      <c r="I35" s="275" t="s">
        <v>29</v>
      </c>
      <c r="J35" s="276"/>
      <c r="K35" s="630" t="s">
        <v>7</v>
      </c>
      <c r="L35" s="167"/>
      <c r="M35" s="169"/>
    </row>
    <row r="36" spans="1:13" ht="57.6" x14ac:dyDescent="0.3">
      <c r="A36" s="626"/>
      <c r="B36" s="627"/>
      <c r="C36" s="628"/>
      <c r="D36" s="629"/>
      <c r="E36" s="628"/>
      <c r="F36" s="629"/>
      <c r="G36" s="628"/>
      <c r="H36" s="629"/>
      <c r="I36" s="618"/>
      <c r="J36" s="619"/>
      <c r="K36" s="631"/>
      <c r="L36" s="168" t="s">
        <v>30</v>
      </c>
      <c r="M36" s="170" t="s">
        <v>31</v>
      </c>
    </row>
    <row r="37" spans="1:13" x14ac:dyDescent="0.3">
      <c r="A37" s="331" t="s">
        <v>11</v>
      </c>
      <c r="B37" s="332"/>
      <c r="C37" s="333" t="s">
        <v>285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202</v>
      </c>
      <c r="D38" s="410"/>
      <c r="E38" s="437" t="s">
        <v>288</v>
      </c>
      <c r="F38" s="438"/>
      <c r="G38" s="409" t="s">
        <v>40</v>
      </c>
      <c r="H38" s="410"/>
      <c r="I38" s="409">
        <v>21</v>
      </c>
      <c r="J38" s="410"/>
      <c r="K38" s="26">
        <v>0</v>
      </c>
      <c r="L38" s="27" t="s">
        <v>135</v>
      </c>
      <c r="M38" s="27" t="s">
        <v>120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290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206</v>
      </c>
      <c r="D40" s="410"/>
      <c r="E40" s="437" t="s">
        <v>261</v>
      </c>
      <c r="F40" s="438"/>
      <c r="G40" s="409" t="s">
        <v>82</v>
      </c>
      <c r="H40" s="410"/>
      <c r="I40" s="409" t="s">
        <v>202</v>
      </c>
      <c r="J40" s="410"/>
      <c r="K40" s="9" t="s">
        <v>45</v>
      </c>
      <c r="L40" s="28" t="s">
        <v>204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292</v>
      </c>
      <c r="D43" s="410"/>
      <c r="E43" s="437" t="s">
        <v>246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321" t="s">
        <v>20</v>
      </c>
      <c r="B44" s="322"/>
      <c r="C44" s="323">
        <v>0</v>
      </c>
      <c r="D44" s="324"/>
      <c r="E44" s="323" t="s">
        <v>276</v>
      </c>
      <c r="F44" s="324"/>
      <c r="G44" s="323" t="s">
        <v>277</v>
      </c>
      <c r="H44" s="324"/>
      <c r="I44" s="323">
        <v>0</v>
      </c>
      <c r="J44" s="324"/>
      <c r="K44" s="173">
        <v>0</v>
      </c>
      <c r="L44" s="175">
        <v>0</v>
      </c>
      <c r="M44" s="175">
        <v>0</v>
      </c>
    </row>
    <row r="45" spans="1:13" x14ac:dyDescent="0.3">
      <c r="A45" s="622" t="s">
        <v>21</v>
      </c>
      <c r="B45" s="623"/>
      <c r="C45" s="409" t="s">
        <v>96</v>
      </c>
      <c r="D45" s="410"/>
      <c r="E45" s="409" t="s">
        <v>213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31" t="s">
        <v>55</v>
      </c>
      <c r="B50" s="332"/>
      <c r="C50" s="332"/>
      <c r="D50" s="332"/>
      <c r="E50" s="332"/>
      <c r="F50" s="332"/>
      <c r="G50" s="332"/>
      <c r="H50" s="332"/>
      <c r="I50" s="332"/>
      <c r="J50" s="383"/>
    </row>
    <row r="51" spans="1:10" x14ac:dyDescent="0.3">
      <c r="A51" s="620" t="s">
        <v>56</v>
      </c>
      <c r="B51" s="621"/>
      <c r="C51" s="282" t="s">
        <v>250</v>
      </c>
      <c r="D51" s="284"/>
      <c r="E51" s="319" t="s">
        <v>255</v>
      </c>
      <c r="F51" s="320"/>
      <c r="G51" s="319" t="s">
        <v>271</v>
      </c>
      <c r="H51" s="320"/>
      <c r="I51" s="319" t="s">
        <v>285</v>
      </c>
      <c r="J51" s="320"/>
    </row>
    <row r="52" spans="1:10" x14ac:dyDescent="0.3">
      <c r="A52" s="331" t="s">
        <v>59</v>
      </c>
      <c r="B52" s="383"/>
      <c r="C52" s="311">
        <v>8767</v>
      </c>
      <c r="D52" s="312"/>
      <c r="E52" s="487">
        <v>8738</v>
      </c>
      <c r="F52" s="487"/>
      <c r="G52" s="487">
        <v>8723</v>
      </c>
      <c r="H52" s="487"/>
      <c r="I52" s="487">
        <v>8707</v>
      </c>
      <c r="J52" s="487"/>
    </row>
    <row r="53" spans="1:10" ht="15" customHeight="1" x14ac:dyDescent="0.3">
      <c r="A53" s="331" t="s">
        <v>60</v>
      </c>
      <c r="B53" s="383"/>
      <c r="C53" s="311">
        <v>13525</v>
      </c>
      <c r="D53" s="312"/>
      <c r="E53" s="311">
        <v>13538</v>
      </c>
      <c r="F53" s="312"/>
      <c r="G53" s="311">
        <v>13548</v>
      </c>
      <c r="H53" s="312"/>
      <c r="I53" s="311">
        <v>13564</v>
      </c>
      <c r="J53" s="312"/>
    </row>
    <row r="54" spans="1:10" x14ac:dyDescent="0.3">
      <c r="A54" s="331" t="s">
        <v>61</v>
      </c>
      <c r="B54" s="383"/>
      <c r="C54" s="311">
        <v>109097</v>
      </c>
      <c r="D54" s="312"/>
      <c r="E54" s="487">
        <v>108985</v>
      </c>
      <c r="F54" s="487"/>
      <c r="G54" s="487">
        <v>108974</v>
      </c>
      <c r="H54" s="487"/>
      <c r="I54" s="487">
        <v>108895</v>
      </c>
      <c r="J54" s="487"/>
    </row>
    <row r="55" spans="1:10" x14ac:dyDescent="0.3">
      <c r="A55" s="331" t="s">
        <v>62</v>
      </c>
      <c r="B55" s="383"/>
      <c r="C55" s="311">
        <v>208</v>
      </c>
      <c r="D55" s="312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31" t="s">
        <v>63</v>
      </c>
      <c r="B56" s="383"/>
      <c r="C56" s="303">
        <v>48819</v>
      </c>
      <c r="D56" s="283"/>
      <c r="E56" s="486">
        <v>48815</v>
      </c>
      <c r="F56" s="486"/>
      <c r="G56" s="486">
        <v>48815</v>
      </c>
      <c r="H56" s="486"/>
      <c r="I56" s="486">
        <v>48788</v>
      </c>
      <c r="J56" s="486"/>
    </row>
    <row r="57" spans="1:10" x14ac:dyDescent="0.3">
      <c r="A57" s="331" t="s">
        <v>64</v>
      </c>
      <c r="B57" s="383"/>
      <c r="C57" s="303">
        <v>5990</v>
      </c>
      <c r="D57" s="283"/>
      <c r="E57" s="486">
        <v>5983</v>
      </c>
      <c r="F57" s="486"/>
      <c r="G57" s="486">
        <v>5975</v>
      </c>
      <c r="H57" s="486"/>
      <c r="I57" s="303">
        <v>5971</v>
      </c>
      <c r="J57" s="283"/>
    </row>
    <row r="58" spans="1:10" x14ac:dyDescent="0.3">
      <c r="A58" s="331" t="s">
        <v>65</v>
      </c>
      <c r="B58" s="383"/>
      <c r="C58" s="303">
        <v>26538</v>
      </c>
      <c r="D58" s="283"/>
      <c r="E58" s="486">
        <v>26459</v>
      </c>
      <c r="F58" s="486"/>
      <c r="G58" s="486">
        <v>26502</v>
      </c>
      <c r="H58" s="486"/>
      <c r="I58" s="486">
        <v>26467</v>
      </c>
      <c r="J58" s="486"/>
    </row>
    <row r="59" spans="1:10" x14ac:dyDescent="0.3">
      <c r="A59" s="331" t="s">
        <v>66</v>
      </c>
      <c r="B59" s="383"/>
      <c r="C59" s="303">
        <v>4501</v>
      </c>
      <c r="D59" s="283"/>
      <c r="E59" s="486">
        <v>4499</v>
      </c>
      <c r="F59" s="486"/>
      <c r="G59" s="486">
        <v>4501</v>
      </c>
      <c r="H59" s="486"/>
      <c r="I59" s="486">
        <v>4499</v>
      </c>
      <c r="J59" s="486"/>
    </row>
    <row r="60" spans="1:10" x14ac:dyDescent="0.3">
      <c r="A60" s="165"/>
      <c r="B60" s="166" t="s">
        <v>251</v>
      </c>
      <c r="C60" s="303">
        <v>155</v>
      </c>
      <c r="D60" s="283"/>
      <c r="E60" s="486">
        <v>286</v>
      </c>
      <c r="F60" s="486"/>
      <c r="G60" s="486">
        <v>411</v>
      </c>
      <c r="H60" s="486"/>
      <c r="I60" s="486">
        <v>691</v>
      </c>
      <c r="J60" s="486"/>
    </row>
    <row r="61" spans="1:10" x14ac:dyDescent="0.3">
      <c r="A61" s="331" t="s">
        <v>67</v>
      </c>
      <c r="B61" s="332"/>
      <c r="C61" s="613">
        <f>SUM(C52:C60)</f>
        <v>217600</v>
      </c>
      <c r="D61" s="614"/>
      <c r="E61" s="307">
        <v>217547</v>
      </c>
      <c r="F61" s="307"/>
      <c r="G61" s="307">
        <v>217657</v>
      </c>
      <c r="H61" s="307"/>
      <c r="I61" s="307">
        <v>217790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75" t="s">
        <v>68</v>
      </c>
      <c r="B63" s="276"/>
      <c r="C63" s="319" t="s">
        <v>250</v>
      </c>
      <c r="D63" s="320"/>
      <c r="E63" s="319" t="s">
        <v>255</v>
      </c>
      <c r="F63" s="320"/>
      <c r="G63" s="319" t="s">
        <v>271</v>
      </c>
      <c r="H63" s="320"/>
      <c r="I63" s="319" t="s">
        <v>285</v>
      </c>
      <c r="J63" s="320"/>
    </row>
    <row r="64" spans="1:10" x14ac:dyDescent="0.3">
      <c r="A64" s="618"/>
      <c r="B64" s="619"/>
      <c r="C64" s="297">
        <v>143602</v>
      </c>
      <c r="D64" s="298"/>
      <c r="E64" s="297">
        <v>143589</v>
      </c>
      <c r="F64" s="298"/>
      <c r="G64" s="297">
        <v>143666</v>
      </c>
      <c r="H64" s="298"/>
      <c r="I64" s="297">
        <v>143758</v>
      </c>
      <c r="J64" s="298"/>
    </row>
    <row r="65" spans="1:10" x14ac:dyDescent="0.3">
      <c r="A65" s="277"/>
      <c r="B65" s="278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331" t="s">
        <v>69</v>
      </c>
      <c r="B68" s="332"/>
      <c r="C68" s="332"/>
      <c r="D68" s="332"/>
      <c r="E68" s="332"/>
      <c r="F68" s="332"/>
      <c r="G68" s="332"/>
      <c r="H68" s="332"/>
      <c r="I68" s="332"/>
      <c r="J68" s="383"/>
    </row>
    <row r="69" spans="1:10" x14ac:dyDescent="0.3">
      <c r="A69" s="331" t="s">
        <v>11</v>
      </c>
      <c r="B69" s="383"/>
      <c r="C69" s="282" t="s">
        <v>125</v>
      </c>
      <c r="D69" s="284"/>
      <c r="E69" s="282" t="s">
        <v>219</v>
      </c>
      <c r="F69" s="284"/>
      <c r="G69" s="282" t="s">
        <v>220</v>
      </c>
      <c r="H69" s="284"/>
      <c r="I69" s="282" t="s">
        <v>250</v>
      </c>
      <c r="J69" s="284"/>
    </row>
    <row r="70" spans="1:10" ht="15" customHeight="1" x14ac:dyDescent="0.3">
      <c r="A70" s="275" t="s">
        <v>73</v>
      </c>
      <c r="B70" s="276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7"/>
      <c r="B71" s="278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615" t="s">
        <v>15</v>
      </c>
      <c r="B72" s="616"/>
      <c r="C72" s="265">
        <v>35287</v>
      </c>
      <c r="D72" s="266"/>
      <c r="E72" s="265">
        <v>35704</v>
      </c>
      <c r="F72" s="266"/>
      <c r="G72" s="265">
        <v>36102</v>
      </c>
      <c r="H72" s="266"/>
      <c r="I72" s="265">
        <v>36368</v>
      </c>
      <c r="J72" s="266"/>
    </row>
    <row r="73" spans="1:10" x14ac:dyDescent="0.3">
      <c r="A73" s="378" t="s">
        <v>16</v>
      </c>
      <c r="B73" s="617"/>
      <c r="C73" s="265">
        <v>8017</v>
      </c>
      <c r="D73" s="266"/>
      <c r="E73" s="265">
        <v>8071</v>
      </c>
      <c r="F73" s="266"/>
      <c r="G73" s="265">
        <v>8166</v>
      </c>
      <c r="H73" s="266"/>
      <c r="I73" s="265">
        <v>8201</v>
      </c>
      <c r="J73" s="266"/>
    </row>
    <row r="74" spans="1:10" x14ac:dyDescent="0.3">
      <c r="A74" s="615" t="s">
        <v>17</v>
      </c>
      <c r="B74" s="616"/>
      <c r="C74" s="265">
        <v>7317</v>
      </c>
      <c r="D74" s="266"/>
      <c r="E74" s="265">
        <v>7417</v>
      </c>
      <c r="F74" s="266"/>
      <c r="G74" s="265">
        <v>7599</v>
      </c>
      <c r="H74" s="266"/>
      <c r="I74" s="265">
        <v>7219</v>
      </c>
      <c r="J74" s="266"/>
    </row>
    <row r="75" spans="1:10" x14ac:dyDescent="0.3">
      <c r="A75" s="615" t="s">
        <v>75</v>
      </c>
      <c r="B75" s="616"/>
      <c r="C75" s="265">
        <v>1970</v>
      </c>
      <c r="D75" s="266"/>
      <c r="E75" s="265">
        <v>2007</v>
      </c>
      <c r="F75" s="266"/>
      <c r="G75" s="265">
        <v>2032</v>
      </c>
      <c r="H75" s="266"/>
      <c r="I75" s="265">
        <v>2508</v>
      </c>
      <c r="J75" s="266"/>
    </row>
    <row r="76" spans="1:10" x14ac:dyDescent="0.3">
      <c r="A76" s="378" t="s">
        <v>18</v>
      </c>
      <c r="B76" s="617"/>
      <c r="C76" s="265">
        <v>5921</v>
      </c>
      <c r="D76" s="266"/>
      <c r="E76" s="265">
        <v>6030</v>
      </c>
      <c r="F76" s="266"/>
      <c r="G76" s="265">
        <v>6107</v>
      </c>
      <c r="H76" s="266"/>
      <c r="I76" s="265">
        <v>6196</v>
      </c>
      <c r="J76" s="266"/>
    </row>
    <row r="77" spans="1:10" x14ac:dyDescent="0.3">
      <c r="A77" s="615" t="s">
        <v>19</v>
      </c>
      <c r="B77" s="616"/>
      <c r="C77" s="265">
        <v>5374</v>
      </c>
      <c r="D77" s="266"/>
      <c r="E77" s="265">
        <v>5388</v>
      </c>
      <c r="F77" s="266"/>
      <c r="G77" s="265">
        <v>5399</v>
      </c>
      <c r="H77" s="266"/>
      <c r="I77" s="265">
        <v>5419</v>
      </c>
      <c r="J77" s="266"/>
    </row>
    <row r="78" spans="1:10" x14ac:dyDescent="0.3">
      <c r="A78" s="378" t="s">
        <v>20</v>
      </c>
      <c r="B78" s="617"/>
      <c r="C78" s="265">
        <v>9255</v>
      </c>
      <c r="D78" s="266"/>
      <c r="E78" s="265">
        <v>9341</v>
      </c>
      <c r="F78" s="266"/>
      <c r="G78" s="265">
        <v>9443</v>
      </c>
      <c r="H78" s="266"/>
      <c r="I78" s="265">
        <v>9569</v>
      </c>
      <c r="J78" s="266"/>
    </row>
    <row r="79" spans="1:10" x14ac:dyDescent="0.3">
      <c r="A79" s="615" t="s">
        <v>21</v>
      </c>
      <c r="B79" s="616"/>
      <c r="C79" s="265">
        <v>1805</v>
      </c>
      <c r="D79" s="266"/>
      <c r="E79" s="265">
        <v>1828</v>
      </c>
      <c r="F79" s="266"/>
      <c r="G79" s="265">
        <v>1839</v>
      </c>
      <c r="H79" s="266"/>
      <c r="I79" s="265">
        <v>1853</v>
      </c>
      <c r="J79" s="266"/>
    </row>
    <row r="80" spans="1:10" x14ac:dyDescent="0.3">
      <c r="A80" s="378" t="s">
        <v>22</v>
      </c>
      <c r="B80" s="617"/>
      <c r="C80" s="265">
        <v>7003</v>
      </c>
      <c r="D80" s="266"/>
      <c r="E80" s="265">
        <v>7091</v>
      </c>
      <c r="F80" s="266"/>
      <c r="G80" s="265">
        <v>7215</v>
      </c>
      <c r="H80" s="266"/>
      <c r="I80" s="265">
        <v>7327</v>
      </c>
      <c r="J80" s="266"/>
    </row>
    <row r="81" spans="1:10" x14ac:dyDescent="0.3">
      <c r="A81" s="331" t="s">
        <v>76</v>
      </c>
      <c r="B81" s="383"/>
      <c r="C81" s="265">
        <f>SUM(C72:C80)</f>
        <v>81949</v>
      </c>
      <c r="D81" s="266"/>
      <c r="E81" s="265">
        <f>SUM(E72:E80)</f>
        <v>82877</v>
      </c>
      <c r="F81" s="266"/>
      <c r="G81" s="265">
        <f>SUM(G72:G80)</f>
        <v>83902</v>
      </c>
      <c r="H81" s="266"/>
      <c r="I81" s="265">
        <v>84660</v>
      </c>
      <c r="J81" s="266"/>
    </row>
  </sheetData>
  <mergeCells count="333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E63:F63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81:B81"/>
    <mergeCell ref="C81:D81"/>
    <mergeCell ref="E81:F81"/>
    <mergeCell ref="G81:H81"/>
    <mergeCell ref="I81:J81"/>
    <mergeCell ref="C63:D63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DB03-C39E-4AA4-A730-B634C93BCB13}">
  <dimension ref="A1:AA81"/>
  <sheetViews>
    <sheetView topLeftCell="A54" workbookViewId="0">
      <selection activeCell="N79" sqref="N79"/>
    </sheetView>
  </sheetViews>
  <sheetFormatPr defaultRowHeight="14.4" x14ac:dyDescent="0.3"/>
  <cols>
    <col min="2" max="2" width="23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294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2016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8494</v>
      </c>
      <c r="N4" s="6">
        <v>238</v>
      </c>
      <c r="O4" s="6">
        <v>580</v>
      </c>
      <c r="P4" s="7">
        <v>6833</v>
      </c>
      <c r="Q4" s="7">
        <v>8075</v>
      </c>
      <c r="R4" s="7">
        <v>3642</v>
      </c>
      <c r="S4" s="64"/>
      <c r="T4" s="64"/>
      <c r="U4" s="64"/>
    </row>
    <row r="5" spans="1:27" ht="22.5" customHeight="1" x14ac:dyDescent="0.3">
      <c r="A5" s="381" t="s">
        <v>14</v>
      </c>
      <c r="B5" s="381"/>
      <c r="C5" s="382">
        <v>458</v>
      </c>
      <c r="D5" s="382"/>
      <c r="E5" s="382">
        <v>3</v>
      </c>
      <c r="F5" s="382"/>
      <c r="G5" s="382">
        <v>0</v>
      </c>
      <c r="H5" s="382"/>
      <c r="I5" s="382">
        <v>15</v>
      </c>
      <c r="J5" s="382"/>
      <c r="K5" s="382">
        <v>11</v>
      </c>
      <c r="L5" s="382"/>
      <c r="M5" s="135">
        <v>0</v>
      </c>
      <c r="N5" s="86">
        <v>42</v>
      </c>
      <c r="O5" s="86">
        <v>11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455</v>
      </c>
      <c r="D6" s="377"/>
      <c r="E6" s="377">
        <v>5</v>
      </c>
      <c r="F6" s="377"/>
      <c r="G6" s="377">
        <v>57</v>
      </c>
      <c r="H6" s="377"/>
      <c r="I6" s="377">
        <v>25</v>
      </c>
      <c r="J6" s="377"/>
      <c r="K6" s="377">
        <v>2</v>
      </c>
      <c r="L6" s="377"/>
      <c r="M6" s="95">
        <v>585</v>
      </c>
      <c r="N6" s="9">
        <v>310</v>
      </c>
      <c r="O6" s="9">
        <v>63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295</v>
      </c>
      <c r="D7" s="377"/>
      <c r="E7" s="377">
        <v>6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125</v>
      </c>
      <c r="N7" s="9">
        <v>147</v>
      </c>
      <c r="O7" s="9">
        <v>7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433</v>
      </c>
      <c r="D8" s="377"/>
      <c r="E8" s="377">
        <v>1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399</v>
      </c>
      <c r="N8" s="9">
        <v>208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270</v>
      </c>
      <c r="D9" s="377"/>
      <c r="E9" s="377">
        <v>1</v>
      </c>
      <c r="F9" s="377"/>
      <c r="G9" s="377">
        <v>1</v>
      </c>
      <c r="H9" s="377"/>
      <c r="I9" s="377">
        <v>1</v>
      </c>
      <c r="J9" s="377"/>
      <c r="K9" s="377">
        <v>0</v>
      </c>
      <c r="L9" s="377"/>
      <c r="M9" s="95">
        <v>82</v>
      </c>
      <c r="N9" s="9">
        <v>145</v>
      </c>
      <c r="O9" s="9">
        <v>105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169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190</v>
      </c>
      <c r="N10" s="172">
        <v>169</v>
      </c>
      <c r="O10" s="172">
        <v>60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152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174</v>
      </c>
      <c r="N11" s="9">
        <v>133</v>
      </c>
      <c r="O11" s="9">
        <v>254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2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142</v>
      </c>
      <c r="N12" s="9">
        <v>296</v>
      </c>
      <c r="O12" s="9">
        <v>13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233</v>
      </c>
      <c r="D13" s="377"/>
      <c r="E13" s="377">
        <v>29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70</v>
      </c>
      <c r="N13" s="9">
        <v>140</v>
      </c>
      <c r="O13" s="9">
        <v>32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147</v>
      </c>
      <c r="D14" s="377"/>
      <c r="E14" s="377">
        <v>0</v>
      </c>
      <c r="F14" s="377"/>
      <c r="G14" s="377">
        <v>1</v>
      </c>
      <c r="H14" s="377"/>
      <c r="I14" s="377">
        <v>0</v>
      </c>
      <c r="J14" s="377"/>
      <c r="K14" s="377">
        <v>0</v>
      </c>
      <c r="L14" s="377"/>
      <c r="M14" s="95">
        <v>232</v>
      </c>
      <c r="N14" s="9">
        <v>71</v>
      </c>
      <c r="O14" s="9">
        <v>21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4519</v>
      </c>
      <c r="Q15" s="73">
        <v>2830</v>
      </c>
      <c r="R15" s="94">
        <v>4044</v>
      </c>
    </row>
    <row r="16" spans="1:27" ht="15" thickBot="1" x14ac:dyDescent="0.35">
      <c r="A16" s="370" t="s">
        <v>24</v>
      </c>
      <c r="B16" s="371"/>
      <c r="C16" s="372">
        <f>SUM(C4:D15)</f>
        <v>4630</v>
      </c>
      <c r="D16" s="373"/>
      <c r="E16" s="373">
        <f>SUM(E4:F15)</f>
        <v>203</v>
      </c>
      <c r="F16" s="373"/>
      <c r="G16" s="373">
        <f>SUM(G4:H15)</f>
        <v>60</v>
      </c>
      <c r="H16" s="373"/>
      <c r="I16" s="373">
        <f>SUM(I4:J15)</f>
        <v>58</v>
      </c>
      <c r="J16" s="373"/>
      <c r="K16" s="373">
        <f>SUM(K4:L15)</f>
        <v>14</v>
      </c>
      <c r="L16" s="373"/>
      <c r="M16" s="139">
        <f>SUM(M4:M15)</f>
        <v>10493</v>
      </c>
      <c r="N16" s="13">
        <f t="shared" ref="N16:R16" si="0">SUM(N4:N15)</f>
        <v>1899</v>
      </c>
      <c r="O16" s="13">
        <f t="shared" si="0"/>
        <v>1146</v>
      </c>
      <c r="P16" s="16">
        <f t="shared" si="0"/>
        <v>11436</v>
      </c>
      <c r="Q16" s="142">
        <f t="shared" si="0"/>
        <v>10947</v>
      </c>
      <c r="R16" s="143">
        <f t="shared" si="0"/>
        <v>7694</v>
      </c>
    </row>
    <row r="17" spans="1:21" x14ac:dyDescent="0.3">
      <c r="A17" s="368" t="s">
        <v>25</v>
      </c>
      <c r="B17" s="368"/>
      <c r="C17" s="369">
        <v>1916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8319</v>
      </c>
      <c r="N17" s="131">
        <v>110</v>
      </c>
      <c r="O17" s="91">
        <v>580</v>
      </c>
      <c r="P17" s="140">
        <v>6833</v>
      </c>
      <c r="Q17" s="140">
        <v>8075</v>
      </c>
      <c r="R17" s="144">
        <v>3642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294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569</v>
      </c>
      <c r="D24" s="377"/>
      <c r="E24" s="609" t="s">
        <v>265</v>
      </c>
      <c r="F24" s="609"/>
      <c r="G24" s="377">
        <v>0</v>
      </c>
      <c r="H24" s="377"/>
      <c r="I24" s="377">
        <v>25</v>
      </c>
      <c r="J24" s="377"/>
      <c r="K24" s="9">
        <v>0</v>
      </c>
      <c r="L24" s="28">
        <v>16</v>
      </c>
      <c r="M24" s="28">
        <v>10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45</v>
      </c>
      <c r="D25" s="377"/>
      <c r="E25" s="609" t="s">
        <v>301</v>
      </c>
      <c r="F25" s="609"/>
      <c r="G25" s="377">
        <v>0</v>
      </c>
      <c r="H25" s="377"/>
      <c r="I25" s="377">
        <v>47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174</v>
      </c>
      <c r="D26" s="377"/>
      <c r="E26" s="609" t="s">
        <v>297</v>
      </c>
      <c r="F26" s="609"/>
      <c r="G26" s="377">
        <v>8</v>
      </c>
      <c r="H26" s="377"/>
      <c r="I26" s="377">
        <v>33</v>
      </c>
      <c r="J26" s="377"/>
      <c r="K26" s="9">
        <v>0</v>
      </c>
      <c r="L26" s="28">
        <v>5</v>
      </c>
      <c r="M26" s="28">
        <v>4</v>
      </c>
    </row>
    <row r="27" spans="1:21" x14ac:dyDescent="0.3">
      <c r="A27" s="378" t="s">
        <v>18</v>
      </c>
      <c r="B27" s="617"/>
      <c r="C27" s="609" t="s">
        <v>272</v>
      </c>
      <c r="D27" s="609"/>
      <c r="E27" s="609" t="s">
        <v>253</v>
      </c>
      <c r="F27" s="609"/>
      <c r="G27" s="377">
        <v>0</v>
      </c>
      <c r="H27" s="377"/>
      <c r="I27" s="377">
        <v>19</v>
      </c>
      <c r="J27" s="377"/>
      <c r="K27" s="9">
        <v>5</v>
      </c>
      <c r="L27" s="28">
        <v>8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300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245</v>
      </c>
      <c r="D29" s="609"/>
      <c r="E29" s="609" t="s">
        <v>291</v>
      </c>
      <c r="F29" s="609"/>
      <c r="G29" s="377">
        <v>0</v>
      </c>
      <c r="H29" s="377"/>
      <c r="I29" s="377">
        <v>17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297</v>
      </c>
      <c r="D30" s="377"/>
      <c r="E30" s="609" t="s">
        <v>303</v>
      </c>
      <c r="F30" s="609"/>
      <c r="G30" s="377">
        <v>4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278</v>
      </c>
      <c r="D31" s="609"/>
      <c r="E31" s="609" t="s">
        <v>296</v>
      </c>
      <c r="F31" s="609"/>
      <c r="G31" s="377">
        <v>0</v>
      </c>
      <c r="H31" s="377"/>
      <c r="I31" s="377">
        <v>12</v>
      </c>
      <c r="J31" s="377"/>
      <c r="K31" s="9">
        <v>0</v>
      </c>
      <c r="L31" s="28">
        <v>14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294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165</v>
      </c>
      <c r="D38" s="410"/>
      <c r="E38" s="437" t="s">
        <v>288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295</v>
      </c>
      <c r="M38" s="27" t="s">
        <v>120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302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298</v>
      </c>
      <c r="D40" s="410"/>
      <c r="E40" s="437" t="s">
        <v>299</v>
      </c>
      <c r="F40" s="438"/>
      <c r="G40" s="409" t="s">
        <v>87</v>
      </c>
      <c r="H40" s="410"/>
      <c r="I40" s="409" t="s">
        <v>202</v>
      </c>
      <c r="J40" s="410"/>
      <c r="K40" s="9" t="s">
        <v>45</v>
      </c>
      <c r="L40" s="28" t="s">
        <v>204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292</v>
      </c>
      <c r="D43" s="410"/>
      <c r="E43" s="437" t="s">
        <v>246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304</v>
      </c>
      <c r="F44" s="410"/>
      <c r="G44" s="409" t="s">
        <v>305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96</v>
      </c>
      <c r="D45" s="410"/>
      <c r="E45" s="409" t="s">
        <v>213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282" t="s">
        <v>255</v>
      </c>
      <c r="D51" s="284"/>
      <c r="E51" s="282" t="s">
        <v>271</v>
      </c>
      <c r="F51" s="284"/>
      <c r="G51" s="319" t="s">
        <v>285</v>
      </c>
      <c r="H51" s="320"/>
      <c r="I51" s="319" t="s">
        <v>294</v>
      </c>
      <c r="J51" s="320"/>
    </row>
    <row r="52" spans="1:10" x14ac:dyDescent="0.3">
      <c r="A52" s="314" t="s">
        <v>59</v>
      </c>
      <c r="B52" s="316"/>
      <c r="C52" s="311">
        <v>8738</v>
      </c>
      <c r="D52" s="312"/>
      <c r="E52" s="311">
        <v>8723</v>
      </c>
      <c r="F52" s="312"/>
      <c r="G52" s="487">
        <v>8707</v>
      </c>
      <c r="H52" s="487"/>
      <c r="I52" s="487">
        <v>8677</v>
      </c>
      <c r="J52" s="487"/>
    </row>
    <row r="53" spans="1:10" ht="15" customHeight="1" x14ac:dyDescent="0.3">
      <c r="A53" s="314" t="s">
        <v>60</v>
      </c>
      <c r="B53" s="316"/>
      <c r="C53" s="311">
        <v>13538</v>
      </c>
      <c r="D53" s="312"/>
      <c r="E53" s="311">
        <v>13548</v>
      </c>
      <c r="F53" s="312"/>
      <c r="G53" s="311">
        <v>13564</v>
      </c>
      <c r="H53" s="312"/>
      <c r="I53" s="311">
        <v>13564</v>
      </c>
      <c r="J53" s="312"/>
    </row>
    <row r="54" spans="1:10" x14ac:dyDescent="0.3">
      <c r="A54" s="314" t="s">
        <v>61</v>
      </c>
      <c r="B54" s="316"/>
      <c r="C54" s="311">
        <v>108985</v>
      </c>
      <c r="D54" s="312"/>
      <c r="E54" s="311">
        <v>108974</v>
      </c>
      <c r="F54" s="312"/>
      <c r="G54" s="487">
        <v>108895</v>
      </c>
      <c r="H54" s="487"/>
      <c r="I54" s="487">
        <v>108794</v>
      </c>
      <c r="J54" s="487"/>
    </row>
    <row r="55" spans="1:10" x14ac:dyDescent="0.3">
      <c r="A55" s="314" t="s">
        <v>62</v>
      </c>
      <c r="B55" s="316"/>
      <c r="C55" s="311">
        <v>208</v>
      </c>
      <c r="D55" s="312"/>
      <c r="E55" s="311">
        <v>208</v>
      </c>
      <c r="F55" s="312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303">
        <v>48815</v>
      </c>
      <c r="D56" s="283"/>
      <c r="E56" s="303">
        <v>48815</v>
      </c>
      <c r="F56" s="283"/>
      <c r="G56" s="486">
        <v>48788</v>
      </c>
      <c r="H56" s="486"/>
      <c r="I56" s="486">
        <v>48764</v>
      </c>
      <c r="J56" s="486"/>
    </row>
    <row r="57" spans="1:10" x14ac:dyDescent="0.3">
      <c r="A57" s="314" t="s">
        <v>64</v>
      </c>
      <c r="B57" s="316"/>
      <c r="C57" s="303">
        <v>5983</v>
      </c>
      <c r="D57" s="283"/>
      <c r="E57" s="303">
        <v>5975</v>
      </c>
      <c r="F57" s="283"/>
      <c r="G57" s="303">
        <v>5971</v>
      </c>
      <c r="H57" s="283"/>
      <c r="I57" s="303">
        <v>5973</v>
      </c>
      <c r="J57" s="283"/>
    </row>
    <row r="58" spans="1:10" x14ac:dyDescent="0.3">
      <c r="A58" s="314" t="s">
        <v>65</v>
      </c>
      <c r="B58" s="316"/>
      <c r="C58" s="303">
        <v>26459</v>
      </c>
      <c r="D58" s="283"/>
      <c r="E58" s="303">
        <v>26502</v>
      </c>
      <c r="F58" s="283"/>
      <c r="G58" s="486">
        <v>26467</v>
      </c>
      <c r="H58" s="486"/>
      <c r="I58" s="486">
        <v>26439</v>
      </c>
      <c r="J58" s="486"/>
    </row>
    <row r="59" spans="1:10" x14ac:dyDescent="0.3">
      <c r="A59" s="314" t="s">
        <v>66</v>
      </c>
      <c r="B59" s="316"/>
      <c r="C59" s="303">
        <v>4499</v>
      </c>
      <c r="D59" s="283"/>
      <c r="E59" s="303">
        <v>4501</v>
      </c>
      <c r="F59" s="283"/>
      <c r="G59" s="486">
        <v>4499</v>
      </c>
      <c r="H59" s="486"/>
      <c r="I59" s="486">
        <v>4499</v>
      </c>
      <c r="J59" s="486"/>
    </row>
    <row r="60" spans="1:10" x14ac:dyDescent="0.3">
      <c r="A60" s="177"/>
      <c r="B60" s="182" t="s">
        <v>251</v>
      </c>
      <c r="C60" s="303">
        <v>286</v>
      </c>
      <c r="D60" s="283"/>
      <c r="E60" s="303">
        <v>411</v>
      </c>
      <c r="F60" s="283"/>
      <c r="G60" s="486">
        <v>691</v>
      </c>
      <c r="H60" s="486"/>
      <c r="I60" s="486">
        <v>972</v>
      </c>
      <c r="J60" s="486"/>
    </row>
    <row r="61" spans="1:10" x14ac:dyDescent="0.3">
      <c r="A61" s="314" t="s">
        <v>67</v>
      </c>
      <c r="B61" s="315"/>
      <c r="C61" s="613">
        <v>217547</v>
      </c>
      <c r="D61" s="614"/>
      <c r="E61" s="613">
        <v>217657</v>
      </c>
      <c r="F61" s="614"/>
      <c r="G61" s="307">
        <v>217790</v>
      </c>
      <c r="H61" s="307"/>
      <c r="I61" s="307">
        <f>SUM(I52:I60)</f>
        <v>217890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132" t="s">
        <v>255</v>
      </c>
      <c r="D63" s="133"/>
      <c r="E63" s="132" t="s">
        <v>271</v>
      </c>
      <c r="F63" s="133"/>
      <c r="G63" s="319" t="s">
        <v>285</v>
      </c>
      <c r="H63" s="320"/>
      <c r="I63" s="319" t="s">
        <v>294</v>
      </c>
      <c r="J63" s="320"/>
    </row>
    <row r="64" spans="1:10" x14ac:dyDescent="0.3">
      <c r="A64" s="287"/>
      <c r="B64" s="288"/>
      <c r="C64" s="178">
        <v>143589</v>
      </c>
      <c r="D64" s="179"/>
      <c r="E64" s="178">
        <v>143666</v>
      </c>
      <c r="F64" s="179"/>
      <c r="G64" s="297">
        <v>143758</v>
      </c>
      <c r="H64" s="298"/>
      <c r="I64" s="297">
        <v>143832</v>
      </c>
      <c r="J64" s="298"/>
    </row>
    <row r="65" spans="1:10" x14ac:dyDescent="0.3">
      <c r="A65" s="289"/>
      <c r="B65" s="290"/>
      <c r="C65" s="180"/>
      <c r="D65" s="181"/>
      <c r="E65" s="180"/>
      <c r="F65" s="181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125</v>
      </c>
      <c r="D69" s="284"/>
      <c r="E69" s="282" t="s">
        <v>219</v>
      </c>
      <c r="F69" s="284"/>
      <c r="G69" s="282" t="s">
        <v>220</v>
      </c>
      <c r="H69" s="284"/>
      <c r="I69" s="282" t="s">
        <v>250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35287</v>
      </c>
      <c r="D72" s="266"/>
      <c r="E72" s="265">
        <v>35704</v>
      </c>
      <c r="F72" s="266"/>
      <c r="G72" s="265">
        <v>36102</v>
      </c>
      <c r="H72" s="266"/>
      <c r="I72" s="265">
        <v>36368</v>
      </c>
      <c r="J72" s="266"/>
    </row>
    <row r="73" spans="1:10" x14ac:dyDescent="0.3">
      <c r="A73" s="269" t="s">
        <v>16</v>
      </c>
      <c r="B73" s="270"/>
      <c r="C73" s="265">
        <v>8017</v>
      </c>
      <c r="D73" s="266"/>
      <c r="E73" s="265">
        <v>8071</v>
      </c>
      <c r="F73" s="266"/>
      <c r="G73" s="265">
        <v>8166</v>
      </c>
      <c r="H73" s="266"/>
      <c r="I73" s="265">
        <v>8201</v>
      </c>
      <c r="J73" s="266"/>
    </row>
    <row r="74" spans="1:10" x14ac:dyDescent="0.3">
      <c r="A74" s="267" t="s">
        <v>17</v>
      </c>
      <c r="B74" s="268"/>
      <c r="C74" s="265">
        <v>7317</v>
      </c>
      <c r="D74" s="266"/>
      <c r="E74" s="265">
        <v>7417</v>
      </c>
      <c r="F74" s="266"/>
      <c r="G74" s="265">
        <v>7599</v>
      </c>
      <c r="H74" s="266"/>
      <c r="I74" s="265">
        <v>7219</v>
      </c>
      <c r="J74" s="266"/>
    </row>
    <row r="75" spans="1:10" x14ac:dyDescent="0.3">
      <c r="A75" s="267" t="s">
        <v>75</v>
      </c>
      <c r="B75" s="268"/>
      <c r="C75" s="265">
        <v>1970</v>
      </c>
      <c r="D75" s="266"/>
      <c r="E75" s="265">
        <v>2007</v>
      </c>
      <c r="F75" s="266"/>
      <c r="G75" s="265">
        <v>2032</v>
      </c>
      <c r="H75" s="266"/>
      <c r="I75" s="265">
        <v>2508</v>
      </c>
      <c r="J75" s="266"/>
    </row>
    <row r="76" spans="1:10" x14ac:dyDescent="0.3">
      <c r="A76" s="269" t="s">
        <v>18</v>
      </c>
      <c r="B76" s="270"/>
      <c r="C76" s="265">
        <v>5921</v>
      </c>
      <c r="D76" s="266"/>
      <c r="E76" s="265">
        <v>6030</v>
      </c>
      <c r="F76" s="266"/>
      <c r="G76" s="265">
        <v>6107</v>
      </c>
      <c r="H76" s="266"/>
      <c r="I76" s="265">
        <v>6196</v>
      </c>
      <c r="J76" s="266"/>
    </row>
    <row r="77" spans="1:10" x14ac:dyDescent="0.3">
      <c r="A77" s="267" t="s">
        <v>19</v>
      </c>
      <c r="B77" s="268"/>
      <c r="C77" s="265">
        <v>5374</v>
      </c>
      <c r="D77" s="266"/>
      <c r="E77" s="265">
        <v>5388</v>
      </c>
      <c r="F77" s="266"/>
      <c r="G77" s="265">
        <v>5399</v>
      </c>
      <c r="H77" s="266"/>
      <c r="I77" s="265">
        <v>5419</v>
      </c>
      <c r="J77" s="266"/>
    </row>
    <row r="78" spans="1:10" x14ac:dyDescent="0.3">
      <c r="A78" s="269" t="s">
        <v>20</v>
      </c>
      <c r="B78" s="270"/>
      <c r="C78" s="265">
        <v>9255</v>
      </c>
      <c r="D78" s="266"/>
      <c r="E78" s="265">
        <v>9341</v>
      </c>
      <c r="F78" s="266"/>
      <c r="G78" s="265">
        <v>9443</v>
      </c>
      <c r="H78" s="266"/>
      <c r="I78" s="265">
        <v>9569</v>
      </c>
      <c r="J78" s="266"/>
    </row>
    <row r="79" spans="1:10" x14ac:dyDescent="0.3">
      <c r="A79" s="267" t="s">
        <v>21</v>
      </c>
      <c r="B79" s="268"/>
      <c r="C79" s="265">
        <v>1805</v>
      </c>
      <c r="D79" s="266"/>
      <c r="E79" s="265">
        <v>1828</v>
      </c>
      <c r="F79" s="266"/>
      <c r="G79" s="265">
        <v>1839</v>
      </c>
      <c r="H79" s="266"/>
      <c r="I79" s="265">
        <v>1853</v>
      </c>
      <c r="J79" s="266"/>
    </row>
    <row r="80" spans="1:10" x14ac:dyDescent="0.3">
      <c r="A80" s="269" t="s">
        <v>22</v>
      </c>
      <c r="B80" s="270"/>
      <c r="C80" s="265">
        <v>7003</v>
      </c>
      <c r="D80" s="266"/>
      <c r="E80" s="265">
        <v>7091</v>
      </c>
      <c r="F80" s="266"/>
      <c r="G80" s="265">
        <v>7215</v>
      </c>
      <c r="H80" s="266"/>
      <c r="I80" s="265">
        <v>7327</v>
      </c>
      <c r="J80" s="266"/>
    </row>
    <row r="81" spans="1:10" x14ac:dyDescent="0.3">
      <c r="A81" s="263" t="s">
        <v>76</v>
      </c>
      <c r="B81" s="264"/>
      <c r="C81" s="265">
        <f>SUM(C72:C80)</f>
        <v>81949</v>
      </c>
      <c r="D81" s="266"/>
      <c r="E81" s="265">
        <f>SUM(E72:E80)</f>
        <v>82877</v>
      </c>
      <c r="F81" s="266"/>
      <c r="G81" s="265">
        <f>SUM(G72:G80)</f>
        <v>83902</v>
      </c>
      <c r="H81" s="266"/>
      <c r="I81" s="265">
        <v>84660</v>
      </c>
      <c r="J81" s="266"/>
    </row>
  </sheetData>
  <mergeCells count="329"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68:J68"/>
    <mergeCell ref="A69:B69"/>
    <mergeCell ref="C69:D69"/>
    <mergeCell ref="E69:F69"/>
    <mergeCell ref="G69:H69"/>
    <mergeCell ref="I69:J69"/>
    <mergeCell ref="A63:B65"/>
    <mergeCell ref="G63:H63"/>
    <mergeCell ref="I63:J63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A7CA-2287-449F-B900-1F15822485BF}">
  <dimension ref="A1:AA81"/>
  <sheetViews>
    <sheetView topLeftCell="A47" workbookViewId="0">
      <selection activeCell="X5" sqref="X5"/>
    </sheetView>
  </sheetViews>
  <sheetFormatPr defaultRowHeight="14.4" x14ac:dyDescent="0.3"/>
  <cols>
    <col min="2" max="2" width="23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306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1916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7794</v>
      </c>
      <c r="N4" s="6">
        <v>4900</v>
      </c>
      <c r="O4" s="6">
        <v>560</v>
      </c>
      <c r="P4" s="7">
        <v>6583</v>
      </c>
      <c r="Q4" s="7">
        <v>3751</v>
      </c>
      <c r="R4" s="7">
        <v>7915</v>
      </c>
      <c r="S4" s="64"/>
      <c r="T4" s="64"/>
      <c r="U4" s="64"/>
    </row>
    <row r="5" spans="1:27" ht="22.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327</v>
      </c>
      <c r="D6" s="377"/>
      <c r="E6" s="377">
        <v>3</v>
      </c>
      <c r="F6" s="377"/>
      <c r="G6" s="377">
        <v>43</v>
      </c>
      <c r="H6" s="377"/>
      <c r="I6" s="377">
        <v>20</v>
      </c>
      <c r="J6" s="377"/>
      <c r="K6" s="377">
        <v>2</v>
      </c>
      <c r="L6" s="377"/>
      <c r="M6" s="95">
        <v>572</v>
      </c>
      <c r="N6" s="9">
        <v>519</v>
      </c>
      <c r="O6" s="9">
        <v>48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284</v>
      </c>
      <c r="D7" s="377"/>
      <c r="E7" s="377">
        <v>5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0</v>
      </c>
      <c r="N7" s="9">
        <v>259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362</v>
      </c>
      <c r="D8" s="377"/>
      <c r="E8" s="377">
        <v>1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343</v>
      </c>
      <c r="N8" s="9">
        <v>148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225</v>
      </c>
      <c r="D9" s="377"/>
      <c r="E9" s="377">
        <v>1</v>
      </c>
      <c r="F9" s="377"/>
      <c r="G9" s="377">
        <v>0</v>
      </c>
      <c r="H9" s="377"/>
      <c r="I9" s="377">
        <v>1</v>
      </c>
      <c r="J9" s="377"/>
      <c r="K9" s="377">
        <v>0</v>
      </c>
      <c r="L9" s="377"/>
      <c r="M9" s="95">
        <v>230</v>
      </c>
      <c r="N9" s="9">
        <v>110</v>
      </c>
      <c r="O9" s="9">
        <v>30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101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139</v>
      </c>
      <c r="N10" s="172">
        <v>106</v>
      </c>
      <c r="O10" s="172">
        <v>60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127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154</v>
      </c>
      <c r="N11" s="9">
        <v>119</v>
      </c>
      <c r="O11" s="9">
        <v>230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2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385</v>
      </c>
      <c r="N12" s="9">
        <v>225</v>
      </c>
      <c r="O12" s="9">
        <v>11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300</v>
      </c>
      <c r="D13" s="377"/>
      <c r="E13" s="377">
        <v>12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164</v>
      </c>
      <c r="N13" s="9">
        <v>103</v>
      </c>
      <c r="O13" s="9">
        <v>31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180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298</v>
      </c>
      <c r="N14" s="9">
        <v>228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4051</v>
      </c>
      <c r="Q15" s="73">
        <v>3472</v>
      </c>
      <c r="R15" s="94">
        <v>2634</v>
      </c>
    </row>
    <row r="16" spans="1:27" ht="15" thickBot="1" x14ac:dyDescent="0.35">
      <c r="A16" s="370" t="s">
        <v>24</v>
      </c>
      <c r="B16" s="371"/>
      <c r="C16" s="372">
        <f>SUM(C4:D15)</f>
        <v>4044</v>
      </c>
      <c r="D16" s="373"/>
      <c r="E16" s="373">
        <f>SUM(E4:F15)</f>
        <v>180</v>
      </c>
      <c r="F16" s="373"/>
      <c r="G16" s="373">
        <f>SUM(G4:H15)</f>
        <v>44</v>
      </c>
      <c r="H16" s="373"/>
      <c r="I16" s="373">
        <f>SUM(I4:J15)</f>
        <v>38</v>
      </c>
      <c r="J16" s="373"/>
      <c r="K16" s="373">
        <f>SUM(K4:L15)</f>
        <v>3</v>
      </c>
      <c r="L16" s="373"/>
      <c r="M16" s="139">
        <f>SUM(M4:M15)</f>
        <v>10079</v>
      </c>
      <c r="N16" s="13">
        <f t="shared" ref="N16:R16" si="0">SUM(N4:N15)</f>
        <v>6717</v>
      </c>
      <c r="O16" s="13">
        <f t="shared" si="0"/>
        <v>1006</v>
      </c>
      <c r="P16" s="16">
        <f t="shared" si="0"/>
        <v>10718</v>
      </c>
      <c r="Q16" s="142">
        <f t="shared" si="0"/>
        <v>7265</v>
      </c>
      <c r="R16" s="143">
        <f t="shared" si="0"/>
        <v>10557</v>
      </c>
    </row>
    <row r="17" spans="1:21" x14ac:dyDescent="0.3">
      <c r="A17" s="368" t="s">
        <v>25</v>
      </c>
      <c r="B17" s="368"/>
      <c r="C17" s="369">
        <v>1406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7619</v>
      </c>
      <c r="N17" s="131">
        <v>4701</v>
      </c>
      <c r="O17" s="91">
        <v>510</v>
      </c>
      <c r="P17" s="7">
        <v>6583</v>
      </c>
      <c r="Q17" s="7">
        <v>3751</v>
      </c>
      <c r="R17" s="7">
        <v>7915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306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530</v>
      </c>
      <c r="D24" s="377"/>
      <c r="E24" s="609" t="s">
        <v>319</v>
      </c>
      <c r="F24" s="609"/>
      <c r="G24" s="377">
        <v>0</v>
      </c>
      <c r="H24" s="377"/>
      <c r="I24" s="377">
        <v>25</v>
      </c>
      <c r="J24" s="377"/>
      <c r="K24" s="9">
        <v>0</v>
      </c>
      <c r="L24" s="28">
        <v>6</v>
      </c>
      <c r="M24" s="28">
        <v>12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53</v>
      </c>
      <c r="D25" s="377"/>
      <c r="E25" s="609" t="s">
        <v>173</v>
      </c>
      <c r="F25" s="609"/>
      <c r="G25" s="377">
        <v>0</v>
      </c>
      <c r="H25" s="377"/>
      <c r="I25" s="377">
        <v>53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170</v>
      </c>
      <c r="D26" s="377"/>
      <c r="E26" s="609" t="s">
        <v>260</v>
      </c>
      <c r="F26" s="609"/>
      <c r="G26" s="377">
        <v>6</v>
      </c>
      <c r="H26" s="377"/>
      <c r="I26" s="377">
        <v>34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21</v>
      </c>
      <c r="J27" s="377"/>
      <c r="K27" s="9">
        <v>5</v>
      </c>
      <c r="L27" s="28">
        <v>1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309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245</v>
      </c>
      <c r="D29" s="609"/>
      <c r="E29" s="609" t="s">
        <v>253</v>
      </c>
      <c r="F29" s="609"/>
      <c r="G29" s="377">
        <v>0</v>
      </c>
      <c r="H29" s="377"/>
      <c r="I29" s="377">
        <v>17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340</v>
      </c>
      <c r="D30" s="377"/>
      <c r="E30" s="609" t="s">
        <v>316</v>
      </c>
      <c r="F30" s="609"/>
      <c r="G30" s="377">
        <v>3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308</v>
      </c>
      <c r="D31" s="609"/>
      <c r="E31" s="609" t="s">
        <v>163</v>
      </c>
      <c r="F31" s="609"/>
      <c r="G31" s="377">
        <v>0</v>
      </c>
      <c r="H31" s="377"/>
      <c r="I31" s="377">
        <v>12</v>
      </c>
      <c r="J31" s="377"/>
      <c r="K31" s="9">
        <v>0</v>
      </c>
      <c r="L31" s="28">
        <v>13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306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165</v>
      </c>
      <c r="D38" s="410"/>
      <c r="E38" s="437" t="s">
        <v>288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320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314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310</v>
      </c>
      <c r="D40" s="410"/>
      <c r="E40" s="437" t="s">
        <v>225</v>
      </c>
      <c r="F40" s="438"/>
      <c r="G40" s="409" t="s">
        <v>311</v>
      </c>
      <c r="H40" s="410"/>
      <c r="I40" s="409" t="s">
        <v>202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312</v>
      </c>
      <c r="D43" s="410"/>
      <c r="E43" s="437" t="s">
        <v>313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317</v>
      </c>
      <c r="F44" s="410"/>
      <c r="G44" s="409" t="s">
        <v>318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96</v>
      </c>
      <c r="D45" s="410"/>
      <c r="E45" s="409" t="s">
        <v>174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285</v>
      </c>
      <c r="D51" s="320"/>
      <c r="E51" s="319" t="s">
        <v>294</v>
      </c>
      <c r="F51" s="320"/>
      <c r="G51" s="282" t="s">
        <v>307</v>
      </c>
      <c r="H51" s="284"/>
      <c r="I51" s="319" t="s">
        <v>306</v>
      </c>
      <c r="J51" s="320"/>
    </row>
    <row r="52" spans="1:10" x14ac:dyDescent="0.3">
      <c r="A52" s="314" t="s">
        <v>59</v>
      </c>
      <c r="B52" s="316"/>
      <c r="C52" s="487">
        <v>8707</v>
      </c>
      <c r="D52" s="487"/>
      <c r="E52" s="487">
        <v>8677</v>
      </c>
      <c r="F52" s="487"/>
      <c r="G52" s="311">
        <v>8656</v>
      </c>
      <c r="H52" s="312"/>
      <c r="I52" s="487">
        <v>8629</v>
      </c>
      <c r="J52" s="487"/>
    </row>
    <row r="53" spans="1:10" ht="15" customHeight="1" x14ac:dyDescent="0.3">
      <c r="A53" s="314" t="s">
        <v>60</v>
      </c>
      <c r="B53" s="316"/>
      <c r="C53" s="311">
        <v>13564</v>
      </c>
      <c r="D53" s="312"/>
      <c r="E53" s="311">
        <v>13564</v>
      </c>
      <c r="F53" s="312"/>
      <c r="G53" s="311">
        <v>13571</v>
      </c>
      <c r="H53" s="312"/>
      <c r="I53" s="311">
        <v>13566</v>
      </c>
      <c r="J53" s="312"/>
    </row>
    <row r="54" spans="1:10" x14ac:dyDescent="0.3">
      <c r="A54" s="314" t="s">
        <v>61</v>
      </c>
      <c r="B54" s="316"/>
      <c r="C54" s="487">
        <v>108895</v>
      </c>
      <c r="D54" s="487"/>
      <c r="E54" s="487">
        <v>108794</v>
      </c>
      <c r="F54" s="487"/>
      <c r="G54" s="311">
        <v>108721</v>
      </c>
      <c r="H54" s="312"/>
      <c r="I54" s="487">
        <v>108656</v>
      </c>
      <c r="J54" s="487"/>
    </row>
    <row r="55" spans="1:10" x14ac:dyDescent="0.3">
      <c r="A55" s="314" t="s">
        <v>62</v>
      </c>
      <c r="B55" s="316"/>
      <c r="C55" s="487">
        <v>208</v>
      </c>
      <c r="D55" s="487"/>
      <c r="E55" s="487">
        <v>208</v>
      </c>
      <c r="F55" s="487"/>
      <c r="G55" s="311">
        <v>208</v>
      </c>
      <c r="H55" s="312"/>
      <c r="I55" s="487">
        <v>208</v>
      </c>
      <c r="J55" s="487"/>
    </row>
    <row r="56" spans="1:10" x14ac:dyDescent="0.3">
      <c r="A56" s="314" t="s">
        <v>63</v>
      </c>
      <c r="B56" s="316"/>
      <c r="C56" s="486">
        <v>48788</v>
      </c>
      <c r="D56" s="486"/>
      <c r="E56" s="486">
        <v>48764</v>
      </c>
      <c r="F56" s="486"/>
      <c r="G56" s="303">
        <v>48736</v>
      </c>
      <c r="H56" s="283"/>
      <c r="I56" s="486">
        <v>48706</v>
      </c>
      <c r="J56" s="486"/>
    </row>
    <row r="57" spans="1:10" x14ac:dyDescent="0.3">
      <c r="A57" s="314" t="s">
        <v>64</v>
      </c>
      <c r="B57" s="316"/>
      <c r="C57" s="303">
        <v>5971</v>
      </c>
      <c r="D57" s="283"/>
      <c r="E57" s="303">
        <v>5973</v>
      </c>
      <c r="F57" s="283"/>
      <c r="G57" s="303">
        <v>5967</v>
      </c>
      <c r="H57" s="283"/>
      <c r="I57" s="303">
        <v>5954</v>
      </c>
      <c r="J57" s="283"/>
    </row>
    <row r="58" spans="1:10" x14ac:dyDescent="0.3">
      <c r="A58" s="314" t="s">
        <v>65</v>
      </c>
      <c r="B58" s="316"/>
      <c r="C58" s="486">
        <v>26467</v>
      </c>
      <c r="D58" s="486"/>
      <c r="E58" s="486">
        <v>26439</v>
      </c>
      <c r="F58" s="486"/>
      <c r="G58" s="303">
        <v>26412</v>
      </c>
      <c r="H58" s="283"/>
      <c r="I58" s="486">
        <v>26381</v>
      </c>
      <c r="J58" s="486"/>
    </row>
    <row r="59" spans="1:10" x14ac:dyDescent="0.3">
      <c r="A59" s="314" t="s">
        <v>66</v>
      </c>
      <c r="B59" s="316"/>
      <c r="C59" s="486">
        <v>4499</v>
      </c>
      <c r="D59" s="486"/>
      <c r="E59" s="486">
        <v>4499</v>
      </c>
      <c r="F59" s="486"/>
      <c r="G59" s="303">
        <v>4502</v>
      </c>
      <c r="H59" s="283"/>
      <c r="I59" s="486">
        <v>4501</v>
      </c>
      <c r="J59" s="486"/>
    </row>
    <row r="60" spans="1:10" x14ac:dyDescent="0.3">
      <c r="A60" s="177"/>
      <c r="B60" s="182" t="s">
        <v>251</v>
      </c>
      <c r="C60" s="486">
        <v>691</v>
      </c>
      <c r="D60" s="486"/>
      <c r="E60" s="486">
        <v>972</v>
      </c>
      <c r="F60" s="486"/>
      <c r="G60" s="303">
        <v>1139</v>
      </c>
      <c r="H60" s="283"/>
      <c r="I60" s="486">
        <v>1361</v>
      </c>
      <c r="J60" s="486"/>
    </row>
    <row r="61" spans="1:10" x14ac:dyDescent="0.3">
      <c r="A61" s="314" t="s">
        <v>67</v>
      </c>
      <c r="B61" s="315"/>
      <c r="C61" s="307">
        <v>217790</v>
      </c>
      <c r="D61" s="307"/>
      <c r="E61" s="307">
        <f>SUM(E52:E60)</f>
        <v>217890</v>
      </c>
      <c r="F61" s="307"/>
      <c r="G61" s="613">
        <v>217912</v>
      </c>
      <c r="H61" s="614"/>
      <c r="I61" s="307">
        <f>SUM(I52:I60)</f>
        <v>217962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319" t="s">
        <v>285</v>
      </c>
      <c r="D63" s="320"/>
      <c r="E63" s="319" t="s">
        <v>294</v>
      </c>
      <c r="F63" s="320"/>
      <c r="G63" s="282" t="s">
        <v>307</v>
      </c>
      <c r="H63" s="284"/>
      <c r="I63" s="319" t="s">
        <v>306</v>
      </c>
      <c r="J63" s="320"/>
    </row>
    <row r="64" spans="1:10" x14ac:dyDescent="0.3">
      <c r="A64" s="287"/>
      <c r="B64" s="288"/>
      <c r="C64" s="297">
        <v>143758</v>
      </c>
      <c r="D64" s="298"/>
      <c r="E64" s="297">
        <v>143832</v>
      </c>
      <c r="F64" s="298"/>
      <c r="G64" s="297">
        <v>143857</v>
      </c>
      <c r="H64" s="298"/>
      <c r="I64" s="297">
        <v>143902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125</v>
      </c>
      <c r="D69" s="284"/>
      <c r="E69" s="282" t="s">
        <v>219</v>
      </c>
      <c r="F69" s="284"/>
      <c r="G69" s="282" t="s">
        <v>220</v>
      </c>
      <c r="H69" s="284"/>
      <c r="I69" s="282" t="s">
        <v>250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35287</v>
      </c>
      <c r="D72" s="266"/>
      <c r="E72" s="265">
        <v>35704</v>
      </c>
      <c r="F72" s="266"/>
      <c r="G72" s="265">
        <v>36102</v>
      </c>
      <c r="H72" s="266"/>
      <c r="I72" s="265">
        <v>36368</v>
      </c>
      <c r="J72" s="266"/>
    </row>
    <row r="73" spans="1:10" x14ac:dyDescent="0.3">
      <c r="A73" s="269" t="s">
        <v>16</v>
      </c>
      <c r="B73" s="270"/>
      <c r="C73" s="265">
        <v>8017</v>
      </c>
      <c r="D73" s="266"/>
      <c r="E73" s="265">
        <v>8071</v>
      </c>
      <c r="F73" s="266"/>
      <c r="G73" s="265">
        <v>8166</v>
      </c>
      <c r="H73" s="266"/>
      <c r="I73" s="265">
        <v>8201</v>
      </c>
      <c r="J73" s="266"/>
    </row>
    <row r="74" spans="1:10" x14ac:dyDescent="0.3">
      <c r="A74" s="267" t="s">
        <v>17</v>
      </c>
      <c r="B74" s="268"/>
      <c r="C74" s="265">
        <v>7317</v>
      </c>
      <c r="D74" s="266"/>
      <c r="E74" s="265">
        <v>7417</v>
      </c>
      <c r="F74" s="266"/>
      <c r="G74" s="265">
        <v>7599</v>
      </c>
      <c r="H74" s="266"/>
      <c r="I74" s="265">
        <v>7219</v>
      </c>
      <c r="J74" s="266"/>
    </row>
    <row r="75" spans="1:10" x14ac:dyDescent="0.3">
      <c r="A75" s="267" t="s">
        <v>75</v>
      </c>
      <c r="B75" s="268"/>
      <c r="C75" s="265">
        <v>1970</v>
      </c>
      <c r="D75" s="266"/>
      <c r="E75" s="265">
        <v>2007</v>
      </c>
      <c r="F75" s="266"/>
      <c r="G75" s="265">
        <v>2032</v>
      </c>
      <c r="H75" s="266"/>
      <c r="I75" s="265">
        <v>2508</v>
      </c>
      <c r="J75" s="266"/>
    </row>
    <row r="76" spans="1:10" x14ac:dyDescent="0.3">
      <c r="A76" s="269" t="s">
        <v>18</v>
      </c>
      <c r="B76" s="270"/>
      <c r="C76" s="265">
        <v>5921</v>
      </c>
      <c r="D76" s="266"/>
      <c r="E76" s="265">
        <v>6030</v>
      </c>
      <c r="F76" s="266"/>
      <c r="G76" s="265">
        <v>6107</v>
      </c>
      <c r="H76" s="266"/>
      <c r="I76" s="265">
        <v>6196</v>
      </c>
      <c r="J76" s="266"/>
    </row>
    <row r="77" spans="1:10" x14ac:dyDescent="0.3">
      <c r="A77" s="267" t="s">
        <v>19</v>
      </c>
      <c r="B77" s="268"/>
      <c r="C77" s="265">
        <v>5374</v>
      </c>
      <c r="D77" s="266"/>
      <c r="E77" s="265">
        <v>5388</v>
      </c>
      <c r="F77" s="266"/>
      <c r="G77" s="265">
        <v>5399</v>
      </c>
      <c r="H77" s="266"/>
      <c r="I77" s="265">
        <v>5419</v>
      </c>
      <c r="J77" s="266"/>
    </row>
    <row r="78" spans="1:10" x14ac:dyDescent="0.3">
      <c r="A78" s="269" t="s">
        <v>20</v>
      </c>
      <c r="B78" s="270"/>
      <c r="C78" s="265">
        <v>9255</v>
      </c>
      <c r="D78" s="266"/>
      <c r="E78" s="265">
        <v>9341</v>
      </c>
      <c r="F78" s="266"/>
      <c r="G78" s="265">
        <v>9443</v>
      </c>
      <c r="H78" s="266"/>
      <c r="I78" s="265">
        <v>9569</v>
      </c>
      <c r="J78" s="266"/>
    </row>
    <row r="79" spans="1:10" x14ac:dyDescent="0.3">
      <c r="A79" s="267" t="s">
        <v>21</v>
      </c>
      <c r="B79" s="268"/>
      <c r="C79" s="265">
        <v>1805</v>
      </c>
      <c r="D79" s="266"/>
      <c r="E79" s="265">
        <v>1828</v>
      </c>
      <c r="F79" s="266"/>
      <c r="G79" s="265">
        <v>1839</v>
      </c>
      <c r="H79" s="266"/>
      <c r="I79" s="265">
        <v>1853</v>
      </c>
      <c r="J79" s="266"/>
    </row>
    <row r="80" spans="1:10" x14ac:dyDescent="0.3">
      <c r="A80" s="269" t="s">
        <v>22</v>
      </c>
      <c r="B80" s="270"/>
      <c r="C80" s="265">
        <v>7003</v>
      </c>
      <c r="D80" s="266"/>
      <c r="E80" s="265">
        <v>7091</v>
      </c>
      <c r="F80" s="266"/>
      <c r="G80" s="265">
        <v>7215</v>
      </c>
      <c r="H80" s="266"/>
      <c r="I80" s="265">
        <v>7327</v>
      </c>
      <c r="J80" s="266"/>
    </row>
    <row r="81" spans="1:10" x14ac:dyDescent="0.3">
      <c r="A81" s="263" t="s">
        <v>76</v>
      </c>
      <c r="B81" s="264"/>
      <c r="C81" s="265">
        <f>SUM(C72:C80)</f>
        <v>81949</v>
      </c>
      <c r="D81" s="266"/>
      <c r="E81" s="265">
        <f>SUM(E72:E80)</f>
        <v>82877</v>
      </c>
      <c r="F81" s="266"/>
      <c r="G81" s="265">
        <f>SUM(G72:G80)</f>
        <v>83902</v>
      </c>
      <c r="H81" s="266"/>
      <c r="I81" s="265">
        <v>84660</v>
      </c>
      <c r="J81" s="266"/>
    </row>
  </sheetData>
  <mergeCells count="333">
    <mergeCell ref="A80:B80"/>
    <mergeCell ref="C80:D80"/>
    <mergeCell ref="E80:F80"/>
    <mergeCell ref="G80:H80"/>
    <mergeCell ref="I80:J80"/>
    <mergeCell ref="A81:B81"/>
    <mergeCell ref="C81:D81"/>
    <mergeCell ref="E81:F81"/>
    <mergeCell ref="G81:H81"/>
    <mergeCell ref="I81:J81"/>
    <mergeCell ref="A78:B78"/>
    <mergeCell ref="C78:D78"/>
    <mergeCell ref="E78:F78"/>
    <mergeCell ref="G78:H78"/>
    <mergeCell ref="I78:J78"/>
    <mergeCell ref="A79:B79"/>
    <mergeCell ref="C79:D79"/>
    <mergeCell ref="E79:F79"/>
    <mergeCell ref="G79:H79"/>
    <mergeCell ref="I79:J79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69:B69"/>
    <mergeCell ref="C69:D69"/>
    <mergeCell ref="E69:F69"/>
    <mergeCell ref="G69:H69"/>
    <mergeCell ref="I69:J69"/>
    <mergeCell ref="A70:B71"/>
    <mergeCell ref="C70:D71"/>
    <mergeCell ref="E70:F71"/>
    <mergeCell ref="G70:H71"/>
    <mergeCell ref="I70:J71"/>
    <mergeCell ref="A63:B65"/>
    <mergeCell ref="G63:H63"/>
    <mergeCell ref="I63:J63"/>
    <mergeCell ref="G64:H65"/>
    <mergeCell ref="I64:J65"/>
    <mergeCell ref="A68:J68"/>
    <mergeCell ref="C63:D63"/>
    <mergeCell ref="C64:D65"/>
    <mergeCell ref="E63:F63"/>
    <mergeCell ref="E64:F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AC9D-FDD3-4D86-B13C-3965121BBFFC}">
  <dimension ref="A1:AA81"/>
  <sheetViews>
    <sheetView workbookViewId="0">
      <selection activeCell="G6" sqref="G6:H6"/>
    </sheetView>
  </sheetViews>
  <sheetFormatPr defaultRowHeight="14.4" x14ac:dyDescent="0.3"/>
  <cols>
    <col min="2" max="2" width="23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322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1256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7594</v>
      </c>
      <c r="N4" s="6">
        <v>4500</v>
      </c>
      <c r="O4" s="6">
        <v>510</v>
      </c>
      <c r="P4" s="7">
        <v>6228</v>
      </c>
      <c r="Q4" s="7">
        <v>3192</v>
      </c>
      <c r="R4" s="7">
        <v>7675</v>
      </c>
      <c r="S4" s="64"/>
      <c r="T4" s="64"/>
      <c r="U4" s="64"/>
    </row>
    <row r="5" spans="1:27" ht="22.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383</v>
      </c>
      <c r="D6" s="377"/>
      <c r="E6" s="377">
        <v>3</v>
      </c>
      <c r="F6" s="377"/>
      <c r="G6" s="377">
        <v>53</v>
      </c>
      <c r="H6" s="377"/>
      <c r="I6" s="377">
        <v>18</v>
      </c>
      <c r="J6" s="377"/>
      <c r="K6" s="377">
        <v>2</v>
      </c>
      <c r="L6" s="377"/>
      <c r="M6" s="95">
        <v>538</v>
      </c>
      <c r="N6" s="9">
        <v>434</v>
      </c>
      <c r="O6" s="9">
        <v>48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235</v>
      </c>
      <c r="D7" s="377"/>
      <c r="E7" s="377">
        <v>5</v>
      </c>
      <c r="F7" s="377"/>
      <c r="G7" s="377">
        <v>0</v>
      </c>
      <c r="H7" s="377"/>
      <c r="I7" s="377">
        <v>10</v>
      </c>
      <c r="J7" s="377"/>
      <c r="K7" s="377">
        <v>0</v>
      </c>
      <c r="L7" s="377"/>
      <c r="M7" s="95">
        <v>347</v>
      </c>
      <c r="N7" s="9">
        <v>180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313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309</v>
      </c>
      <c r="N8" s="9">
        <v>106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200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205</v>
      </c>
      <c r="N9" s="9">
        <v>95</v>
      </c>
      <c r="O9" s="9">
        <v>60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72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114</v>
      </c>
      <c r="N10" s="172">
        <v>95</v>
      </c>
      <c r="O10" s="172">
        <v>60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111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142</v>
      </c>
      <c r="N11" s="9">
        <v>112</v>
      </c>
      <c r="O11" s="9">
        <v>212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2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340</v>
      </c>
      <c r="N12" s="9">
        <v>195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287</v>
      </c>
      <c r="D13" s="377"/>
      <c r="E13" s="377">
        <v>10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228</v>
      </c>
      <c r="N13" s="9">
        <v>131</v>
      </c>
      <c r="O13" s="9">
        <v>35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528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267</v>
      </c>
      <c r="N14" s="9">
        <v>347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3712</v>
      </c>
      <c r="Q15" s="73">
        <v>3476</v>
      </c>
      <c r="R15" s="94">
        <v>2399</v>
      </c>
    </row>
    <row r="16" spans="1:27" ht="15" thickBot="1" x14ac:dyDescent="0.35">
      <c r="A16" s="370" t="s">
        <v>24</v>
      </c>
      <c r="B16" s="371"/>
      <c r="C16" s="372">
        <f>SUM(C4:D15)</f>
        <v>3607</v>
      </c>
      <c r="D16" s="373"/>
      <c r="E16" s="373">
        <f>SUM(E4:F15)</f>
        <v>176</v>
      </c>
      <c r="F16" s="373"/>
      <c r="G16" s="373">
        <f>SUM(G4:H15)</f>
        <v>54</v>
      </c>
      <c r="H16" s="373"/>
      <c r="I16" s="373">
        <f>SUM(I4:J15)</f>
        <v>35</v>
      </c>
      <c r="J16" s="373"/>
      <c r="K16" s="373">
        <f>SUM(K4:L15)</f>
        <v>3</v>
      </c>
      <c r="L16" s="373"/>
      <c r="M16" s="139">
        <f>SUM(M4:M15)</f>
        <v>10084</v>
      </c>
      <c r="N16" s="13">
        <f t="shared" ref="N16:R16" si="0">SUM(N4:N15)</f>
        <v>6195</v>
      </c>
      <c r="O16" s="13">
        <f t="shared" si="0"/>
        <v>971</v>
      </c>
      <c r="P16" s="16">
        <f t="shared" si="0"/>
        <v>10024</v>
      </c>
      <c r="Q16" s="142">
        <f t="shared" si="0"/>
        <v>6710</v>
      </c>
      <c r="R16" s="143">
        <f t="shared" si="0"/>
        <v>10082</v>
      </c>
    </row>
    <row r="17" spans="1:21" x14ac:dyDescent="0.3">
      <c r="A17" s="368" t="s">
        <v>25</v>
      </c>
      <c r="B17" s="368"/>
      <c r="C17" s="369">
        <v>1206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7519</v>
      </c>
      <c r="N17" s="131">
        <v>4500</v>
      </c>
      <c r="O17" s="91">
        <v>510</v>
      </c>
      <c r="P17" s="7">
        <v>6228</v>
      </c>
      <c r="Q17" s="7">
        <v>3192</v>
      </c>
      <c r="R17" s="7">
        <v>7675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322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541</v>
      </c>
      <c r="D24" s="377"/>
      <c r="E24" s="609" t="s">
        <v>171</v>
      </c>
      <c r="F24" s="609"/>
      <c r="G24" s="377">
        <v>0</v>
      </c>
      <c r="H24" s="377"/>
      <c r="I24" s="377">
        <v>35</v>
      </c>
      <c r="J24" s="377"/>
      <c r="K24" s="9">
        <v>0</v>
      </c>
      <c r="L24" s="28">
        <v>10</v>
      </c>
      <c r="M24" s="28">
        <v>10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62</v>
      </c>
      <c r="D25" s="377"/>
      <c r="E25" s="609" t="s">
        <v>199</v>
      </c>
      <c r="F25" s="609"/>
      <c r="G25" s="377">
        <v>0</v>
      </c>
      <c r="H25" s="377"/>
      <c r="I25" s="377">
        <v>53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165</v>
      </c>
      <c r="D26" s="377"/>
      <c r="E26" s="609" t="s">
        <v>297</v>
      </c>
      <c r="F26" s="609"/>
      <c r="G26" s="377">
        <v>5</v>
      </c>
      <c r="H26" s="377"/>
      <c r="I26" s="377">
        <v>34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20</v>
      </c>
      <c r="J27" s="377"/>
      <c r="K27" s="9">
        <v>5</v>
      </c>
      <c r="L27" s="28">
        <v>2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245</v>
      </c>
      <c r="D29" s="609"/>
      <c r="E29" s="609" t="s">
        <v>253</v>
      </c>
      <c r="F29" s="609"/>
      <c r="G29" s="377">
        <v>0</v>
      </c>
      <c r="H29" s="377"/>
      <c r="I29" s="377">
        <v>17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350</v>
      </c>
      <c r="D30" s="377"/>
      <c r="E30" s="609" t="s">
        <v>327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308</v>
      </c>
      <c r="D31" s="609"/>
      <c r="E31" s="609" t="s">
        <v>163</v>
      </c>
      <c r="F31" s="609"/>
      <c r="G31" s="377">
        <v>0</v>
      </c>
      <c r="H31" s="377"/>
      <c r="I31" s="377">
        <v>11</v>
      </c>
      <c r="J31" s="377"/>
      <c r="K31" s="9">
        <v>0</v>
      </c>
      <c r="L31" s="28">
        <v>13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323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330</v>
      </c>
      <c r="D38" s="410"/>
      <c r="E38" s="437" t="s">
        <v>331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332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326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325</v>
      </c>
      <c r="D40" s="410"/>
      <c r="E40" s="437" t="s">
        <v>299</v>
      </c>
      <c r="F40" s="438"/>
      <c r="G40" s="409" t="s">
        <v>243</v>
      </c>
      <c r="H40" s="410"/>
      <c r="I40" s="409" t="s">
        <v>202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264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312</v>
      </c>
      <c r="D43" s="410"/>
      <c r="E43" s="437" t="s">
        <v>313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328</v>
      </c>
      <c r="F44" s="410"/>
      <c r="G44" s="409" t="s">
        <v>329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96</v>
      </c>
      <c r="D45" s="410"/>
      <c r="E45" s="409" t="s">
        <v>154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294</v>
      </c>
      <c r="D51" s="320"/>
      <c r="E51" s="282" t="s">
        <v>307</v>
      </c>
      <c r="F51" s="284"/>
      <c r="G51" s="319" t="s">
        <v>306</v>
      </c>
      <c r="H51" s="320"/>
      <c r="I51" s="319" t="s">
        <v>322</v>
      </c>
      <c r="J51" s="320"/>
    </row>
    <row r="52" spans="1:10" x14ac:dyDescent="0.3">
      <c r="A52" s="314" t="s">
        <v>59</v>
      </c>
      <c r="B52" s="316"/>
      <c r="C52" s="487">
        <v>8677</v>
      </c>
      <c r="D52" s="487"/>
      <c r="E52" s="311">
        <v>8656</v>
      </c>
      <c r="F52" s="312"/>
      <c r="G52" s="487">
        <v>8629</v>
      </c>
      <c r="H52" s="487"/>
      <c r="I52" s="487">
        <v>8606</v>
      </c>
      <c r="J52" s="487"/>
    </row>
    <row r="53" spans="1:10" ht="15" customHeight="1" x14ac:dyDescent="0.3">
      <c r="A53" s="314" t="s">
        <v>60</v>
      </c>
      <c r="B53" s="316"/>
      <c r="C53" s="311">
        <v>13564</v>
      </c>
      <c r="D53" s="312"/>
      <c r="E53" s="311">
        <v>13571</v>
      </c>
      <c r="F53" s="312"/>
      <c r="G53" s="311">
        <v>13566</v>
      </c>
      <c r="H53" s="312"/>
      <c r="I53" s="311">
        <v>13654</v>
      </c>
      <c r="J53" s="312"/>
    </row>
    <row r="54" spans="1:10" x14ac:dyDescent="0.3">
      <c r="A54" s="314" t="s">
        <v>61</v>
      </c>
      <c r="B54" s="316"/>
      <c r="C54" s="487">
        <v>108794</v>
      </c>
      <c r="D54" s="487"/>
      <c r="E54" s="311">
        <v>108721</v>
      </c>
      <c r="F54" s="312"/>
      <c r="G54" s="487">
        <v>108656</v>
      </c>
      <c r="H54" s="487"/>
      <c r="I54" s="487">
        <v>108629</v>
      </c>
      <c r="J54" s="487"/>
    </row>
    <row r="55" spans="1:10" x14ac:dyDescent="0.3">
      <c r="A55" s="314" t="s">
        <v>62</v>
      </c>
      <c r="B55" s="316"/>
      <c r="C55" s="487">
        <v>208</v>
      </c>
      <c r="D55" s="487"/>
      <c r="E55" s="311">
        <v>208</v>
      </c>
      <c r="F55" s="312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486">
        <v>48764</v>
      </c>
      <c r="D56" s="486"/>
      <c r="E56" s="303">
        <v>48736</v>
      </c>
      <c r="F56" s="283"/>
      <c r="G56" s="486">
        <v>48706</v>
      </c>
      <c r="H56" s="486"/>
      <c r="I56" s="486">
        <v>48690</v>
      </c>
      <c r="J56" s="486"/>
    </row>
    <row r="57" spans="1:10" x14ac:dyDescent="0.3">
      <c r="A57" s="314" t="s">
        <v>64</v>
      </c>
      <c r="B57" s="316"/>
      <c r="C57" s="303">
        <v>5973</v>
      </c>
      <c r="D57" s="283"/>
      <c r="E57" s="303">
        <v>5967</v>
      </c>
      <c r="F57" s="283"/>
      <c r="G57" s="303">
        <v>5954</v>
      </c>
      <c r="H57" s="283"/>
      <c r="I57" s="303">
        <v>5951</v>
      </c>
      <c r="J57" s="283"/>
    </row>
    <row r="58" spans="1:10" x14ac:dyDescent="0.3">
      <c r="A58" s="314" t="s">
        <v>65</v>
      </c>
      <c r="B58" s="316"/>
      <c r="C58" s="486">
        <v>26439</v>
      </c>
      <c r="D58" s="486"/>
      <c r="E58" s="303">
        <v>26412</v>
      </c>
      <c r="F58" s="283"/>
      <c r="G58" s="486">
        <v>26381</v>
      </c>
      <c r="H58" s="486"/>
      <c r="I58" s="486">
        <v>26381</v>
      </c>
      <c r="J58" s="486"/>
    </row>
    <row r="59" spans="1:10" x14ac:dyDescent="0.3">
      <c r="A59" s="314" t="s">
        <v>66</v>
      </c>
      <c r="B59" s="316"/>
      <c r="C59" s="486">
        <v>4499</v>
      </c>
      <c r="D59" s="486"/>
      <c r="E59" s="303">
        <v>4502</v>
      </c>
      <c r="F59" s="283"/>
      <c r="G59" s="486">
        <v>4501</v>
      </c>
      <c r="H59" s="486"/>
      <c r="I59" s="486">
        <v>4502</v>
      </c>
      <c r="J59" s="486"/>
    </row>
    <row r="60" spans="1:10" x14ac:dyDescent="0.3">
      <c r="A60" s="177"/>
      <c r="B60" s="182" t="s">
        <v>251</v>
      </c>
      <c r="C60" s="486">
        <v>972</v>
      </c>
      <c r="D60" s="486"/>
      <c r="E60" s="303">
        <v>1139</v>
      </c>
      <c r="F60" s="283"/>
      <c r="G60" s="486">
        <v>1361</v>
      </c>
      <c r="H60" s="486"/>
      <c r="I60" s="486">
        <v>1592</v>
      </c>
      <c r="J60" s="486"/>
    </row>
    <row r="61" spans="1:10" x14ac:dyDescent="0.3">
      <c r="A61" s="314" t="s">
        <v>67</v>
      </c>
      <c r="B61" s="315"/>
      <c r="C61" s="307">
        <f>SUM(C52:C60)</f>
        <v>217890</v>
      </c>
      <c r="D61" s="307"/>
      <c r="E61" s="613">
        <v>217912</v>
      </c>
      <c r="F61" s="614"/>
      <c r="G61" s="307">
        <f>SUM(G52:G60)</f>
        <v>217962</v>
      </c>
      <c r="H61" s="307"/>
      <c r="I61" s="307">
        <f>SUM(I52:I60)</f>
        <v>218213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319" t="s">
        <v>294</v>
      </c>
      <c r="D63" s="320"/>
      <c r="E63" s="282" t="s">
        <v>307</v>
      </c>
      <c r="F63" s="284"/>
      <c r="G63" s="319" t="s">
        <v>306</v>
      </c>
      <c r="H63" s="320"/>
      <c r="I63" s="319" t="s">
        <v>322</v>
      </c>
      <c r="J63" s="320"/>
    </row>
    <row r="64" spans="1:10" x14ac:dyDescent="0.3">
      <c r="A64" s="287"/>
      <c r="B64" s="288"/>
      <c r="C64" s="297">
        <v>143832</v>
      </c>
      <c r="D64" s="298"/>
      <c r="E64" s="297">
        <v>143857</v>
      </c>
      <c r="F64" s="298"/>
      <c r="G64" s="297">
        <v>143902</v>
      </c>
      <c r="H64" s="298"/>
      <c r="I64" s="297">
        <v>144027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219</v>
      </c>
      <c r="D69" s="284"/>
      <c r="E69" s="282" t="s">
        <v>220</v>
      </c>
      <c r="F69" s="284"/>
      <c r="G69" s="282" t="s">
        <v>250</v>
      </c>
      <c r="H69" s="284"/>
      <c r="I69" s="282" t="s">
        <v>333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35704</v>
      </c>
      <c r="D72" s="266"/>
      <c r="E72" s="265">
        <v>36102</v>
      </c>
      <c r="F72" s="266"/>
      <c r="G72" s="265">
        <v>36368</v>
      </c>
      <c r="H72" s="266"/>
      <c r="I72" s="265">
        <v>36751</v>
      </c>
      <c r="J72" s="266"/>
    </row>
    <row r="73" spans="1:10" x14ac:dyDescent="0.3">
      <c r="A73" s="269" t="s">
        <v>16</v>
      </c>
      <c r="B73" s="270"/>
      <c r="C73" s="265">
        <v>8071</v>
      </c>
      <c r="D73" s="266"/>
      <c r="E73" s="265">
        <v>8166</v>
      </c>
      <c r="F73" s="266"/>
      <c r="G73" s="265">
        <v>8201</v>
      </c>
      <c r="H73" s="266"/>
      <c r="I73" s="265">
        <v>8267</v>
      </c>
      <c r="J73" s="266"/>
    </row>
    <row r="74" spans="1:10" x14ac:dyDescent="0.3">
      <c r="A74" s="267" t="s">
        <v>17</v>
      </c>
      <c r="B74" s="268"/>
      <c r="C74" s="265">
        <v>7417</v>
      </c>
      <c r="D74" s="266"/>
      <c r="E74" s="265">
        <v>7599</v>
      </c>
      <c r="F74" s="266"/>
      <c r="G74" s="265">
        <v>7219</v>
      </c>
      <c r="H74" s="266"/>
      <c r="I74" s="265">
        <v>7311</v>
      </c>
      <c r="J74" s="266"/>
    </row>
    <row r="75" spans="1:10" x14ac:dyDescent="0.3">
      <c r="A75" s="267" t="s">
        <v>75</v>
      </c>
      <c r="B75" s="268"/>
      <c r="C75" s="265">
        <v>2007</v>
      </c>
      <c r="D75" s="266"/>
      <c r="E75" s="265">
        <v>2032</v>
      </c>
      <c r="F75" s="266"/>
      <c r="G75" s="265">
        <v>2508</v>
      </c>
      <c r="H75" s="266"/>
      <c r="I75" s="265">
        <v>2547</v>
      </c>
      <c r="J75" s="266"/>
    </row>
    <row r="76" spans="1:10" x14ac:dyDescent="0.3">
      <c r="A76" s="269" t="s">
        <v>18</v>
      </c>
      <c r="B76" s="270"/>
      <c r="C76" s="265">
        <v>6030</v>
      </c>
      <c r="D76" s="266"/>
      <c r="E76" s="265">
        <v>6107</v>
      </c>
      <c r="F76" s="266"/>
      <c r="G76" s="265">
        <v>6196</v>
      </c>
      <c r="H76" s="266"/>
      <c r="I76" s="265">
        <v>6380</v>
      </c>
      <c r="J76" s="266"/>
    </row>
    <row r="77" spans="1:10" x14ac:dyDescent="0.3">
      <c r="A77" s="267" t="s">
        <v>19</v>
      </c>
      <c r="B77" s="268"/>
      <c r="C77" s="265">
        <v>5388</v>
      </c>
      <c r="D77" s="266"/>
      <c r="E77" s="265">
        <v>5399</v>
      </c>
      <c r="F77" s="266"/>
      <c r="G77" s="265">
        <v>5419</v>
      </c>
      <c r="H77" s="266"/>
      <c r="I77" s="265">
        <v>5434</v>
      </c>
      <c r="J77" s="266"/>
    </row>
    <row r="78" spans="1:10" x14ac:dyDescent="0.3">
      <c r="A78" s="269" t="s">
        <v>20</v>
      </c>
      <c r="B78" s="270"/>
      <c r="C78" s="265">
        <v>9341</v>
      </c>
      <c r="D78" s="266"/>
      <c r="E78" s="265">
        <v>9443</v>
      </c>
      <c r="F78" s="266"/>
      <c r="G78" s="265">
        <v>9569</v>
      </c>
      <c r="H78" s="266"/>
      <c r="I78" s="265">
        <v>9704</v>
      </c>
      <c r="J78" s="266"/>
    </row>
    <row r="79" spans="1:10" x14ac:dyDescent="0.3">
      <c r="A79" s="267" t="s">
        <v>21</v>
      </c>
      <c r="B79" s="268"/>
      <c r="C79" s="265">
        <v>1828</v>
      </c>
      <c r="D79" s="266"/>
      <c r="E79" s="265">
        <v>1839</v>
      </c>
      <c r="F79" s="266"/>
      <c r="G79" s="265">
        <v>1853</v>
      </c>
      <c r="H79" s="266"/>
      <c r="I79" s="265">
        <v>1858</v>
      </c>
      <c r="J79" s="266"/>
    </row>
    <row r="80" spans="1:10" x14ac:dyDescent="0.3">
      <c r="A80" s="269" t="s">
        <v>22</v>
      </c>
      <c r="B80" s="270"/>
      <c r="C80" s="265">
        <v>7091</v>
      </c>
      <c r="D80" s="266"/>
      <c r="E80" s="265">
        <v>7215</v>
      </c>
      <c r="F80" s="266"/>
      <c r="G80" s="265">
        <v>7327</v>
      </c>
      <c r="H80" s="266"/>
      <c r="I80" s="265">
        <v>7442</v>
      </c>
      <c r="J80" s="266"/>
    </row>
    <row r="81" spans="1:10" x14ac:dyDescent="0.3">
      <c r="A81" s="263" t="s">
        <v>76</v>
      </c>
      <c r="B81" s="264"/>
      <c r="C81" s="265">
        <f>SUM(C72:C80)</f>
        <v>82877</v>
      </c>
      <c r="D81" s="266"/>
      <c r="E81" s="265">
        <f>SUM(E72:E80)</f>
        <v>83902</v>
      </c>
      <c r="F81" s="266"/>
      <c r="G81" s="265">
        <v>84660</v>
      </c>
      <c r="H81" s="266"/>
      <c r="I81" s="265">
        <f>SUM(I72:I80)</f>
        <v>85694</v>
      </c>
      <c r="J81" s="266"/>
    </row>
  </sheetData>
  <mergeCells count="333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4BE6-FB0E-4CC7-A098-20A9FF8BAE4E}">
  <dimension ref="A1:AA81"/>
  <sheetViews>
    <sheetView topLeftCell="A36" workbookViewId="0">
      <selection activeCell="I64" sqref="I64:J65"/>
    </sheetView>
  </sheetViews>
  <sheetFormatPr defaultRowHeight="14.4" x14ac:dyDescent="0.3"/>
  <cols>
    <col min="2" max="2" width="23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334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639">
        <v>1256</v>
      </c>
      <c r="D4" s="640"/>
      <c r="E4" s="405">
        <v>158</v>
      </c>
      <c r="F4" s="406"/>
      <c r="G4" s="387">
        <v>0</v>
      </c>
      <c r="H4" s="387"/>
      <c r="I4" s="387">
        <v>0</v>
      </c>
      <c r="J4" s="387"/>
      <c r="K4" s="387">
        <v>0</v>
      </c>
      <c r="L4" s="387"/>
      <c r="M4" s="6">
        <v>7954</v>
      </c>
      <c r="N4" s="6">
        <v>4500</v>
      </c>
      <c r="O4" s="7">
        <v>510</v>
      </c>
      <c r="P4" s="7">
        <v>6228</v>
      </c>
      <c r="Q4" s="7">
        <v>7675</v>
      </c>
      <c r="R4" s="7">
        <v>3216</v>
      </c>
      <c r="S4" s="64"/>
      <c r="T4" s="64"/>
      <c r="U4" s="64"/>
    </row>
    <row r="5" spans="1:27" ht="22.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330</v>
      </c>
      <c r="D6" s="377"/>
      <c r="E6" s="377">
        <v>3</v>
      </c>
      <c r="F6" s="377"/>
      <c r="G6" s="377">
        <v>50</v>
      </c>
      <c r="H6" s="377"/>
      <c r="I6" s="377">
        <v>13</v>
      </c>
      <c r="J6" s="377"/>
      <c r="K6" s="377">
        <v>2</v>
      </c>
      <c r="L6" s="377"/>
      <c r="M6" s="95">
        <v>573</v>
      </c>
      <c r="N6" s="9">
        <v>364</v>
      </c>
      <c r="O6" s="9">
        <v>47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203</v>
      </c>
      <c r="D7" s="377"/>
      <c r="E7" s="377">
        <v>5</v>
      </c>
      <c r="F7" s="377"/>
      <c r="G7" s="377">
        <v>0</v>
      </c>
      <c r="H7" s="377"/>
      <c r="I7" s="377">
        <v>8</v>
      </c>
      <c r="J7" s="377"/>
      <c r="K7" s="377">
        <v>0</v>
      </c>
      <c r="L7" s="377"/>
      <c r="M7" s="95">
        <v>337</v>
      </c>
      <c r="N7" s="9">
        <v>175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370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360</v>
      </c>
      <c r="N8" s="9">
        <v>283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200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150</v>
      </c>
      <c r="N9" s="9">
        <v>95</v>
      </c>
      <c r="O9" s="9">
        <v>30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54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84</v>
      </c>
      <c r="N10" s="172">
        <v>78</v>
      </c>
      <c r="O10" s="172">
        <v>58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104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130</v>
      </c>
      <c r="N11" s="9">
        <v>100</v>
      </c>
      <c r="O11" s="9">
        <v>193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1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305</v>
      </c>
      <c r="N12" s="9">
        <v>140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260</v>
      </c>
      <c r="D13" s="377"/>
      <c r="E13" s="377">
        <v>10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221</v>
      </c>
      <c r="N13" s="9">
        <v>126</v>
      </c>
      <c r="O13" s="9">
        <v>26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503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244</v>
      </c>
      <c r="N14" s="9">
        <v>321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3572</v>
      </c>
      <c r="Q15" s="73">
        <v>2343</v>
      </c>
      <c r="R15" s="94">
        <v>3411</v>
      </c>
    </row>
    <row r="16" spans="1:27" ht="15" thickBot="1" x14ac:dyDescent="0.35">
      <c r="A16" s="370" t="s">
        <v>24</v>
      </c>
      <c r="B16" s="371"/>
      <c r="C16" s="372">
        <v>1476</v>
      </c>
      <c r="D16" s="373"/>
      <c r="E16" s="373">
        <f>SUM(E4:F15)</f>
        <v>176</v>
      </c>
      <c r="F16" s="373"/>
      <c r="G16" s="373">
        <f>SUM(G4:H15)</f>
        <v>51</v>
      </c>
      <c r="H16" s="373"/>
      <c r="I16" s="373">
        <f>SUM(I4:J15)</f>
        <v>28</v>
      </c>
      <c r="J16" s="373"/>
      <c r="K16" s="373">
        <f>SUM(K4:L15)</f>
        <v>3</v>
      </c>
      <c r="L16" s="373"/>
      <c r="M16" s="139">
        <f>SUM(M4:M15)</f>
        <v>10358</v>
      </c>
      <c r="N16" s="13">
        <f t="shared" ref="N16:R16" si="0">SUM(N4:N15)</f>
        <v>6182</v>
      </c>
      <c r="O16" s="13">
        <f t="shared" si="0"/>
        <v>910</v>
      </c>
      <c r="P16" s="16">
        <f t="shared" si="0"/>
        <v>9884</v>
      </c>
      <c r="Q16" s="142">
        <f t="shared" si="0"/>
        <v>10060</v>
      </c>
      <c r="R16" s="143">
        <f t="shared" si="0"/>
        <v>6635</v>
      </c>
    </row>
    <row r="17" spans="1:21" x14ac:dyDescent="0.3">
      <c r="A17" s="368" t="s">
        <v>25</v>
      </c>
      <c r="B17" s="368"/>
      <c r="C17" s="369">
        <v>1206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7519</v>
      </c>
      <c r="N17" s="131">
        <v>4500</v>
      </c>
      <c r="O17" s="91">
        <v>490</v>
      </c>
      <c r="P17" s="7">
        <v>6228</v>
      </c>
      <c r="Q17" s="7">
        <v>7675</v>
      </c>
      <c r="R17" s="7">
        <v>3216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334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608</v>
      </c>
      <c r="D24" s="377"/>
      <c r="E24" s="609" t="s">
        <v>348</v>
      </c>
      <c r="F24" s="609"/>
      <c r="G24" s="377">
        <v>0</v>
      </c>
      <c r="H24" s="377"/>
      <c r="I24" s="377">
        <v>13</v>
      </c>
      <c r="J24" s="377"/>
      <c r="K24" s="9">
        <v>0</v>
      </c>
      <c r="L24" s="28">
        <v>7</v>
      </c>
      <c r="M24" s="28">
        <v>7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64</v>
      </c>
      <c r="D25" s="377"/>
      <c r="E25" s="609" t="s">
        <v>338</v>
      </c>
      <c r="F25" s="609"/>
      <c r="G25" s="377">
        <v>0</v>
      </c>
      <c r="H25" s="377"/>
      <c r="I25" s="377">
        <v>55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164</v>
      </c>
      <c r="D26" s="377"/>
      <c r="E26" s="609" t="s">
        <v>297</v>
      </c>
      <c r="F26" s="609"/>
      <c r="G26" s="377">
        <v>5</v>
      </c>
      <c r="H26" s="377"/>
      <c r="I26" s="377">
        <v>33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20</v>
      </c>
      <c r="J27" s="377"/>
      <c r="K27" s="9">
        <v>5</v>
      </c>
      <c r="L27" s="28">
        <v>2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360</v>
      </c>
      <c r="D30" s="377"/>
      <c r="E30" s="609" t="s">
        <v>345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297</v>
      </c>
      <c r="D31" s="609"/>
      <c r="E31" s="609" t="s">
        <v>344</v>
      </c>
      <c r="F31" s="609"/>
      <c r="G31" s="377">
        <v>0</v>
      </c>
      <c r="H31" s="377"/>
      <c r="I31" s="377">
        <v>11</v>
      </c>
      <c r="J31" s="377"/>
      <c r="K31" s="9">
        <v>0</v>
      </c>
      <c r="L31" s="28">
        <v>12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334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349</v>
      </c>
      <c r="D38" s="410"/>
      <c r="E38" s="437" t="s">
        <v>288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350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339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336</v>
      </c>
      <c r="D40" s="410"/>
      <c r="E40" s="437" t="s">
        <v>337</v>
      </c>
      <c r="F40" s="438"/>
      <c r="G40" s="409" t="s">
        <v>243</v>
      </c>
      <c r="H40" s="410"/>
      <c r="I40" s="409" t="s">
        <v>202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259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342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346</v>
      </c>
      <c r="F44" s="410"/>
      <c r="G44" s="409" t="s">
        <v>347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41</v>
      </c>
      <c r="D45" s="410"/>
      <c r="E45" s="409" t="s">
        <v>154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71</v>
      </c>
      <c r="D46" s="410"/>
      <c r="E46" s="437" t="s">
        <v>335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282" t="s">
        <v>307</v>
      </c>
      <c r="D51" s="284"/>
      <c r="E51" s="319" t="s">
        <v>306</v>
      </c>
      <c r="F51" s="320"/>
      <c r="G51" s="319" t="s">
        <v>322</v>
      </c>
      <c r="H51" s="320"/>
      <c r="I51" s="319" t="s">
        <v>334</v>
      </c>
      <c r="J51" s="320"/>
    </row>
    <row r="52" spans="1:10" x14ac:dyDescent="0.3">
      <c r="A52" s="314" t="s">
        <v>59</v>
      </c>
      <c r="B52" s="316"/>
      <c r="C52" s="311">
        <v>8656</v>
      </c>
      <c r="D52" s="312"/>
      <c r="E52" s="487">
        <v>8629</v>
      </c>
      <c r="F52" s="487"/>
      <c r="G52" s="487">
        <v>8606</v>
      </c>
      <c r="H52" s="487"/>
      <c r="I52" s="487">
        <v>8583</v>
      </c>
      <c r="J52" s="487"/>
    </row>
    <row r="53" spans="1:10" ht="15" customHeight="1" x14ac:dyDescent="0.3">
      <c r="A53" s="314" t="s">
        <v>60</v>
      </c>
      <c r="B53" s="316"/>
      <c r="C53" s="311">
        <v>13571</v>
      </c>
      <c r="D53" s="312"/>
      <c r="E53" s="311">
        <v>13566</v>
      </c>
      <c r="F53" s="312"/>
      <c r="G53" s="311">
        <v>13654</v>
      </c>
      <c r="H53" s="312"/>
      <c r="I53" s="311">
        <v>13549</v>
      </c>
      <c r="J53" s="312"/>
    </row>
    <row r="54" spans="1:10" x14ac:dyDescent="0.3">
      <c r="A54" s="314" t="s">
        <v>61</v>
      </c>
      <c r="B54" s="316"/>
      <c r="C54" s="311">
        <v>108721</v>
      </c>
      <c r="D54" s="312"/>
      <c r="E54" s="487">
        <v>108656</v>
      </c>
      <c r="F54" s="487"/>
      <c r="G54" s="487">
        <v>108629</v>
      </c>
      <c r="H54" s="487"/>
      <c r="I54" s="487">
        <v>108555</v>
      </c>
      <c r="J54" s="487"/>
    </row>
    <row r="55" spans="1:10" x14ac:dyDescent="0.3">
      <c r="A55" s="314" t="s">
        <v>62</v>
      </c>
      <c r="B55" s="316"/>
      <c r="C55" s="311">
        <v>208</v>
      </c>
      <c r="D55" s="312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303">
        <v>48736</v>
      </c>
      <c r="D56" s="283"/>
      <c r="E56" s="486">
        <v>48706</v>
      </c>
      <c r="F56" s="486"/>
      <c r="G56" s="486">
        <v>48690</v>
      </c>
      <c r="H56" s="486"/>
      <c r="I56" s="486">
        <v>48657</v>
      </c>
      <c r="J56" s="486"/>
    </row>
    <row r="57" spans="1:10" x14ac:dyDescent="0.3">
      <c r="A57" s="314" t="s">
        <v>64</v>
      </c>
      <c r="B57" s="316"/>
      <c r="C57" s="303">
        <v>5967</v>
      </c>
      <c r="D57" s="283"/>
      <c r="E57" s="303">
        <v>5954</v>
      </c>
      <c r="F57" s="283"/>
      <c r="G57" s="303">
        <v>5951</v>
      </c>
      <c r="H57" s="283"/>
      <c r="I57" s="303">
        <v>5942</v>
      </c>
      <c r="J57" s="283"/>
    </row>
    <row r="58" spans="1:10" x14ac:dyDescent="0.3">
      <c r="A58" s="314" t="s">
        <v>65</v>
      </c>
      <c r="B58" s="316"/>
      <c r="C58" s="303">
        <v>26412</v>
      </c>
      <c r="D58" s="283"/>
      <c r="E58" s="486">
        <v>26381</v>
      </c>
      <c r="F58" s="486"/>
      <c r="G58" s="486">
        <v>26381</v>
      </c>
      <c r="H58" s="486"/>
      <c r="I58" s="486">
        <v>26381</v>
      </c>
      <c r="J58" s="486"/>
    </row>
    <row r="59" spans="1:10" x14ac:dyDescent="0.3">
      <c r="A59" s="314" t="s">
        <v>66</v>
      </c>
      <c r="B59" s="316"/>
      <c r="C59" s="303">
        <v>4502</v>
      </c>
      <c r="D59" s="283"/>
      <c r="E59" s="486">
        <v>4501</v>
      </c>
      <c r="F59" s="486"/>
      <c r="G59" s="486">
        <v>4502</v>
      </c>
      <c r="H59" s="486"/>
      <c r="I59" s="486">
        <v>4506</v>
      </c>
      <c r="J59" s="486"/>
    </row>
    <row r="60" spans="1:10" x14ac:dyDescent="0.3">
      <c r="A60" s="177"/>
      <c r="B60" s="182" t="s">
        <v>251</v>
      </c>
      <c r="C60" s="303">
        <v>1139</v>
      </c>
      <c r="D60" s="283"/>
      <c r="E60" s="486">
        <v>1361</v>
      </c>
      <c r="F60" s="486"/>
      <c r="G60" s="486">
        <v>1592</v>
      </c>
      <c r="H60" s="486"/>
      <c r="I60" s="486">
        <v>1813</v>
      </c>
      <c r="J60" s="486"/>
    </row>
    <row r="61" spans="1:10" x14ac:dyDescent="0.3">
      <c r="A61" s="314" t="s">
        <v>67</v>
      </c>
      <c r="B61" s="315"/>
      <c r="C61" s="613">
        <v>217912</v>
      </c>
      <c r="D61" s="614"/>
      <c r="E61" s="307">
        <f>SUM(E52:E60)</f>
        <v>217962</v>
      </c>
      <c r="F61" s="307"/>
      <c r="G61" s="307">
        <f>SUM(G52:G60)</f>
        <v>218213</v>
      </c>
      <c r="H61" s="307"/>
      <c r="I61" s="307">
        <v>218180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282" t="s">
        <v>307</v>
      </c>
      <c r="D63" s="284"/>
      <c r="E63" s="319" t="s">
        <v>306</v>
      </c>
      <c r="F63" s="320"/>
      <c r="G63" s="319" t="s">
        <v>322</v>
      </c>
      <c r="H63" s="320"/>
      <c r="I63" s="319" t="s">
        <v>334</v>
      </c>
      <c r="J63" s="320"/>
    </row>
    <row r="64" spans="1:10" x14ac:dyDescent="0.3">
      <c r="A64" s="287"/>
      <c r="B64" s="288"/>
      <c r="C64" s="297">
        <v>143857</v>
      </c>
      <c r="D64" s="298"/>
      <c r="E64" s="297">
        <v>143902</v>
      </c>
      <c r="F64" s="298"/>
      <c r="G64" s="297">
        <v>144027</v>
      </c>
      <c r="H64" s="298"/>
      <c r="I64" s="297">
        <v>144092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219</v>
      </c>
      <c r="D69" s="284"/>
      <c r="E69" s="282" t="s">
        <v>220</v>
      </c>
      <c r="F69" s="284"/>
      <c r="G69" s="282" t="s">
        <v>250</v>
      </c>
      <c r="H69" s="284"/>
      <c r="I69" s="282" t="s">
        <v>333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35704</v>
      </c>
      <c r="D72" s="266"/>
      <c r="E72" s="265">
        <v>36102</v>
      </c>
      <c r="F72" s="266"/>
      <c r="G72" s="265">
        <v>36368</v>
      </c>
      <c r="H72" s="266"/>
      <c r="I72" s="265">
        <v>36751</v>
      </c>
      <c r="J72" s="266"/>
    </row>
    <row r="73" spans="1:10" x14ac:dyDescent="0.3">
      <c r="A73" s="269" t="s">
        <v>16</v>
      </c>
      <c r="B73" s="270"/>
      <c r="C73" s="265">
        <v>8071</v>
      </c>
      <c r="D73" s="266"/>
      <c r="E73" s="265">
        <v>8166</v>
      </c>
      <c r="F73" s="266"/>
      <c r="G73" s="265">
        <v>8201</v>
      </c>
      <c r="H73" s="266"/>
      <c r="I73" s="265">
        <v>8267</v>
      </c>
      <c r="J73" s="266"/>
    </row>
    <row r="74" spans="1:10" x14ac:dyDescent="0.3">
      <c r="A74" s="267" t="s">
        <v>17</v>
      </c>
      <c r="B74" s="268"/>
      <c r="C74" s="265">
        <v>7417</v>
      </c>
      <c r="D74" s="266"/>
      <c r="E74" s="265">
        <v>7599</v>
      </c>
      <c r="F74" s="266"/>
      <c r="G74" s="265">
        <v>7219</v>
      </c>
      <c r="H74" s="266"/>
      <c r="I74" s="265">
        <v>7311</v>
      </c>
      <c r="J74" s="266"/>
    </row>
    <row r="75" spans="1:10" x14ac:dyDescent="0.3">
      <c r="A75" s="267" t="s">
        <v>75</v>
      </c>
      <c r="B75" s="268"/>
      <c r="C75" s="265">
        <v>2007</v>
      </c>
      <c r="D75" s="266"/>
      <c r="E75" s="265">
        <v>2032</v>
      </c>
      <c r="F75" s="266"/>
      <c r="G75" s="265">
        <v>2508</v>
      </c>
      <c r="H75" s="266"/>
      <c r="I75" s="265">
        <v>2547</v>
      </c>
      <c r="J75" s="266"/>
    </row>
    <row r="76" spans="1:10" x14ac:dyDescent="0.3">
      <c r="A76" s="269" t="s">
        <v>18</v>
      </c>
      <c r="B76" s="270"/>
      <c r="C76" s="265">
        <v>6030</v>
      </c>
      <c r="D76" s="266"/>
      <c r="E76" s="265">
        <v>6107</v>
      </c>
      <c r="F76" s="266"/>
      <c r="G76" s="265">
        <v>6196</v>
      </c>
      <c r="H76" s="266"/>
      <c r="I76" s="265">
        <v>6380</v>
      </c>
      <c r="J76" s="266"/>
    </row>
    <row r="77" spans="1:10" x14ac:dyDescent="0.3">
      <c r="A77" s="267" t="s">
        <v>19</v>
      </c>
      <c r="B77" s="268"/>
      <c r="C77" s="265">
        <v>5388</v>
      </c>
      <c r="D77" s="266"/>
      <c r="E77" s="265">
        <v>5399</v>
      </c>
      <c r="F77" s="266"/>
      <c r="G77" s="265">
        <v>5419</v>
      </c>
      <c r="H77" s="266"/>
      <c r="I77" s="265">
        <v>5434</v>
      </c>
      <c r="J77" s="266"/>
    </row>
    <row r="78" spans="1:10" x14ac:dyDescent="0.3">
      <c r="A78" s="269" t="s">
        <v>20</v>
      </c>
      <c r="B78" s="270"/>
      <c r="C78" s="265">
        <v>9341</v>
      </c>
      <c r="D78" s="266"/>
      <c r="E78" s="265">
        <v>9443</v>
      </c>
      <c r="F78" s="266"/>
      <c r="G78" s="265">
        <v>9569</v>
      </c>
      <c r="H78" s="266"/>
      <c r="I78" s="265">
        <v>9704</v>
      </c>
      <c r="J78" s="266"/>
    </row>
    <row r="79" spans="1:10" x14ac:dyDescent="0.3">
      <c r="A79" s="267" t="s">
        <v>21</v>
      </c>
      <c r="B79" s="268"/>
      <c r="C79" s="265">
        <v>1828</v>
      </c>
      <c r="D79" s="266"/>
      <c r="E79" s="265">
        <v>1839</v>
      </c>
      <c r="F79" s="266"/>
      <c r="G79" s="265">
        <v>1853</v>
      </c>
      <c r="H79" s="266"/>
      <c r="I79" s="265">
        <v>1858</v>
      </c>
      <c r="J79" s="266"/>
    </row>
    <row r="80" spans="1:10" x14ac:dyDescent="0.3">
      <c r="A80" s="269" t="s">
        <v>22</v>
      </c>
      <c r="B80" s="270"/>
      <c r="C80" s="265">
        <v>7091</v>
      </c>
      <c r="D80" s="266"/>
      <c r="E80" s="265">
        <v>7215</v>
      </c>
      <c r="F80" s="266"/>
      <c r="G80" s="265">
        <v>7327</v>
      </c>
      <c r="H80" s="266"/>
      <c r="I80" s="265">
        <v>7442</v>
      </c>
      <c r="J80" s="266"/>
    </row>
    <row r="81" spans="1:10" x14ac:dyDescent="0.3">
      <c r="A81" s="263" t="s">
        <v>76</v>
      </c>
      <c r="B81" s="264"/>
      <c r="C81" s="265">
        <f>SUM(C72:C80)</f>
        <v>82877</v>
      </c>
      <c r="D81" s="266"/>
      <c r="E81" s="265">
        <f>SUM(E72:E80)</f>
        <v>83902</v>
      </c>
      <c r="F81" s="266"/>
      <c r="G81" s="265">
        <v>84660</v>
      </c>
      <c r="H81" s="266"/>
      <c r="I81" s="265">
        <f>SUM(I72:I80)</f>
        <v>85694</v>
      </c>
      <c r="J81" s="266"/>
    </row>
  </sheetData>
  <mergeCells count="333"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A43B-4F13-4558-A3EF-23A564C02CAE}">
  <dimension ref="A1:AA81"/>
  <sheetViews>
    <sheetView workbookViewId="0">
      <selection sqref="A1:XFD1048576"/>
    </sheetView>
  </sheetViews>
  <sheetFormatPr defaultRowHeight="14.4" x14ac:dyDescent="0.3"/>
  <cols>
    <col min="2" max="2" width="23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351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906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7414</v>
      </c>
      <c r="N4" s="6">
        <v>3800</v>
      </c>
      <c r="O4" s="6">
        <v>510</v>
      </c>
      <c r="P4" s="7">
        <v>4728</v>
      </c>
      <c r="Q4" s="7">
        <v>7517</v>
      </c>
      <c r="R4" s="7">
        <v>3032</v>
      </c>
      <c r="S4" s="64"/>
      <c r="T4" s="64"/>
      <c r="U4" s="64"/>
    </row>
    <row r="5" spans="1:27" ht="22.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304</v>
      </c>
      <c r="D6" s="377"/>
      <c r="E6" s="377">
        <v>2</v>
      </c>
      <c r="F6" s="377"/>
      <c r="G6" s="377">
        <v>48</v>
      </c>
      <c r="H6" s="377"/>
      <c r="I6" s="377">
        <v>13</v>
      </c>
      <c r="J6" s="377"/>
      <c r="K6" s="377">
        <v>2</v>
      </c>
      <c r="L6" s="377"/>
      <c r="M6" s="95">
        <v>710</v>
      </c>
      <c r="N6" s="9">
        <v>700</v>
      </c>
      <c r="O6" s="9">
        <v>42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463</v>
      </c>
      <c r="D7" s="377"/>
      <c r="E7" s="377">
        <v>5</v>
      </c>
      <c r="F7" s="377"/>
      <c r="G7" s="377">
        <v>0</v>
      </c>
      <c r="H7" s="377"/>
      <c r="I7" s="377">
        <v>6</v>
      </c>
      <c r="J7" s="377"/>
      <c r="K7" s="377">
        <v>0</v>
      </c>
      <c r="L7" s="377"/>
      <c r="M7" s="95">
        <v>319</v>
      </c>
      <c r="N7" s="9">
        <v>158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330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333</v>
      </c>
      <c r="N8" s="9">
        <v>236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170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110</v>
      </c>
      <c r="N9" s="9">
        <v>95</v>
      </c>
      <c r="O9" s="9">
        <v>14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43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64</v>
      </c>
      <c r="N10" s="172">
        <v>64</v>
      </c>
      <c r="O10" s="172">
        <v>58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93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119</v>
      </c>
      <c r="N11" s="9">
        <v>87</v>
      </c>
      <c r="O11" s="9">
        <v>171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1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263</v>
      </c>
      <c r="N12" s="9">
        <v>400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225</v>
      </c>
      <c r="D13" s="377"/>
      <c r="E13" s="377">
        <v>9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200</v>
      </c>
      <c r="N13" s="9">
        <v>91</v>
      </c>
      <c r="O13" s="9">
        <v>26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480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218</v>
      </c>
      <c r="N14" s="9">
        <v>294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4494</v>
      </c>
      <c r="Q15" s="73">
        <v>2243</v>
      </c>
      <c r="R15" s="94">
        <v>3268</v>
      </c>
    </row>
    <row r="16" spans="1:27" ht="15" thickBot="1" x14ac:dyDescent="0.35">
      <c r="A16" s="370" t="s">
        <v>24</v>
      </c>
      <c r="B16" s="371"/>
      <c r="C16" s="372">
        <f>SUM(C4:D15)</f>
        <v>3235</v>
      </c>
      <c r="D16" s="373"/>
      <c r="E16" s="373">
        <f>SUM(E4:F15)</f>
        <v>174</v>
      </c>
      <c r="F16" s="373"/>
      <c r="G16" s="373">
        <f>SUM(G4:H15)</f>
        <v>49</v>
      </c>
      <c r="H16" s="373"/>
      <c r="I16" s="373">
        <f>SUM(I4:J15)</f>
        <v>26</v>
      </c>
      <c r="J16" s="373"/>
      <c r="K16" s="373">
        <f>SUM(K4:L15)</f>
        <v>3</v>
      </c>
      <c r="L16" s="373"/>
      <c r="M16" s="139">
        <f t="shared" ref="M16:R16" si="0">SUM(M4:M15)</f>
        <v>9750</v>
      </c>
      <c r="N16" s="13">
        <f t="shared" si="0"/>
        <v>5925</v>
      </c>
      <c r="O16" s="13">
        <f t="shared" si="0"/>
        <v>867</v>
      </c>
      <c r="P16" s="16">
        <f t="shared" si="0"/>
        <v>9306</v>
      </c>
      <c r="Q16" s="142">
        <f t="shared" si="0"/>
        <v>9802</v>
      </c>
      <c r="R16" s="143">
        <f t="shared" si="0"/>
        <v>6308</v>
      </c>
    </row>
    <row r="17" spans="1:21" x14ac:dyDescent="0.3">
      <c r="A17" s="368" t="s">
        <v>25</v>
      </c>
      <c r="B17" s="368"/>
      <c r="C17" s="369">
        <v>906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7339</v>
      </c>
      <c r="N17" s="131">
        <v>3800</v>
      </c>
      <c r="O17" s="91">
        <v>390</v>
      </c>
      <c r="P17" s="7">
        <v>4728</v>
      </c>
      <c r="Q17" s="7">
        <v>7517</v>
      </c>
      <c r="R17" s="7">
        <v>3032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351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591</v>
      </c>
      <c r="D24" s="377"/>
      <c r="E24" s="609" t="s">
        <v>319</v>
      </c>
      <c r="F24" s="609"/>
      <c r="G24" s="377">
        <v>0</v>
      </c>
      <c r="H24" s="377"/>
      <c r="I24" s="377">
        <v>7</v>
      </c>
      <c r="J24" s="377"/>
      <c r="K24" s="9">
        <v>0</v>
      </c>
      <c r="L24" s="28">
        <v>7</v>
      </c>
      <c r="M24" s="28">
        <v>7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69</v>
      </c>
      <c r="D25" s="377"/>
      <c r="E25" s="609" t="s">
        <v>267</v>
      </c>
      <c r="F25" s="609"/>
      <c r="G25" s="377">
        <v>0</v>
      </c>
      <c r="H25" s="377"/>
      <c r="I25" s="377">
        <v>53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162</v>
      </c>
      <c r="D26" s="377"/>
      <c r="E26" s="609" t="s">
        <v>297</v>
      </c>
      <c r="F26" s="609"/>
      <c r="G26" s="377">
        <v>5</v>
      </c>
      <c r="H26" s="377"/>
      <c r="I26" s="377">
        <v>33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18</v>
      </c>
      <c r="J27" s="377"/>
      <c r="K27" s="9">
        <v>2</v>
      </c>
      <c r="L27" s="28">
        <v>5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370</v>
      </c>
      <c r="D30" s="377"/>
      <c r="E30" s="609" t="s">
        <v>353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360</v>
      </c>
      <c r="D31" s="609"/>
      <c r="E31" s="609" t="s">
        <v>361</v>
      </c>
      <c r="F31" s="609"/>
      <c r="G31" s="377">
        <v>0</v>
      </c>
      <c r="H31" s="377"/>
      <c r="I31" s="377">
        <v>11</v>
      </c>
      <c r="J31" s="377"/>
      <c r="K31" s="9">
        <v>0</v>
      </c>
      <c r="L31" s="28">
        <v>12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351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202</v>
      </c>
      <c r="D38" s="410"/>
      <c r="E38" s="437" t="s">
        <v>355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356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362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358</v>
      </c>
      <c r="D40" s="410"/>
      <c r="E40" s="437" t="s">
        <v>359</v>
      </c>
      <c r="F40" s="438"/>
      <c r="G40" s="409" t="s">
        <v>243</v>
      </c>
      <c r="H40" s="410"/>
      <c r="I40" s="409" t="s">
        <v>202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357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342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328</v>
      </c>
      <c r="F44" s="410"/>
      <c r="G44" s="409" t="s">
        <v>354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99</v>
      </c>
      <c r="D45" s="410"/>
      <c r="E45" s="409" t="s">
        <v>154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306</v>
      </c>
      <c r="D51" s="320"/>
      <c r="E51" s="319" t="s">
        <v>322</v>
      </c>
      <c r="F51" s="320"/>
      <c r="G51" s="319" t="s">
        <v>334</v>
      </c>
      <c r="H51" s="320"/>
      <c r="I51" s="319" t="s">
        <v>351</v>
      </c>
      <c r="J51" s="320"/>
    </row>
    <row r="52" spans="1:10" x14ac:dyDescent="0.3">
      <c r="A52" s="314" t="s">
        <v>59</v>
      </c>
      <c r="B52" s="316"/>
      <c r="C52" s="487">
        <v>8629</v>
      </c>
      <c r="D52" s="487"/>
      <c r="E52" s="487">
        <v>8606</v>
      </c>
      <c r="F52" s="487"/>
      <c r="G52" s="487">
        <v>8583</v>
      </c>
      <c r="H52" s="487"/>
      <c r="I52" s="487">
        <v>8560</v>
      </c>
      <c r="J52" s="487"/>
    </row>
    <row r="53" spans="1:10" ht="15" customHeight="1" x14ac:dyDescent="0.3">
      <c r="A53" s="314" t="s">
        <v>60</v>
      </c>
      <c r="B53" s="316"/>
      <c r="C53" s="311">
        <v>13566</v>
      </c>
      <c r="D53" s="312"/>
      <c r="E53" s="311">
        <v>13654</v>
      </c>
      <c r="F53" s="312"/>
      <c r="G53" s="311">
        <v>13549</v>
      </c>
      <c r="H53" s="312"/>
      <c r="I53" s="311">
        <v>13536</v>
      </c>
      <c r="J53" s="312"/>
    </row>
    <row r="54" spans="1:10" x14ac:dyDescent="0.3">
      <c r="A54" s="314" t="s">
        <v>61</v>
      </c>
      <c r="B54" s="316"/>
      <c r="C54" s="487">
        <v>108656</v>
      </c>
      <c r="D54" s="487"/>
      <c r="E54" s="487">
        <v>108629</v>
      </c>
      <c r="F54" s="487"/>
      <c r="G54" s="487">
        <v>108555</v>
      </c>
      <c r="H54" s="487"/>
      <c r="I54" s="487">
        <v>108521</v>
      </c>
      <c r="J54" s="487"/>
    </row>
    <row r="55" spans="1:10" x14ac:dyDescent="0.3">
      <c r="A55" s="314" t="s">
        <v>62</v>
      </c>
      <c r="B55" s="316"/>
      <c r="C55" s="487">
        <v>208</v>
      </c>
      <c r="D55" s="487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486">
        <v>48706</v>
      </c>
      <c r="D56" s="486"/>
      <c r="E56" s="486">
        <v>48690</v>
      </c>
      <c r="F56" s="486"/>
      <c r="G56" s="486">
        <v>48657</v>
      </c>
      <c r="H56" s="486"/>
      <c r="I56" s="486">
        <v>48639</v>
      </c>
      <c r="J56" s="486"/>
    </row>
    <row r="57" spans="1:10" x14ac:dyDescent="0.3">
      <c r="A57" s="314" t="s">
        <v>64</v>
      </c>
      <c r="B57" s="316"/>
      <c r="C57" s="303">
        <v>5954</v>
      </c>
      <c r="D57" s="283"/>
      <c r="E57" s="303">
        <v>5951</v>
      </c>
      <c r="F57" s="283"/>
      <c r="G57" s="303">
        <v>5942</v>
      </c>
      <c r="H57" s="283"/>
      <c r="I57" s="303">
        <v>5944</v>
      </c>
      <c r="J57" s="283"/>
    </row>
    <row r="58" spans="1:10" x14ac:dyDescent="0.3">
      <c r="A58" s="314" t="s">
        <v>65</v>
      </c>
      <c r="B58" s="316"/>
      <c r="C58" s="486">
        <v>26381</v>
      </c>
      <c r="D58" s="486"/>
      <c r="E58" s="486">
        <v>26381</v>
      </c>
      <c r="F58" s="486"/>
      <c r="G58" s="486">
        <v>26381</v>
      </c>
      <c r="H58" s="486"/>
      <c r="I58" s="486">
        <v>26345</v>
      </c>
      <c r="J58" s="486"/>
    </row>
    <row r="59" spans="1:10" x14ac:dyDescent="0.3">
      <c r="A59" s="314" t="s">
        <v>66</v>
      </c>
      <c r="B59" s="316"/>
      <c r="C59" s="486">
        <v>4501</v>
      </c>
      <c r="D59" s="486"/>
      <c r="E59" s="486">
        <v>4502</v>
      </c>
      <c r="F59" s="486"/>
      <c r="G59" s="486">
        <v>4506</v>
      </c>
      <c r="H59" s="486"/>
      <c r="I59" s="486">
        <v>4509</v>
      </c>
      <c r="J59" s="486"/>
    </row>
    <row r="60" spans="1:10" x14ac:dyDescent="0.3">
      <c r="A60" s="177"/>
      <c r="B60" s="182" t="s">
        <v>251</v>
      </c>
      <c r="C60" s="486">
        <v>1361</v>
      </c>
      <c r="D60" s="486"/>
      <c r="E60" s="486">
        <v>1592</v>
      </c>
      <c r="F60" s="486"/>
      <c r="G60" s="486">
        <v>1813</v>
      </c>
      <c r="H60" s="486"/>
      <c r="I60" s="486">
        <v>2024</v>
      </c>
      <c r="J60" s="486"/>
    </row>
    <row r="61" spans="1:10" x14ac:dyDescent="0.3">
      <c r="A61" s="314" t="s">
        <v>67</v>
      </c>
      <c r="B61" s="315"/>
      <c r="C61" s="307">
        <f>SUM(C52:C60)</f>
        <v>217962</v>
      </c>
      <c r="D61" s="307"/>
      <c r="E61" s="307">
        <f>SUM(E52:E60)</f>
        <v>218213</v>
      </c>
      <c r="F61" s="307"/>
      <c r="G61" s="307">
        <v>218180</v>
      </c>
      <c r="H61" s="307"/>
      <c r="I61" s="307">
        <f>SUM(I52:I60)</f>
        <v>218286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319" t="s">
        <v>306</v>
      </c>
      <c r="D63" s="320"/>
      <c r="E63" s="319" t="s">
        <v>322</v>
      </c>
      <c r="F63" s="320"/>
      <c r="G63" s="319" t="s">
        <v>334</v>
      </c>
      <c r="H63" s="320"/>
      <c r="I63" s="319" t="s">
        <v>351</v>
      </c>
      <c r="J63" s="320"/>
    </row>
    <row r="64" spans="1:10" x14ac:dyDescent="0.3">
      <c r="A64" s="287"/>
      <c r="B64" s="288"/>
      <c r="C64" s="297">
        <v>143902</v>
      </c>
      <c r="D64" s="298"/>
      <c r="E64" s="297">
        <v>144027</v>
      </c>
      <c r="F64" s="298"/>
      <c r="G64" s="297">
        <v>144092</v>
      </c>
      <c r="H64" s="298"/>
      <c r="I64" s="297">
        <v>144166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220</v>
      </c>
      <c r="D69" s="284"/>
      <c r="E69" s="282" t="s">
        <v>250</v>
      </c>
      <c r="F69" s="284"/>
      <c r="G69" s="282" t="s">
        <v>333</v>
      </c>
      <c r="H69" s="284"/>
      <c r="I69" s="282" t="s">
        <v>352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36102</v>
      </c>
      <c r="D72" s="266"/>
      <c r="E72" s="265">
        <v>36368</v>
      </c>
      <c r="F72" s="266"/>
      <c r="G72" s="265">
        <v>36751</v>
      </c>
      <c r="H72" s="266"/>
      <c r="I72" s="265">
        <v>37120</v>
      </c>
      <c r="J72" s="266"/>
    </row>
    <row r="73" spans="1:10" x14ac:dyDescent="0.3">
      <c r="A73" s="269" t="s">
        <v>16</v>
      </c>
      <c r="B73" s="270"/>
      <c r="C73" s="265">
        <v>8166</v>
      </c>
      <c r="D73" s="266"/>
      <c r="E73" s="265">
        <v>8201</v>
      </c>
      <c r="F73" s="266"/>
      <c r="G73" s="265">
        <v>8267</v>
      </c>
      <c r="H73" s="266"/>
      <c r="I73" s="265">
        <v>8384</v>
      </c>
      <c r="J73" s="266"/>
    </row>
    <row r="74" spans="1:10" x14ac:dyDescent="0.3">
      <c r="A74" s="267" t="s">
        <v>17</v>
      </c>
      <c r="B74" s="268"/>
      <c r="C74" s="265">
        <v>7599</v>
      </c>
      <c r="D74" s="266"/>
      <c r="E74" s="265">
        <v>7219</v>
      </c>
      <c r="F74" s="266"/>
      <c r="G74" s="265">
        <v>7311</v>
      </c>
      <c r="H74" s="266"/>
      <c r="I74" s="265">
        <v>7423</v>
      </c>
      <c r="J74" s="266"/>
    </row>
    <row r="75" spans="1:10" x14ac:dyDescent="0.3">
      <c r="A75" s="267" t="s">
        <v>75</v>
      </c>
      <c r="B75" s="268"/>
      <c r="C75" s="265">
        <v>2032</v>
      </c>
      <c r="D75" s="266"/>
      <c r="E75" s="265">
        <v>2508</v>
      </c>
      <c r="F75" s="266"/>
      <c r="G75" s="265">
        <v>2547</v>
      </c>
      <c r="H75" s="266"/>
      <c r="I75" s="265">
        <v>2597</v>
      </c>
      <c r="J75" s="266"/>
    </row>
    <row r="76" spans="1:10" x14ac:dyDescent="0.3">
      <c r="A76" s="269" t="s">
        <v>18</v>
      </c>
      <c r="B76" s="270"/>
      <c r="C76" s="265">
        <v>6107</v>
      </c>
      <c r="D76" s="266"/>
      <c r="E76" s="265">
        <v>6196</v>
      </c>
      <c r="F76" s="266"/>
      <c r="G76" s="265">
        <v>6380</v>
      </c>
      <c r="H76" s="266"/>
      <c r="I76" s="265">
        <v>6522</v>
      </c>
      <c r="J76" s="266"/>
    </row>
    <row r="77" spans="1:10" x14ac:dyDescent="0.3">
      <c r="A77" s="267" t="s">
        <v>19</v>
      </c>
      <c r="B77" s="268"/>
      <c r="C77" s="265">
        <v>5399</v>
      </c>
      <c r="D77" s="266"/>
      <c r="E77" s="265">
        <v>5419</v>
      </c>
      <c r="F77" s="266"/>
      <c r="G77" s="265">
        <v>5434</v>
      </c>
      <c r="H77" s="266"/>
      <c r="I77" s="265">
        <v>5465</v>
      </c>
      <c r="J77" s="266"/>
    </row>
    <row r="78" spans="1:10" x14ac:dyDescent="0.3">
      <c r="A78" s="269" t="s">
        <v>20</v>
      </c>
      <c r="B78" s="270"/>
      <c r="C78" s="265">
        <v>9443</v>
      </c>
      <c r="D78" s="266"/>
      <c r="E78" s="265">
        <v>9569</v>
      </c>
      <c r="F78" s="266"/>
      <c r="G78" s="265">
        <v>9704</v>
      </c>
      <c r="H78" s="266"/>
      <c r="I78" s="265">
        <v>9856</v>
      </c>
      <c r="J78" s="266"/>
    </row>
    <row r="79" spans="1:10" x14ac:dyDescent="0.3">
      <c r="A79" s="267" t="s">
        <v>21</v>
      </c>
      <c r="B79" s="268"/>
      <c r="C79" s="265">
        <v>1839</v>
      </c>
      <c r="D79" s="266"/>
      <c r="E79" s="265">
        <v>1853</v>
      </c>
      <c r="F79" s="266"/>
      <c r="G79" s="265">
        <v>1858</v>
      </c>
      <c r="H79" s="266"/>
      <c r="I79" s="265">
        <v>1876</v>
      </c>
      <c r="J79" s="266"/>
    </row>
    <row r="80" spans="1:10" x14ac:dyDescent="0.3">
      <c r="A80" s="269" t="s">
        <v>22</v>
      </c>
      <c r="B80" s="270"/>
      <c r="C80" s="265">
        <v>7215</v>
      </c>
      <c r="D80" s="266"/>
      <c r="E80" s="265">
        <v>7327</v>
      </c>
      <c r="F80" s="266"/>
      <c r="G80" s="265">
        <v>7442</v>
      </c>
      <c r="H80" s="266"/>
      <c r="I80" s="265">
        <v>7584</v>
      </c>
      <c r="J80" s="266"/>
    </row>
    <row r="81" spans="1:10" x14ac:dyDescent="0.3">
      <c r="A81" s="263" t="s">
        <v>76</v>
      </c>
      <c r="B81" s="264"/>
      <c r="C81" s="265">
        <f>SUM(C72:C80)</f>
        <v>83902</v>
      </c>
      <c r="D81" s="266"/>
      <c r="E81" s="265">
        <v>84660</v>
      </c>
      <c r="F81" s="266"/>
      <c r="G81" s="265">
        <f>SUM(G72:G80)</f>
        <v>85694</v>
      </c>
      <c r="H81" s="266"/>
      <c r="I81" s="265">
        <f>SUM(I72:I80)</f>
        <v>86827</v>
      </c>
      <c r="J81" s="266"/>
    </row>
  </sheetData>
  <mergeCells count="333">
    <mergeCell ref="A81:B81"/>
    <mergeCell ref="C81:D81"/>
    <mergeCell ref="E81:F81"/>
    <mergeCell ref="G81:H81"/>
    <mergeCell ref="I81:J81"/>
    <mergeCell ref="K9:L9"/>
    <mergeCell ref="I9:J9"/>
    <mergeCell ref="G9:H9"/>
    <mergeCell ref="E9:F9"/>
    <mergeCell ref="C9:D9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D887-338C-49D1-8FA1-AF4A460A7EB3}">
  <dimension ref="A1:AA82"/>
  <sheetViews>
    <sheetView topLeftCell="A20" workbookViewId="0">
      <selection activeCell="C37" sqref="A37:XFD37"/>
    </sheetView>
  </sheetViews>
  <sheetFormatPr defaultRowHeight="14.4" x14ac:dyDescent="0.3"/>
  <sheetData>
    <row r="1" spans="1:27" ht="30.75" customHeight="1" x14ac:dyDescent="0.3">
      <c r="A1" s="699" t="s">
        <v>0</v>
      </c>
      <c r="B1" s="700"/>
      <c r="C1" s="703" t="s">
        <v>363</v>
      </c>
      <c r="D1" s="704"/>
      <c r="E1" s="691" t="s">
        <v>365</v>
      </c>
      <c r="F1" s="692"/>
      <c r="G1" s="691" t="s">
        <v>365</v>
      </c>
      <c r="H1" s="692"/>
      <c r="I1" s="691" t="s">
        <v>365</v>
      </c>
      <c r="J1" s="692"/>
      <c r="K1" s="691" t="s">
        <v>365</v>
      </c>
      <c r="L1" s="692"/>
      <c r="M1" s="730" t="s">
        <v>239</v>
      </c>
      <c r="N1" s="183" t="s">
        <v>370</v>
      </c>
      <c r="O1" s="183" t="s">
        <v>370</v>
      </c>
      <c r="P1" s="721" t="s">
        <v>8</v>
      </c>
      <c r="Q1" s="721" t="s">
        <v>9</v>
      </c>
      <c r="R1" s="721" t="s">
        <v>10</v>
      </c>
      <c r="S1" s="185"/>
      <c r="T1" s="185"/>
      <c r="U1" s="185"/>
      <c r="V1" s="185"/>
      <c r="W1" s="185"/>
      <c r="X1" s="185"/>
      <c r="Y1" s="185"/>
      <c r="Z1" s="185"/>
      <c r="AA1" s="185"/>
    </row>
    <row r="2" spans="1:27" ht="29.4" thickBot="1" x14ac:dyDescent="0.35">
      <c r="A2" s="732"/>
      <c r="B2" s="733"/>
      <c r="C2" s="734" t="s">
        <v>364</v>
      </c>
      <c r="D2" s="735"/>
      <c r="E2" s="728" t="s">
        <v>366</v>
      </c>
      <c r="F2" s="729"/>
      <c r="G2" s="728" t="s">
        <v>367</v>
      </c>
      <c r="H2" s="729"/>
      <c r="I2" s="728" t="s">
        <v>368</v>
      </c>
      <c r="J2" s="729"/>
      <c r="K2" s="728" t="s">
        <v>369</v>
      </c>
      <c r="L2" s="729"/>
      <c r="M2" s="731"/>
      <c r="N2" s="184" t="s">
        <v>371</v>
      </c>
      <c r="O2" s="184" t="s">
        <v>372</v>
      </c>
      <c r="P2" s="722"/>
      <c r="Q2" s="722"/>
      <c r="R2" s="722"/>
      <c r="S2" s="186"/>
      <c r="T2" s="185"/>
      <c r="U2" s="185"/>
      <c r="V2" s="185"/>
      <c r="W2" s="185"/>
      <c r="X2" s="185"/>
      <c r="Y2" s="185"/>
      <c r="Z2" s="185"/>
      <c r="AA2" s="185"/>
    </row>
    <row r="3" spans="1:27" ht="15" thickBot="1" x14ac:dyDescent="0.35">
      <c r="A3" s="685" t="s">
        <v>11</v>
      </c>
      <c r="B3" s="658"/>
      <c r="C3" s="723" t="s">
        <v>373</v>
      </c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5"/>
      <c r="R3" s="187"/>
      <c r="S3" s="186"/>
      <c r="T3" s="186"/>
      <c r="U3" s="188"/>
      <c r="V3" s="185"/>
      <c r="W3" s="185"/>
      <c r="X3" s="185"/>
      <c r="Y3" s="185"/>
      <c r="Z3" s="185"/>
      <c r="AA3" s="185"/>
    </row>
    <row r="4" spans="1:27" ht="15" thickBot="1" x14ac:dyDescent="0.35">
      <c r="A4" s="718" t="s">
        <v>13</v>
      </c>
      <c r="B4" s="719"/>
      <c r="C4" s="714">
        <v>11306</v>
      </c>
      <c r="D4" s="715"/>
      <c r="E4" s="726">
        <v>158</v>
      </c>
      <c r="F4" s="727"/>
      <c r="G4" s="726">
        <v>0</v>
      </c>
      <c r="H4" s="727"/>
      <c r="I4" s="726">
        <v>0</v>
      </c>
      <c r="J4" s="727"/>
      <c r="K4" s="726">
        <v>0</v>
      </c>
      <c r="L4" s="727"/>
      <c r="M4" s="189">
        <v>7414</v>
      </c>
      <c r="N4" s="190">
        <v>3800</v>
      </c>
      <c r="O4" s="190">
        <v>410</v>
      </c>
      <c r="P4" s="190">
        <v>4703</v>
      </c>
      <c r="Q4" s="190">
        <v>6659</v>
      </c>
      <c r="R4" s="191">
        <v>2233</v>
      </c>
      <c r="S4" s="188"/>
      <c r="T4" s="188"/>
      <c r="U4" s="188"/>
      <c r="V4" s="185"/>
      <c r="W4" s="185"/>
      <c r="X4" s="185"/>
      <c r="Y4" s="185"/>
      <c r="Z4" s="185"/>
      <c r="AA4" s="185"/>
    </row>
    <row r="5" spans="1:27" ht="30" customHeight="1" thickBot="1" x14ac:dyDescent="0.35">
      <c r="A5" s="718" t="s">
        <v>14</v>
      </c>
      <c r="B5" s="719"/>
      <c r="C5" s="716">
        <v>528</v>
      </c>
      <c r="D5" s="717"/>
      <c r="E5" s="716">
        <v>10</v>
      </c>
      <c r="F5" s="717"/>
      <c r="G5" s="716">
        <v>5</v>
      </c>
      <c r="H5" s="717"/>
      <c r="I5" s="716">
        <v>9</v>
      </c>
      <c r="J5" s="717"/>
      <c r="K5" s="716">
        <v>1</v>
      </c>
      <c r="L5" s="717"/>
      <c r="M5" s="189">
        <v>0</v>
      </c>
      <c r="N5" s="190">
        <v>25</v>
      </c>
      <c r="O5" s="190">
        <v>0</v>
      </c>
      <c r="P5" s="190">
        <v>0</v>
      </c>
      <c r="Q5" s="190">
        <v>0</v>
      </c>
      <c r="R5" s="190">
        <v>0</v>
      </c>
      <c r="S5" s="188"/>
      <c r="T5" s="188"/>
      <c r="U5" s="188"/>
      <c r="V5" s="185"/>
      <c r="W5" s="185"/>
      <c r="X5" s="185"/>
      <c r="Y5" s="185"/>
      <c r="Z5" s="185"/>
      <c r="AA5" s="185"/>
    </row>
    <row r="6" spans="1:27" ht="15" thickBot="1" x14ac:dyDescent="0.35">
      <c r="A6" s="677" t="s">
        <v>15</v>
      </c>
      <c r="B6" s="720"/>
      <c r="C6" s="698">
        <v>253</v>
      </c>
      <c r="D6" s="697"/>
      <c r="E6" s="698">
        <v>2</v>
      </c>
      <c r="F6" s="697"/>
      <c r="G6" s="698">
        <v>48</v>
      </c>
      <c r="H6" s="697"/>
      <c r="I6" s="698">
        <v>13</v>
      </c>
      <c r="J6" s="697"/>
      <c r="K6" s="698">
        <v>2</v>
      </c>
      <c r="L6" s="697"/>
      <c r="M6" s="192">
        <v>579</v>
      </c>
      <c r="N6" s="193">
        <v>626</v>
      </c>
      <c r="O6" s="193">
        <v>29</v>
      </c>
      <c r="P6" s="193">
        <v>0</v>
      </c>
      <c r="Q6" s="193">
        <v>0</v>
      </c>
      <c r="R6" s="193">
        <v>0</v>
      </c>
      <c r="S6" s="188"/>
      <c r="T6" s="188"/>
      <c r="U6" s="188"/>
      <c r="V6" s="185"/>
      <c r="W6" s="185"/>
      <c r="X6" s="185"/>
      <c r="Y6" s="185"/>
      <c r="Z6" s="185"/>
      <c r="AA6" s="185"/>
    </row>
    <row r="7" spans="1:27" ht="15" thickBot="1" x14ac:dyDescent="0.35">
      <c r="A7" s="677" t="s">
        <v>16</v>
      </c>
      <c r="B7" s="720"/>
      <c r="C7" s="698">
        <v>425</v>
      </c>
      <c r="D7" s="697"/>
      <c r="E7" s="698">
        <v>5</v>
      </c>
      <c r="F7" s="697"/>
      <c r="G7" s="698">
        <v>0</v>
      </c>
      <c r="H7" s="697"/>
      <c r="I7" s="698">
        <v>6</v>
      </c>
      <c r="J7" s="697"/>
      <c r="K7" s="698">
        <v>0</v>
      </c>
      <c r="L7" s="697"/>
      <c r="M7" s="192">
        <v>295</v>
      </c>
      <c r="N7" s="193">
        <v>135</v>
      </c>
      <c r="O7" s="193">
        <v>25</v>
      </c>
      <c r="P7" s="193">
        <v>0</v>
      </c>
      <c r="Q7" s="193">
        <v>0</v>
      </c>
      <c r="R7" s="193">
        <v>2</v>
      </c>
      <c r="S7" s="188"/>
      <c r="T7" s="188"/>
      <c r="U7" s="188"/>
      <c r="V7" s="185"/>
      <c r="W7" s="185"/>
      <c r="X7" s="185"/>
      <c r="Y7" s="185"/>
      <c r="Z7" s="185"/>
      <c r="AA7" s="185"/>
    </row>
    <row r="8" spans="1:27" ht="15" thickBot="1" x14ac:dyDescent="0.35">
      <c r="A8" s="677" t="s">
        <v>17</v>
      </c>
      <c r="B8" s="720"/>
      <c r="C8" s="698">
        <v>290</v>
      </c>
      <c r="D8" s="697"/>
      <c r="E8" s="698">
        <v>0</v>
      </c>
      <c r="F8" s="697"/>
      <c r="G8" s="698">
        <v>0</v>
      </c>
      <c r="H8" s="697"/>
      <c r="I8" s="698">
        <v>0</v>
      </c>
      <c r="J8" s="697"/>
      <c r="K8" s="698">
        <v>0</v>
      </c>
      <c r="L8" s="697"/>
      <c r="M8" s="192">
        <v>298</v>
      </c>
      <c r="N8" s="193">
        <v>205</v>
      </c>
      <c r="O8" s="193">
        <v>0</v>
      </c>
      <c r="P8" s="193">
        <v>2</v>
      </c>
      <c r="Q8" s="193">
        <v>12</v>
      </c>
      <c r="R8" s="193">
        <v>1</v>
      </c>
      <c r="S8" s="188"/>
      <c r="T8" s="188"/>
      <c r="U8" s="188"/>
      <c r="V8" s="185"/>
      <c r="W8" s="185"/>
      <c r="X8" s="185"/>
      <c r="Y8" s="185"/>
      <c r="Z8" s="185"/>
      <c r="AA8" s="185"/>
    </row>
    <row r="9" spans="1:27" ht="15" thickBot="1" x14ac:dyDescent="0.35">
      <c r="A9" s="677" t="s">
        <v>18</v>
      </c>
      <c r="B9" s="720"/>
      <c r="C9" s="698">
        <v>148</v>
      </c>
      <c r="D9" s="697"/>
      <c r="E9" s="698">
        <v>0</v>
      </c>
      <c r="F9" s="697"/>
      <c r="G9" s="698">
        <v>0</v>
      </c>
      <c r="H9" s="697"/>
      <c r="I9" s="698">
        <v>0</v>
      </c>
      <c r="J9" s="697"/>
      <c r="K9" s="698">
        <v>0</v>
      </c>
      <c r="L9" s="697"/>
      <c r="M9" s="192">
        <v>98</v>
      </c>
      <c r="N9" s="193">
        <v>94</v>
      </c>
      <c r="O9" s="193">
        <v>30</v>
      </c>
      <c r="P9" s="193">
        <v>0</v>
      </c>
      <c r="Q9" s="193">
        <v>0</v>
      </c>
      <c r="R9" s="193">
        <v>0</v>
      </c>
      <c r="S9" s="188"/>
      <c r="T9" s="188"/>
      <c r="U9" s="188"/>
      <c r="V9" s="185"/>
      <c r="W9" s="185"/>
      <c r="X9" s="185"/>
      <c r="Y9" s="185"/>
      <c r="Z9" s="185"/>
      <c r="AA9" s="185"/>
    </row>
    <row r="10" spans="1:27" ht="15" thickBot="1" x14ac:dyDescent="0.35">
      <c r="A10" s="677" t="s">
        <v>262</v>
      </c>
      <c r="B10" s="678"/>
      <c r="C10" s="679">
        <v>35</v>
      </c>
      <c r="D10" s="697"/>
      <c r="E10" s="698">
        <v>0</v>
      </c>
      <c r="F10" s="697"/>
      <c r="G10" s="698">
        <v>0</v>
      </c>
      <c r="H10" s="697"/>
      <c r="I10" s="698">
        <v>0</v>
      </c>
      <c r="J10" s="697"/>
      <c r="K10" s="698">
        <v>0</v>
      </c>
      <c r="L10" s="697"/>
      <c r="M10" s="192">
        <v>44</v>
      </c>
      <c r="N10" s="193">
        <v>52</v>
      </c>
      <c r="O10" s="193">
        <v>58</v>
      </c>
      <c r="P10" s="193">
        <v>0</v>
      </c>
      <c r="Q10" s="193">
        <v>0</v>
      </c>
      <c r="R10" s="193">
        <v>0</v>
      </c>
      <c r="S10" s="188"/>
      <c r="T10" s="188"/>
      <c r="U10" s="188"/>
      <c r="V10" s="188"/>
      <c r="W10" s="185"/>
      <c r="X10" s="185"/>
      <c r="Y10" s="185"/>
      <c r="Z10" s="192"/>
      <c r="AA10" s="192"/>
    </row>
    <row r="11" spans="1:27" ht="15" thickBot="1" x14ac:dyDescent="0.35">
      <c r="A11" s="677" t="s">
        <v>19</v>
      </c>
      <c r="B11" s="720"/>
      <c r="C11" s="698">
        <v>87</v>
      </c>
      <c r="D11" s="697"/>
      <c r="E11" s="698">
        <v>0</v>
      </c>
      <c r="F11" s="697"/>
      <c r="G11" s="698">
        <v>0</v>
      </c>
      <c r="H11" s="697"/>
      <c r="I11" s="698">
        <v>0</v>
      </c>
      <c r="J11" s="697"/>
      <c r="K11" s="698">
        <v>0</v>
      </c>
      <c r="L11" s="697"/>
      <c r="M11" s="192">
        <v>119</v>
      </c>
      <c r="N11" s="193">
        <v>83</v>
      </c>
      <c r="O11" s="193">
        <v>102</v>
      </c>
      <c r="P11" s="193">
        <v>82</v>
      </c>
      <c r="Q11" s="193">
        <v>14</v>
      </c>
      <c r="R11" s="193">
        <v>0</v>
      </c>
      <c r="S11" s="188"/>
      <c r="T11" s="185"/>
      <c r="U11" s="188"/>
      <c r="V11" s="188"/>
      <c r="W11" s="185"/>
      <c r="X11" s="185"/>
      <c r="Y11" s="185"/>
      <c r="Z11" s="192"/>
      <c r="AA11" s="192"/>
    </row>
    <row r="12" spans="1:27" ht="15" thickBot="1" x14ac:dyDescent="0.35">
      <c r="A12" s="677" t="s">
        <v>20</v>
      </c>
      <c r="B12" s="720"/>
      <c r="C12" s="698">
        <v>0</v>
      </c>
      <c r="D12" s="697"/>
      <c r="E12" s="698">
        <v>0</v>
      </c>
      <c r="F12" s="697"/>
      <c r="G12" s="698">
        <v>0</v>
      </c>
      <c r="H12" s="697"/>
      <c r="I12" s="698">
        <v>0</v>
      </c>
      <c r="J12" s="697"/>
      <c r="K12" s="698">
        <v>0</v>
      </c>
      <c r="L12" s="697"/>
      <c r="M12" s="192">
        <v>221</v>
      </c>
      <c r="N12" s="193">
        <v>360</v>
      </c>
      <c r="O12" s="193">
        <v>10</v>
      </c>
      <c r="P12" s="193">
        <v>0</v>
      </c>
      <c r="Q12" s="193">
        <v>16</v>
      </c>
      <c r="R12" s="193">
        <v>5</v>
      </c>
      <c r="S12" s="185"/>
      <c r="T12" s="185"/>
      <c r="U12" s="185"/>
      <c r="V12" s="185"/>
      <c r="W12" s="185"/>
      <c r="X12" s="185"/>
      <c r="Y12" s="185"/>
      <c r="Z12" s="185"/>
      <c r="AA12" s="185"/>
    </row>
    <row r="13" spans="1:27" ht="15" thickBot="1" x14ac:dyDescent="0.35">
      <c r="A13" s="677" t="s">
        <v>21</v>
      </c>
      <c r="B13" s="720"/>
      <c r="C13" s="698">
        <v>202</v>
      </c>
      <c r="D13" s="697"/>
      <c r="E13" s="698">
        <v>9</v>
      </c>
      <c r="F13" s="697"/>
      <c r="G13" s="698">
        <v>1</v>
      </c>
      <c r="H13" s="697"/>
      <c r="I13" s="698">
        <v>7</v>
      </c>
      <c r="J13" s="697"/>
      <c r="K13" s="698">
        <v>1</v>
      </c>
      <c r="L13" s="697"/>
      <c r="M13" s="192">
        <v>165</v>
      </c>
      <c r="N13" s="193">
        <v>89</v>
      </c>
      <c r="O13" s="193">
        <v>26</v>
      </c>
      <c r="P13" s="193">
        <v>0</v>
      </c>
      <c r="Q13" s="193">
        <v>0</v>
      </c>
      <c r="R13" s="193">
        <v>0</v>
      </c>
      <c r="S13" s="185"/>
      <c r="T13" s="185"/>
      <c r="U13" s="185"/>
      <c r="V13" s="185"/>
      <c r="W13" s="185"/>
      <c r="X13" s="185"/>
      <c r="Y13" s="185"/>
      <c r="Z13" s="185"/>
      <c r="AA13" s="185"/>
    </row>
    <row r="14" spans="1:27" ht="15" thickBot="1" x14ac:dyDescent="0.35">
      <c r="A14" s="677" t="s">
        <v>22</v>
      </c>
      <c r="B14" s="720"/>
      <c r="C14" s="698">
        <v>450</v>
      </c>
      <c r="D14" s="697"/>
      <c r="E14" s="698">
        <v>0</v>
      </c>
      <c r="F14" s="697"/>
      <c r="G14" s="698">
        <v>0</v>
      </c>
      <c r="H14" s="697"/>
      <c r="I14" s="698">
        <v>0</v>
      </c>
      <c r="J14" s="697"/>
      <c r="K14" s="698">
        <v>0</v>
      </c>
      <c r="L14" s="697"/>
      <c r="M14" s="192">
        <v>164</v>
      </c>
      <c r="N14" s="193">
        <v>211</v>
      </c>
      <c r="O14" s="193">
        <v>11</v>
      </c>
      <c r="P14" s="193">
        <v>0</v>
      </c>
      <c r="Q14" s="193">
        <v>0</v>
      </c>
      <c r="R14" s="193">
        <v>0</v>
      </c>
      <c r="S14" s="185"/>
      <c r="T14" s="185"/>
      <c r="U14" s="185"/>
      <c r="V14" s="185"/>
      <c r="W14" s="188"/>
      <c r="X14" s="188"/>
      <c r="Y14" s="185"/>
      <c r="Z14" s="185"/>
      <c r="AA14" s="185"/>
    </row>
    <row r="15" spans="1:27" ht="30" customHeight="1" thickBot="1" x14ac:dyDescent="0.35">
      <c r="A15" s="718" t="s">
        <v>23</v>
      </c>
      <c r="B15" s="719"/>
      <c r="C15" s="698">
        <v>0</v>
      </c>
      <c r="D15" s="697"/>
      <c r="E15" s="698">
        <v>0</v>
      </c>
      <c r="F15" s="697"/>
      <c r="G15" s="698">
        <v>0</v>
      </c>
      <c r="H15" s="697"/>
      <c r="I15" s="698">
        <v>0</v>
      </c>
      <c r="J15" s="697"/>
      <c r="K15" s="698">
        <v>0</v>
      </c>
      <c r="L15" s="697"/>
      <c r="M15" s="194">
        <v>0</v>
      </c>
      <c r="N15" s="195">
        <v>0</v>
      </c>
      <c r="O15" s="195">
        <v>0</v>
      </c>
      <c r="P15" s="196">
        <v>3951</v>
      </c>
      <c r="Q15" s="196">
        <v>2656</v>
      </c>
      <c r="R15" s="196">
        <v>3644</v>
      </c>
      <c r="S15" s="185"/>
      <c r="T15" s="185"/>
      <c r="U15" s="185"/>
      <c r="V15" s="185"/>
      <c r="W15" s="185"/>
      <c r="X15" s="185"/>
      <c r="Y15" s="185"/>
      <c r="Z15" s="185"/>
      <c r="AA15" s="185"/>
    </row>
    <row r="16" spans="1:27" ht="15" thickBot="1" x14ac:dyDescent="0.35">
      <c r="A16" s="672" t="s">
        <v>24</v>
      </c>
      <c r="B16" s="673"/>
      <c r="C16" s="672">
        <v>13724</v>
      </c>
      <c r="D16" s="673"/>
      <c r="E16" s="672">
        <v>184</v>
      </c>
      <c r="F16" s="673"/>
      <c r="G16" s="672">
        <v>54</v>
      </c>
      <c r="H16" s="673"/>
      <c r="I16" s="672">
        <v>35</v>
      </c>
      <c r="J16" s="673"/>
      <c r="K16" s="672">
        <v>4</v>
      </c>
      <c r="L16" s="673"/>
      <c r="M16" s="198">
        <v>9397</v>
      </c>
      <c r="N16" s="199">
        <v>5680</v>
      </c>
      <c r="O16" s="199">
        <v>701</v>
      </c>
      <c r="P16" s="199">
        <v>8738</v>
      </c>
      <c r="Q16" s="197">
        <v>9357</v>
      </c>
      <c r="R16" s="200">
        <v>5885</v>
      </c>
      <c r="S16" s="185"/>
      <c r="T16" s="185"/>
      <c r="U16" s="185"/>
      <c r="V16" s="185"/>
      <c r="W16" s="185"/>
      <c r="X16" s="185"/>
      <c r="Y16" s="185"/>
      <c r="Z16" s="185"/>
      <c r="AA16" s="185"/>
    </row>
    <row r="17" spans="1:27" ht="15" thickBot="1" x14ac:dyDescent="0.35">
      <c r="A17" s="714" t="s">
        <v>25</v>
      </c>
      <c r="B17" s="715"/>
      <c r="C17" s="716">
        <v>10956</v>
      </c>
      <c r="D17" s="717"/>
      <c r="E17" s="714">
        <v>158</v>
      </c>
      <c r="F17" s="715"/>
      <c r="G17" s="714">
        <v>0</v>
      </c>
      <c r="H17" s="715"/>
      <c r="I17" s="714">
        <v>0</v>
      </c>
      <c r="J17" s="715"/>
      <c r="K17" s="714">
        <v>0</v>
      </c>
      <c r="L17" s="715"/>
      <c r="M17" s="201">
        <v>7179</v>
      </c>
      <c r="N17" s="201">
        <v>3700</v>
      </c>
      <c r="O17" s="201">
        <v>360</v>
      </c>
      <c r="P17" s="190">
        <v>4703</v>
      </c>
      <c r="Q17" s="190">
        <v>6659</v>
      </c>
      <c r="R17" s="190">
        <v>2233</v>
      </c>
      <c r="S17" s="710"/>
      <c r="T17" s="711"/>
      <c r="U17" s="711"/>
      <c r="V17" s="185"/>
      <c r="W17" s="185"/>
      <c r="X17" s="185"/>
      <c r="Y17" s="185"/>
      <c r="Z17" s="185"/>
      <c r="AA17" s="185"/>
    </row>
    <row r="18" spans="1:27" x14ac:dyDescent="0.3">
      <c r="A18" s="712" t="s">
        <v>374</v>
      </c>
      <c r="B18" s="712"/>
      <c r="C18" s="712"/>
      <c r="D18" s="712"/>
      <c r="E18" s="712"/>
      <c r="F18" s="712"/>
      <c r="G18" s="712"/>
      <c r="H18" s="712"/>
      <c r="I18" s="712"/>
      <c r="J18" s="712"/>
      <c r="K18" s="712"/>
      <c r="L18" s="712"/>
      <c r="M18" s="712"/>
      <c r="N18" s="712"/>
      <c r="O18" s="712"/>
      <c r="P18" s="712"/>
      <c r="Q18" s="712"/>
      <c r="R18" s="185"/>
      <c r="S18" s="188"/>
      <c r="T18" s="188"/>
      <c r="U18" s="202"/>
      <c r="V18" s="185"/>
      <c r="W18" s="185"/>
      <c r="X18" s="185"/>
      <c r="Y18" s="185"/>
      <c r="Z18" s="185"/>
      <c r="AA18" s="185"/>
    </row>
    <row r="19" spans="1:27" x14ac:dyDescent="0.3">
      <c r="A19" s="713"/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185"/>
      <c r="S19" s="188"/>
      <c r="T19" s="188"/>
      <c r="U19" s="202"/>
      <c r="V19" s="185"/>
      <c r="W19" s="185"/>
      <c r="X19" s="185"/>
      <c r="Y19" s="185"/>
      <c r="Z19" s="185"/>
      <c r="AA19" s="185"/>
    </row>
    <row r="20" spans="1:27" ht="15" thickBot="1" x14ac:dyDescent="0.35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8"/>
      <c r="T20" s="188"/>
      <c r="U20" s="202"/>
      <c r="V20" s="185"/>
      <c r="W20" s="185"/>
      <c r="X20" s="185"/>
      <c r="Y20" s="185"/>
      <c r="Z20" s="185"/>
      <c r="AA20" s="185"/>
    </row>
    <row r="21" spans="1:27" ht="15.75" customHeight="1" x14ac:dyDescent="0.3">
      <c r="A21" s="699" t="s">
        <v>375</v>
      </c>
      <c r="B21" s="700"/>
      <c r="C21" s="703" t="s">
        <v>376</v>
      </c>
      <c r="D21" s="704"/>
      <c r="E21" s="691" t="s">
        <v>365</v>
      </c>
      <c r="F21" s="692"/>
      <c r="G21" s="691" t="s">
        <v>365</v>
      </c>
      <c r="H21" s="692"/>
      <c r="I21" s="693" t="s">
        <v>370</v>
      </c>
      <c r="J21" s="694"/>
      <c r="K21" s="183" t="s">
        <v>370</v>
      </c>
      <c r="L21" s="204"/>
      <c r="M21" s="205"/>
      <c r="N21" s="185"/>
      <c r="O21" s="709"/>
      <c r="P21" s="709"/>
      <c r="Q21" s="185"/>
      <c r="R21" s="185"/>
      <c r="S21" s="188"/>
      <c r="T21" s="188"/>
      <c r="U21" s="202"/>
      <c r="V21" s="185"/>
      <c r="W21" s="185"/>
      <c r="X21" s="185"/>
      <c r="Y21" s="185"/>
      <c r="Z21" s="185"/>
      <c r="AA21" s="185"/>
    </row>
    <row r="22" spans="1:27" ht="30" customHeight="1" thickBot="1" x14ac:dyDescent="0.35">
      <c r="A22" s="701"/>
      <c r="B22" s="702"/>
      <c r="C22" s="705" t="s">
        <v>377</v>
      </c>
      <c r="D22" s="706"/>
      <c r="E22" s="689" t="s">
        <v>378</v>
      </c>
      <c r="F22" s="690"/>
      <c r="G22" s="689" t="s">
        <v>367</v>
      </c>
      <c r="H22" s="690"/>
      <c r="I22" s="695" t="s">
        <v>371</v>
      </c>
      <c r="J22" s="696"/>
      <c r="K22" s="203" t="s">
        <v>372</v>
      </c>
      <c r="L22" s="207" t="s">
        <v>379</v>
      </c>
      <c r="M22" s="206" t="s">
        <v>379</v>
      </c>
      <c r="N22" s="185"/>
      <c r="O22" s="185"/>
      <c r="P22" s="185"/>
      <c r="Q22" s="185"/>
      <c r="R22" s="185"/>
      <c r="S22" s="188"/>
      <c r="T22" s="188"/>
      <c r="U22" s="202"/>
      <c r="V22" s="185"/>
      <c r="W22" s="185"/>
      <c r="X22" s="185"/>
      <c r="Y22" s="185"/>
      <c r="Z22" s="185"/>
      <c r="AA22" s="185"/>
    </row>
    <row r="23" spans="1:27" ht="15" thickBot="1" x14ac:dyDescent="0.35">
      <c r="A23" s="685" t="s">
        <v>11</v>
      </c>
      <c r="B23" s="686"/>
      <c r="C23" s="707" t="s">
        <v>373</v>
      </c>
      <c r="D23" s="708"/>
      <c r="E23" s="708"/>
      <c r="F23" s="708"/>
      <c r="G23" s="708"/>
      <c r="H23" s="708"/>
      <c r="I23" s="708"/>
      <c r="J23" s="708"/>
      <c r="K23" s="708"/>
      <c r="L23" s="208"/>
      <c r="M23" s="209"/>
      <c r="N23" s="185"/>
      <c r="O23" s="185"/>
      <c r="P23" s="185"/>
      <c r="Q23" s="185"/>
      <c r="R23" s="185"/>
      <c r="S23" s="188"/>
      <c r="T23" s="188"/>
      <c r="U23" s="202"/>
      <c r="V23" s="185"/>
      <c r="W23" s="185"/>
      <c r="X23" s="185"/>
      <c r="Y23" s="185"/>
      <c r="Z23" s="185"/>
      <c r="AA23" s="185"/>
    </row>
    <row r="24" spans="1:27" ht="15" thickBot="1" x14ac:dyDescent="0.35">
      <c r="A24" s="677" t="s">
        <v>15</v>
      </c>
      <c r="B24" s="678"/>
      <c r="C24" s="679">
        <v>605</v>
      </c>
      <c r="D24" s="697"/>
      <c r="E24" s="698">
        <v>74</v>
      </c>
      <c r="F24" s="697"/>
      <c r="G24" s="698">
        <v>0</v>
      </c>
      <c r="H24" s="697"/>
      <c r="I24" s="698">
        <v>6</v>
      </c>
      <c r="J24" s="697"/>
      <c r="K24" s="193">
        <v>0</v>
      </c>
      <c r="L24" s="192">
        <v>12</v>
      </c>
      <c r="M24" s="192">
        <v>10</v>
      </c>
      <c r="N24" s="185"/>
      <c r="O24" s="185"/>
      <c r="P24" s="185"/>
      <c r="Q24" s="185"/>
      <c r="R24" s="185"/>
      <c r="S24" s="188"/>
      <c r="T24" s="188"/>
      <c r="U24" s="202"/>
      <c r="V24" s="185"/>
      <c r="W24" s="185"/>
      <c r="X24" s="185"/>
      <c r="Y24" s="185"/>
      <c r="Z24" s="185"/>
      <c r="AA24" s="185"/>
    </row>
    <row r="25" spans="1:27" ht="15" thickBot="1" x14ac:dyDescent="0.35">
      <c r="A25" s="677" t="s">
        <v>16</v>
      </c>
      <c r="B25" s="678"/>
      <c r="C25" s="679">
        <v>65</v>
      </c>
      <c r="D25" s="697"/>
      <c r="E25" s="698">
        <v>102</v>
      </c>
      <c r="F25" s="697"/>
      <c r="G25" s="698">
        <v>0</v>
      </c>
      <c r="H25" s="697"/>
      <c r="I25" s="698">
        <v>45</v>
      </c>
      <c r="J25" s="697"/>
      <c r="K25" s="193">
        <v>0</v>
      </c>
      <c r="L25" s="192">
        <v>2</v>
      </c>
      <c r="M25" s="192">
        <v>0</v>
      </c>
      <c r="N25" s="185"/>
      <c r="O25" s="185"/>
      <c r="P25" s="185"/>
      <c r="Q25" s="185"/>
      <c r="R25" s="185"/>
      <c r="S25" s="188"/>
      <c r="T25" s="188"/>
      <c r="U25" s="202"/>
      <c r="V25" s="185"/>
      <c r="W25" s="185"/>
      <c r="X25" s="185"/>
      <c r="Y25" s="185"/>
      <c r="Z25" s="185"/>
      <c r="AA25" s="185"/>
    </row>
    <row r="26" spans="1:27" ht="15" thickBot="1" x14ac:dyDescent="0.35">
      <c r="A26" s="677" t="s">
        <v>17</v>
      </c>
      <c r="B26" s="678"/>
      <c r="C26" s="679">
        <v>168</v>
      </c>
      <c r="D26" s="697"/>
      <c r="E26" s="698">
        <v>12</v>
      </c>
      <c r="F26" s="697"/>
      <c r="G26" s="698">
        <v>5</v>
      </c>
      <c r="H26" s="697"/>
      <c r="I26" s="698">
        <v>29</v>
      </c>
      <c r="J26" s="697"/>
      <c r="K26" s="193">
        <v>0</v>
      </c>
      <c r="L26" s="192">
        <v>3</v>
      </c>
      <c r="M26" s="192">
        <v>2</v>
      </c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</row>
    <row r="27" spans="1:27" ht="15" thickBot="1" x14ac:dyDescent="0.35">
      <c r="A27" s="677" t="s">
        <v>18</v>
      </c>
      <c r="B27" s="678"/>
      <c r="C27" s="679" t="s">
        <v>315</v>
      </c>
      <c r="D27" s="697"/>
      <c r="E27" s="698" t="s">
        <v>253</v>
      </c>
      <c r="F27" s="697"/>
      <c r="G27" s="698">
        <v>0</v>
      </c>
      <c r="H27" s="697"/>
      <c r="I27" s="698">
        <v>18</v>
      </c>
      <c r="J27" s="697"/>
      <c r="K27" s="193">
        <v>2</v>
      </c>
      <c r="L27" s="192">
        <v>9</v>
      </c>
      <c r="M27" s="192">
        <v>0</v>
      </c>
      <c r="N27" s="185"/>
      <c r="O27" s="185"/>
      <c r="P27" s="185"/>
      <c r="Q27" s="185"/>
      <c r="R27" s="185"/>
      <c r="S27" s="188"/>
      <c r="T27" s="188"/>
      <c r="U27" s="185"/>
      <c r="V27" s="185"/>
      <c r="W27" s="185"/>
      <c r="X27" s="185"/>
      <c r="Y27" s="185"/>
      <c r="Z27" s="185"/>
      <c r="AA27" s="185"/>
    </row>
    <row r="28" spans="1:27" ht="15" thickBot="1" x14ac:dyDescent="0.35">
      <c r="A28" s="677" t="s">
        <v>262</v>
      </c>
      <c r="B28" s="678"/>
      <c r="C28" s="679" t="s">
        <v>324</v>
      </c>
      <c r="D28" s="697"/>
      <c r="E28" s="698">
        <v>0</v>
      </c>
      <c r="F28" s="697"/>
      <c r="G28" s="698">
        <v>0</v>
      </c>
      <c r="H28" s="697"/>
      <c r="I28" s="698">
        <v>8</v>
      </c>
      <c r="J28" s="697"/>
      <c r="K28" s="193">
        <v>0</v>
      </c>
      <c r="L28" s="192">
        <v>5</v>
      </c>
      <c r="M28" s="192">
        <v>5</v>
      </c>
      <c r="N28" s="185"/>
      <c r="O28" s="185"/>
      <c r="P28" s="185"/>
      <c r="Q28" s="185"/>
      <c r="R28" s="185"/>
      <c r="S28" s="188"/>
      <c r="T28" s="188"/>
      <c r="U28" s="185"/>
      <c r="V28" s="185"/>
      <c r="W28" s="185"/>
      <c r="X28" s="185"/>
      <c r="Y28" s="185"/>
      <c r="Z28" s="185"/>
      <c r="AA28" s="185"/>
    </row>
    <row r="29" spans="1:27" ht="15" thickBot="1" x14ac:dyDescent="0.35">
      <c r="A29" s="677" t="s">
        <v>19</v>
      </c>
      <c r="B29" s="678"/>
      <c r="C29" s="679" t="s">
        <v>341</v>
      </c>
      <c r="D29" s="697"/>
      <c r="E29" s="698" t="s">
        <v>253</v>
      </c>
      <c r="F29" s="697"/>
      <c r="G29" s="698">
        <v>0</v>
      </c>
      <c r="H29" s="697"/>
      <c r="I29" s="698">
        <v>26</v>
      </c>
      <c r="J29" s="697"/>
      <c r="K29" s="193">
        <v>4</v>
      </c>
      <c r="L29" s="192">
        <v>7</v>
      </c>
      <c r="M29" s="192">
        <v>9</v>
      </c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</row>
    <row r="30" spans="1:27" ht="15" thickBot="1" x14ac:dyDescent="0.35">
      <c r="A30" s="677" t="s">
        <v>20</v>
      </c>
      <c r="B30" s="678"/>
      <c r="C30" s="679">
        <v>350</v>
      </c>
      <c r="D30" s="697"/>
      <c r="E30" s="698">
        <v>1</v>
      </c>
      <c r="F30" s="697"/>
      <c r="G30" s="698">
        <v>0</v>
      </c>
      <c r="H30" s="697"/>
      <c r="I30" s="698">
        <v>0</v>
      </c>
      <c r="J30" s="697"/>
      <c r="K30" s="193">
        <v>0</v>
      </c>
      <c r="L30" s="192">
        <v>0</v>
      </c>
      <c r="M30" s="192">
        <v>0</v>
      </c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</row>
    <row r="31" spans="1:27" ht="15" thickBot="1" x14ac:dyDescent="0.35">
      <c r="A31" s="677" t="s">
        <v>21</v>
      </c>
      <c r="B31" s="678"/>
      <c r="C31" s="679">
        <v>8</v>
      </c>
      <c r="D31" s="697"/>
      <c r="E31" s="698">
        <v>97</v>
      </c>
      <c r="F31" s="697"/>
      <c r="G31" s="698">
        <v>0</v>
      </c>
      <c r="H31" s="697"/>
      <c r="I31" s="698">
        <v>10</v>
      </c>
      <c r="J31" s="697"/>
      <c r="K31" s="193">
        <v>0</v>
      </c>
      <c r="L31" s="192">
        <v>12</v>
      </c>
      <c r="M31" s="192">
        <v>0</v>
      </c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</row>
    <row r="32" spans="1:27" ht="15" thickBot="1" x14ac:dyDescent="0.35">
      <c r="A32" s="677" t="s">
        <v>22</v>
      </c>
      <c r="B32" s="678"/>
      <c r="C32" s="679">
        <v>0</v>
      </c>
      <c r="D32" s="697"/>
      <c r="E32" s="698">
        <v>0</v>
      </c>
      <c r="F32" s="697"/>
      <c r="G32" s="698">
        <v>0</v>
      </c>
      <c r="H32" s="697"/>
      <c r="I32" s="698">
        <v>0</v>
      </c>
      <c r="J32" s="697"/>
      <c r="K32" s="193">
        <v>0</v>
      </c>
      <c r="L32" s="192">
        <v>0</v>
      </c>
      <c r="M32" s="192">
        <v>0</v>
      </c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</row>
    <row r="33" spans="1:27" x14ac:dyDescent="0.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</row>
    <row r="34" spans="1:27" ht="15" thickBot="1" x14ac:dyDescent="0.35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</row>
    <row r="35" spans="1:27" ht="15.75" customHeight="1" x14ac:dyDescent="0.3">
      <c r="A35" s="699" t="s">
        <v>380</v>
      </c>
      <c r="B35" s="700"/>
      <c r="C35" s="703" t="s">
        <v>376</v>
      </c>
      <c r="D35" s="704"/>
      <c r="E35" s="691" t="s">
        <v>365</v>
      </c>
      <c r="F35" s="692"/>
      <c r="G35" s="691" t="s">
        <v>365</v>
      </c>
      <c r="H35" s="692"/>
      <c r="I35" s="693" t="s">
        <v>370</v>
      </c>
      <c r="J35" s="694"/>
      <c r="K35" s="183" t="s">
        <v>370</v>
      </c>
      <c r="L35" s="204"/>
      <c r="M35" s="204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</row>
    <row r="36" spans="1:27" ht="30" customHeight="1" thickBot="1" x14ac:dyDescent="0.35">
      <c r="A36" s="701"/>
      <c r="B36" s="702"/>
      <c r="C36" s="705" t="s">
        <v>377</v>
      </c>
      <c r="D36" s="706"/>
      <c r="E36" s="689" t="s">
        <v>378</v>
      </c>
      <c r="F36" s="690"/>
      <c r="G36" s="689" t="s">
        <v>367</v>
      </c>
      <c r="H36" s="690"/>
      <c r="I36" s="695" t="s">
        <v>371</v>
      </c>
      <c r="J36" s="696"/>
      <c r="K36" s="203" t="s">
        <v>372</v>
      </c>
      <c r="L36" s="207" t="s">
        <v>379</v>
      </c>
      <c r="M36" s="207" t="s">
        <v>379</v>
      </c>
      <c r="N36" s="262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</row>
    <row r="37" spans="1:27" ht="15" thickBot="1" x14ac:dyDescent="0.35">
      <c r="A37" s="685" t="s">
        <v>11</v>
      </c>
      <c r="B37" s="686"/>
      <c r="C37" s="687" t="s">
        <v>373</v>
      </c>
      <c r="D37" s="688"/>
      <c r="E37" s="688"/>
      <c r="F37" s="688"/>
      <c r="G37" s="688"/>
      <c r="H37" s="688"/>
      <c r="I37" s="688"/>
      <c r="J37" s="688"/>
      <c r="K37" s="688"/>
      <c r="L37" s="208"/>
      <c r="M37" s="209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</row>
    <row r="38" spans="1:27" ht="15" thickBot="1" x14ac:dyDescent="0.35">
      <c r="A38" s="677" t="s">
        <v>15</v>
      </c>
      <c r="B38" s="678"/>
      <c r="C38" s="679" t="s">
        <v>188</v>
      </c>
      <c r="D38" s="680"/>
      <c r="E38" s="683" t="s">
        <v>381</v>
      </c>
      <c r="F38" s="684"/>
      <c r="G38" s="679" t="s">
        <v>40</v>
      </c>
      <c r="H38" s="680"/>
      <c r="I38" s="679">
        <v>0</v>
      </c>
      <c r="J38" s="680"/>
      <c r="K38" s="193">
        <v>0</v>
      </c>
      <c r="L38" s="192" t="s">
        <v>350</v>
      </c>
      <c r="M38" s="192" t="s">
        <v>321</v>
      </c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</row>
    <row r="39" spans="1:27" ht="15" thickBot="1" x14ac:dyDescent="0.35">
      <c r="A39" s="677" t="s">
        <v>16</v>
      </c>
      <c r="B39" s="678"/>
      <c r="C39" s="679">
        <v>0</v>
      </c>
      <c r="D39" s="680"/>
      <c r="E39" s="683" t="s">
        <v>382</v>
      </c>
      <c r="F39" s="684"/>
      <c r="G39" s="679" t="s">
        <v>43</v>
      </c>
      <c r="H39" s="680"/>
      <c r="I39" s="679">
        <v>0</v>
      </c>
      <c r="J39" s="680"/>
      <c r="K39" s="193">
        <v>0</v>
      </c>
      <c r="L39" s="192">
        <v>0</v>
      </c>
      <c r="M39" s="192">
        <v>0</v>
      </c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</row>
    <row r="40" spans="1:27" ht="15" thickBot="1" x14ac:dyDescent="0.35">
      <c r="A40" s="677" t="s">
        <v>17</v>
      </c>
      <c r="B40" s="678"/>
      <c r="C40" s="679" t="s">
        <v>383</v>
      </c>
      <c r="D40" s="680"/>
      <c r="E40" s="683" t="s">
        <v>359</v>
      </c>
      <c r="F40" s="684"/>
      <c r="G40" s="679" t="s">
        <v>159</v>
      </c>
      <c r="H40" s="680"/>
      <c r="I40" s="679" t="s">
        <v>202</v>
      </c>
      <c r="J40" s="680"/>
      <c r="K40" s="193" t="s">
        <v>45</v>
      </c>
      <c r="L40" s="192" t="s">
        <v>139</v>
      </c>
      <c r="M40" s="192" t="s">
        <v>145</v>
      </c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</row>
    <row r="41" spans="1:27" ht="15" thickBot="1" x14ac:dyDescent="0.35">
      <c r="A41" s="677" t="s">
        <v>18</v>
      </c>
      <c r="B41" s="678"/>
      <c r="C41" s="679">
        <v>0</v>
      </c>
      <c r="D41" s="680"/>
      <c r="E41" s="683" t="s">
        <v>357</v>
      </c>
      <c r="F41" s="684"/>
      <c r="G41" s="679" t="s">
        <v>214</v>
      </c>
      <c r="H41" s="680"/>
      <c r="I41" s="679">
        <v>0</v>
      </c>
      <c r="J41" s="680"/>
      <c r="K41" s="193">
        <v>0</v>
      </c>
      <c r="L41" s="192">
        <v>0</v>
      </c>
      <c r="M41" s="192">
        <v>0</v>
      </c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</row>
    <row r="42" spans="1:27" ht="15" thickBot="1" x14ac:dyDescent="0.35">
      <c r="A42" s="677" t="s">
        <v>262</v>
      </c>
      <c r="B42" s="678"/>
      <c r="C42" s="679">
        <v>0</v>
      </c>
      <c r="D42" s="680"/>
      <c r="E42" s="683" t="s">
        <v>340</v>
      </c>
      <c r="F42" s="684"/>
      <c r="G42" s="679">
        <v>7</v>
      </c>
      <c r="H42" s="680"/>
      <c r="I42" s="679">
        <v>0</v>
      </c>
      <c r="J42" s="680"/>
      <c r="K42" s="193">
        <v>0</v>
      </c>
      <c r="L42" s="192">
        <v>0</v>
      </c>
      <c r="M42" s="192">
        <v>0</v>
      </c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</row>
    <row r="43" spans="1:27" ht="15" thickBot="1" x14ac:dyDescent="0.35">
      <c r="A43" s="677" t="s">
        <v>19</v>
      </c>
      <c r="B43" s="678"/>
      <c r="C43" s="679" t="s">
        <v>342</v>
      </c>
      <c r="D43" s="680"/>
      <c r="E43" s="683" t="s">
        <v>343</v>
      </c>
      <c r="F43" s="684"/>
      <c r="G43" s="679">
        <v>0</v>
      </c>
      <c r="H43" s="680"/>
      <c r="I43" s="679" t="s">
        <v>293</v>
      </c>
      <c r="J43" s="680"/>
      <c r="K43" s="193" t="s">
        <v>96</v>
      </c>
      <c r="L43" s="192">
        <v>0</v>
      </c>
      <c r="M43" s="192">
        <v>0</v>
      </c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</row>
    <row r="44" spans="1:27" ht="15" thickBot="1" x14ac:dyDescent="0.35">
      <c r="A44" s="677" t="s">
        <v>20</v>
      </c>
      <c r="B44" s="678"/>
      <c r="C44" s="679">
        <v>0</v>
      </c>
      <c r="D44" s="680"/>
      <c r="E44" s="679" t="s">
        <v>384</v>
      </c>
      <c r="F44" s="680"/>
      <c r="G44" s="679" t="s">
        <v>385</v>
      </c>
      <c r="H44" s="680"/>
      <c r="I44" s="679">
        <v>0</v>
      </c>
      <c r="J44" s="680"/>
      <c r="K44" s="193">
        <v>0</v>
      </c>
      <c r="L44" s="192">
        <v>0</v>
      </c>
      <c r="M44" s="192">
        <v>0</v>
      </c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</row>
    <row r="45" spans="1:27" ht="15" thickBot="1" x14ac:dyDescent="0.35">
      <c r="A45" s="677" t="s">
        <v>21</v>
      </c>
      <c r="B45" s="678"/>
      <c r="C45" s="679" t="s">
        <v>99</v>
      </c>
      <c r="D45" s="680"/>
      <c r="E45" s="679" t="s">
        <v>174</v>
      </c>
      <c r="F45" s="680"/>
      <c r="G45" s="679">
        <v>0</v>
      </c>
      <c r="H45" s="680"/>
      <c r="I45" s="679">
        <v>0</v>
      </c>
      <c r="J45" s="680"/>
      <c r="K45" s="193">
        <v>0</v>
      </c>
      <c r="L45" s="192" t="s">
        <v>280</v>
      </c>
      <c r="M45" s="192" t="s">
        <v>40</v>
      </c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</row>
    <row r="46" spans="1:27" ht="15" thickBot="1" x14ac:dyDescent="0.35">
      <c r="A46" s="677" t="s">
        <v>22</v>
      </c>
      <c r="B46" s="678"/>
      <c r="C46" s="679">
        <v>0</v>
      </c>
      <c r="D46" s="680"/>
      <c r="E46" s="683" t="s">
        <v>113</v>
      </c>
      <c r="F46" s="684"/>
      <c r="G46" s="679">
        <v>0</v>
      </c>
      <c r="H46" s="680"/>
      <c r="I46" s="679" t="s">
        <v>99</v>
      </c>
      <c r="J46" s="680"/>
      <c r="K46" s="193" t="s">
        <v>100</v>
      </c>
      <c r="L46" s="192">
        <v>0</v>
      </c>
      <c r="M46" s="192">
        <v>0</v>
      </c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</row>
    <row r="47" spans="1:27" x14ac:dyDescent="0.3">
      <c r="A47" s="681" t="s">
        <v>54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</row>
    <row r="48" spans="1:27" x14ac:dyDescent="0.3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</row>
    <row r="49" spans="1:27" ht="15" thickBot="1" x14ac:dyDescent="0.35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</row>
    <row r="50" spans="1:27" ht="15" thickBot="1" x14ac:dyDescent="0.35">
      <c r="A50" s="670" t="s">
        <v>55</v>
      </c>
      <c r="B50" s="682"/>
      <c r="C50" s="682"/>
      <c r="D50" s="682"/>
      <c r="E50" s="682"/>
      <c r="F50" s="682"/>
      <c r="G50" s="682"/>
      <c r="H50" s="682"/>
      <c r="I50" s="682"/>
      <c r="J50" s="674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</row>
    <row r="51" spans="1:27" ht="15" thickBot="1" x14ac:dyDescent="0.35">
      <c r="A51" s="670" t="s">
        <v>56</v>
      </c>
      <c r="B51" s="674"/>
      <c r="C51" s="643" t="s">
        <v>322</v>
      </c>
      <c r="D51" s="644"/>
      <c r="E51" s="643" t="s">
        <v>334</v>
      </c>
      <c r="F51" s="644"/>
      <c r="G51" s="643" t="s">
        <v>351</v>
      </c>
      <c r="H51" s="644"/>
      <c r="I51" s="643" t="s">
        <v>373</v>
      </c>
      <c r="J51" s="644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</row>
    <row r="52" spans="1:27" ht="15" thickBot="1" x14ac:dyDescent="0.35">
      <c r="A52" s="670" t="s">
        <v>59</v>
      </c>
      <c r="B52" s="674"/>
      <c r="C52" s="675">
        <v>8606</v>
      </c>
      <c r="D52" s="669"/>
      <c r="E52" s="668">
        <v>8583</v>
      </c>
      <c r="F52" s="669"/>
      <c r="G52" s="668">
        <v>8560</v>
      </c>
      <c r="H52" s="669"/>
      <c r="I52" s="668">
        <v>8529</v>
      </c>
      <c r="J52" s="669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</row>
    <row r="53" spans="1:27" ht="15" thickBot="1" x14ac:dyDescent="0.35">
      <c r="A53" s="670" t="s">
        <v>60</v>
      </c>
      <c r="B53" s="674"/>
      <c r="C53" s="675">
        <v>13654</v>
      </c>
      <c r="D53" s="676"/>
      <c r="E53" s="675">
        <v>13549</v>
      </c>
      <c r="F53" s="676"/>
      <c r="G53" s="675">
        <v>13536</v>
      </c>
      <c r="H53" s="676"/>
      <c r="I53" s="675">
        <v>13533</v>
      </c>
      <c r="J53" s="676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</row>
    <row r="54" spans="1:27" ht="15" thickBot="1" x14ac:dyDescent="0.35">
      <c r="A54" s="670" t="s">
        <v>61</v>
      </c>
      <c r="B54" s="674"/>
      <c r="C54" s="675">
        <v>108629</v>
      </c>
      <c r="D54" s="669"/>
      <c r="E54" s="668">
        <v>108555</v>
      </c>
      <c r="F54" s="669"/>
      <c r="G54" s="668">
        <v>108521</v>
      </c>
      <c r="H54" s="669"/>
      <c r="I54" s="668">
        <v>108437</v>
      </c>
      <c r="J54" s="669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</row>
    <row r="55" spans="1:27" ht="15" thickBot="1" x14ac:dyDescent="0.35">
      <c r="A55" s="670" t="s">
        <v>62</v>
      </c>
      <c r="B55" s="674"/>
      <c r="C55" s="675">
        <v>208</v>
      </c>
      <c r="D55" s="669"/>
      <c r="E55" s="668">
        <v>208</v>
      </c>
      <c r="F55" s="669"/>
      <c r="G55" s="668">
        <v>208</v>
      </c>
      <c r="H55" s="669"/>
      <c r="I55" s="668">
        <v>208</v>
      </c>
      <c r="J55" s="669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</row>
    <row r="56" spans="1:27" ht="15" thickBot="1" x14ac:dyDescent="0.35">
      <c r="A56" s="670" t="s">
        <v>63</v>
      </c>
      <c r="B56" s="674"/>
      <c r="C56" s="675">
        <v>48690</v>
      </c>
      <c r="D56" s="669"/>
      <c r="E56" s="668">
        <v>48657</v>
      </c>
      <c r="F56" s="669"/>
      <c r="G56" s="668">
        <v>48639</v>
      </c>
      <c r="H56" s="669"/>
      <c r="I56" s="668">
        <v>48618</v>
      </c>
      <c r="J56" s="669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</row>
    <row r="57" spans="1:27" ht="15" thickBot="1" x14ac:dyDescent="0.35">
      <c r="A57" s="670" t="s">
        <v>64</v>
      </c>
      <c r="B57" s="674"/>
      <c r="C57" s="675">
        <v>5951</v>
      </c>
      <c r="D57" s="676"/>
      <c r="E57" s="675">
        <v>5942</v>
      </c>
      <c r="F57" s="676"/>
      <c r="G57" s="675">
        <v>5944</v>
      </c>
      <c r="H57" s="676"/>
      <c r="I57" s="675">
        <v>5936</v>
      </c>
      <c r="J57" s="676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</row>
    <row r="58" spans="1:27" ht="15" thickBot="1" x14ac:dyDescent="0.35">
      <c r="A58" s="670" t="s">
        <v>65</v>
      </c>
      <c r="B58" s="674"/>
      <c r="C58" s="675">
        <v>26381</v>
      </c>
      <c r="D58" s="669"/>
      <c r="E58" s="668">
        <v>26381</v>
      </c>
      <c r="F58" s="669"/>
      <c r="G58" s="668">
        <v>26345</v>
      </c>
      <c r="H58" s="669"/>
      <c r="I58" s="668">
        <v>26319</v>
      </c>
      <c r="J58" s="669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</row>
    <row r="59" spans="1:27" ht="15" thickBot="1" x14ac:dyDescent="0.35">
      <c r="A59" s="670" t="s">
        <v>66</v>
      </c>
      <c r="B59" s="674"/>
      <c r="C59" s="675">
        <v>4502</v>
      </c>
      <c r="D59" s="669"/>
      <c r="E59" s="668">
        <v>4506</v>
      </c>
      <c r="F59" s="669"/>
      <c r="G59" s="668">
        <v>4509</v>
      </c>
      <c r="H59" s="669"/>
      <c r="I59" s="668">
        <v>4507</v>
      </c>
      <c r="J59" s="669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</row>
    <row r="60" spans="1:27" ht="15" thickBot="1" x14ac:dyDescent="0.35">
      <c r="A60" s="210"/>
      <c r="B60" s="211" t="s">
        <v>251</v>
      </c>
      <c r="C60" s="668">
        <v>1592</v>
      </c>
      <c r="D60" s="669"/>
      <c r="E60" s="668">
        <v>1813</v>
      </c>
      <c r="F60" s="669"/>
      <c r="G60" s="668">
        <v>2024</v>
      </c>
      <c r="H60" s="669"/>
      <c r="I60" s="668">
        <v>2294</v>
      </c>
      <c r="J60" s="669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</row>
    <row r="61" spans="1:27" ht="15" thickBot="1" x14ac:dyDescent="0.35">
      <c r="A61" s="670" t="s">
        <v>67</v>
      </c>
      <c r="B61" s="671"/>
      <c r="C61" s="672">
        <v>218213</v>
      </c>
      <c r="D61" s="673"/>
      <c r="E61" s="672">
        <v>218180</v>
      </c>
      <c r="F61" s="673"/>
      <c r="G61" s="672">
        <v>218286</v>
      </c>
      <c r="H61" s="673"/>
      <c r="I61" s="672">
        <v>218387</v>
      </c>
      <c r="J61" s="673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</row>
    <row r="62" spans="1:27" ht="15" thickBot="1" x14ac:dyDescent="0.35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</row>
    <row r="63" spans="1:27" ht="15" thickBot="1" x14ac:dyDescent="0.35">
      <c r="A63" s="662" t="s">
        <v>68</v>
      </c>
      <c r="B63" s="663"/>
      <c r="C63" s="643" t="s">
        <v>322</v>
      </c>
      <c r="D63" s="644"/>
      <c r="E63" s="643" t="s">
        <v>334</v>
      </c>
      <c r="F63" s="644"/>
      <c r="G63" s="643" t="s">
        <v>351</v>
      </c>
      <c r="H63" s="644"/>
      <c r="I63" s="643" t="s">
        <v>373</v>
      </c>
      <c r="J63" s="644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</row>
    <row r="64" spans="1:27" x14ac:dyDescent="0.3">
      <c r="A64" s="664"/>
      <c r="B64" s="665"/>
      <c r="C64" s="651">
        <v>144027</v>
      </c>
      <c r="D64" s="652"/>
      <c r="E64" s="651">
        <v>144092</v>
      </c>
      <c r="F64" s="652"/>
      <c r="G64" s="651">
        <v>144166</v>
      </c>
      <c r="H64" s="652"/>
      <c r="I64" s="651">
        <v>144237</v>
      </c>
      <c r="J64" s="652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</row>
    <row r="65" spans="1:27" ht="15" thickBot="1" x14ac:dyDescent="0.35">
      <c r="A65" s="666"/>
      <c r="B65" s="667"/>
      <c r="C65" s="653"/>
      <c r="D65" s="654"/>
      <c r="E65" s="653"/>
      <c r="F65" s="654"/>
      <c r="G65" s="653"/>
      <c r="H65" s="654"/>
      <c r="I65" s="653"/>
      <c r="J65" s="654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</row>
    <row r="66" spans="1:27" x14ac:dyDescent="0.3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</row>
    <row r="67" spans="1:27" ht="15" thickBot="1" x14ac:dyDescent="0.35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</row>
    <row r="68" spans="1:27" ht="15" thickBot="1" x14ac:dyDescent="0.35">
      <c r="A68" s="659" t="s">
        <v>69</v>
      </c>
      <c r="B68" s="660"/>
      <c r="C68" s="660"/>
      <c r="D68" s="660"/>
      <c r="E68" s="660"/>
      <c r="F68" s="660"/>
      <c r="G68" s="660"/>
      <c r="H68" s="660"/>
      <c r="I68" s="660"/>
      <c r="J68" s="661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</row>
    <row r="69" spans="1:27" ht="15" thickBot="1" x14ac:dyDescent="0.35">
      <c r="A69" s="659" t="s">
        <v>11</v>
      </c>
      <c r="B69" s="661"/>
      <c r="C69" s="643" t="s">
        <v>220</v>
      </c>
      <c r="D69" s="644"/>
      <c r="E69" s="643" t="s">
        <v>250</v>
      </c>
      <c r="F69" s="644"/>
      <c r="G69" s="643" t="s">
        <v>333</v>
      </c>
      <c r="H69" s="644"/>
      <c r="I69" s="643" t="s">
        <v>352</v>
      </c>
      <c r="J69" s="644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</row>
    <row r="70" spans="1:27" x14ac:dyDescent="0.3">
      <c r="A70" s="647" t="s">
        <v>73</v>
      </c>
      <c r="B70" s="648"/>
      <c r="C70" s="651" t="s">
        <v>74</v>
      </c>
      <c r="D70" s="652"/>
      <c r="E70" s="651" t="s">
        <v>74</v>
      </c>
      <c r="F70" s="652"/>
      <c r="G70" s="651" t="s">
        <v>74</v>
      </c>
      <c r="H70" s="652"/>
      <c r="I70" s="651" t="s">
        <v>74</v>
      </c>
      <c r="J70" s="652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</row>
    <row r="71" spans="1:27" ht="15" thickBot="1" x14ac:dyDescent="0.35">
      <c r="A71" s="649"/>
      <c r="B71" s="650"/>
      <c r="C71" s="653"/>
      <c r="D71" s="654"/>
      <c r="E71" s="653"/>
      <c r="F71" s="654"/>
      <c r="G71" s="653"/>
      <c r="H71" s="654"/>
      <c r="I71" s="653"/>
      <c r="J71" s="654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</row>
    <row r="72" spans="1:27" ht="15" thickBot="1" x14ac:dyDescent="0.35">
      <c r="A72" s="655" t="s">
        <v>15</v>
      </c>
      <c r="B72" s="656"/>
      <c r="C72" s="657">
        <v>36102</v>
      </c>
      <c r="D72" s="658"/>
      <c r="E72" s="657">
        <v>36368</v>
      </c>
      <c r="F72" s="658"/>
      <c r="G72" s="657">
        <v>36751</v>
      </c>
      <c r="H72" s="658"/>
      <c r="I72" s="657">
        <v>37120</v>
      </c>
      <c r="J72" s="658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</row>
    <row r="73" spans="1:27" ht="15" thickBot="1" x14ac:dyDescent="0.35">
      <c r="A73" s="645" t="s">
        <v>16</v>
      </c>
      <c r="B73" s="646"/>
      <c r="C73" s="643">
        <v>8166</v>
      </c>
      <c r="D73" s="644"/>
      <c r="E73" s="643">
        <v>8201</v>
      </c>
      <c r="F73" s="644"/>
      <c r="G73" s="643">
        <v>8267</v>
      </c>
      <c r="H73" s="644"/>
      <c r="I73" s="643">
        <v>8384</v>
      </c>
      <c r="J73" s="644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</row>
    <row r="74" spans="1:27" ht="15" thickBot="1" x14ac:dyDescent="0.35">
      <c r="A74" s="645" t="s">
        <v>17</v>
      </c>
      <c r="B74" s="646"/>
      <c r="C74" s="643">
        <v>7599</v>
      </c>
      <c r="D74" s="644"/>
      <c r="E74" s="643">
        <v>7219</v>
      </c>
      <c r="F74" s="644"/>
      <c r="G74" s="643">
        <v>7311</v>
      </c>
      <c r="H74" s="644"/>
      <c r="I74" s="643">
        <v>7423</v>
      </c>
      <c r="J74" s="644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</row>
    <row r="75" spans="1:27" ht="15" thickBot="1" x14ac:dyDescent="0.35">
      <c r="A75" s="645" t="s">
        <v>75</v>
      </c>
      <c r="B75" s="646"/>
      <c r="C75" s="643">
        <v>2032</v>
      </c>
      <c r="D75" s="644"/>
      <c r="E75" s="643">
        <v>2508</v>
      </c>
      <c r="F75" s="644"/>
      <c r="G75" s="643">
        <v>2547</v>
      </c>
      <c r="H75" s="644"/>
      <c r="I75" s="643">
        <v>2597</v>
      </c>
      <c r="J75" s="644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</row>
    <row r="76" spans="1:27" ht="15" thickBot="1" x14ac:dyDescent="0.35">
      <c r="A76" s="645" t="s">
        <v>18</v>
      </c>
      <c r="B76" s="646"/>
      <c r="C76" s="643">
        <v>6107</v>
      </c>
      <c r="D76" s="644"/>
      <c r="E76" s="643">
        <v>6196</v>
      </c>
      <c r="F76" s="644"/>
      <c r="G76" s="643">
        <v>6380</v>
      </c>
      <c r="H76" s="644"/>
      <c r="I76" s="643">
        <v>6522</v>
      </c>
      <c r="J76" s="644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</row>
    <row r="77" spans="1:27" ht="15" thickBot="1" x14ac:dyDescent="0.35">
      <c r="A77" s="645" t="s">
        <v>19</v>
      </c>
      <c r="B77" s="646"/>
      <c r="C77" s="643">
        <v>5399</v>
      </c>
      <c r="D77" s="644"/>
      <c r="E77" s="643">
        <v>5419</v>
      </c>
      <c r="F77" s="644"/>
      <c r="G77" s="643">
        <v>5434</v>
      </c>
      <c r="H77" s="644"/>
      <c r="I77" s="643">
        <v>5465</v>
      </c>
      <c r="J77" s="644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</row>
    <row r="78" spans="1:27" ht="15" thickBot="1" x14ac:dyDescent="0.35">
      <c r="A78" s="645" t="s">
        <v>20</v>
      </c>
      <c r="B78" s="646"/>
      <c r="C78" s="643">
        <v>9443</v>
      </c>
      <c r="D78" s="644"/>
      <c r="E78" s="643">
        <v>9569</v>
      </c>
      <c r="F78" s="644"/>
      <c r="G78" s="643">
        <v>9704</v>
      </c>
      <c r="H78" s="644"/>
      <c r="I78" s="643">
        <v>9856</v>
      </c>
      <c r="J78" s="644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</row>
    <row r="79" spans="1:27" ht="15" thickBot="1" x14ac:dyDescent="0.35">
      <c r="A79" s="645" t="s">
        <v>21</v>
      </c>
      <c r="B79" s="646"/>
      <c r="C79" s="643">
        <v>1839</v>
      </c>
      <c r="D79" s="644"/>
      <c r="E79" s="643">
        <v>1853</v>
      </c>
      <c r="F79" s="644"/>
      <c r="G79" s="643">
        <v>1858</v>
      </c>
      <c r="H79" s="644"/>
      <c r="I79" s="643">
        <v>1876</v>
      </c>
      <c r="J79" s="644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</row>
    <row r="80" spans="1:27" ht="15" thickBot="1" x14ac:dyDescent="0.35">
      <c r="A80" s="645" t="s">
        <v>22</v>
      </c>
      <c r="B80" s="646"/>
      <c r="C80" s="643">
        <v>7215</v>
      </c>
      <c r="D80" s="644"/>
      <c r="E80" s="643">
        <v>7327</v>
      </c>
      <c r="F80" s="644"/>
      <c r="G80" s="643">
        <v>7442</v>
      </c>
      <c r="H80" s="644"/>
      <c r="I80" s="643">
        <v>7584</v>
      </c>
      <c r="J80" s="644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</row>
    <row r="81" spans="1:27" ht="15" thickBot="1" x14ac:dyDescent="0.35">
      <c r="A81" s="641" t="s">
        <v>76</v>
      </c>
      <c r="B81" s="642"/>
      <c r="C81" s="643">
        <v>83902</v>
      </c>
      <c r="D81" s="644"/>
      <c r="E81" s="643">
        <v>84660</v>
      </c>
      <c r="F81" s="644"/>
      <c r="G81" s="643">
        <v>85694</v>
      </c>
      <c r="H81" s="644"/>
      <c r="I81" s="643">
        <v>86827</v>
      </c>
      <c r="J81" s="644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</row>
    <row r="82" spans="1:27" ht="15.6" x14ac:dyDescent="0.3">
      <c r="A82" s="212"/>
    </row>
  </sheetData>
  <mergeCells count="342">
    <mergeCell ref="Q1:Q2"/>
    <mergeCell ref="R1:R2"/>
    <mergeCell ref="A3:B3"/>
    <mergeCell ref="C3:Q3"/>
    <mergeCell ref="A4:B4"/>
    <mergeCell ref="C4:D4"/>
    <mergeCell ref="E4:F4"/>
    <mergeCell ref="G4:H4"/>
    <mergeCell ref="I4:J4"/>
    <mergeCell ref="K4:L4"/>
    <mergeCell ref="I1:J1"/>
    <mergeCell ref="I2:J2"/>
    <mergeCell ref="K1:L1"/>
    <mergeCell ref="K2:L2"/>
    <mergeCell ref="M1:M2"/>
    <mergeCell ref="P1:P2"/>
    <mergeCell ref="A1:B2"/>
    <mergeCell ref="C1:D1"/>
    <mergeCell ref="C2:D2"/>
    <mergeCell ref="E1:F1"/>
    <mergeCell ref="E2:F2"/>
    <mergeCell ref="G1:H1"/>
    <mergeCell ref="G2:H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I21:J21"/>
    <mergeCell ref="I22:J22"/>
    <mergeCell ref="O21:P21"/>
    <mergeCell ref="S17:U17"/>
    <mergeCell ref="A18:Q19"/>
    <mergeCell ref="A21:B22"/>
    <mergeCell ref="C21:D21"/>
    <mergeCell ref="C22:D22"/>
    <mergeCell ref="E21:F21"/>
    <mergeCell ref="E22:F22"/>
    <mergeCell ref="G21:H21"/>
    <mergeCell ref="A17:B17"/>
    <mergeCell ref="C17:D17"/>
    <mergeCell ref="E17:F17"/>
    <mergeCell ref="G17:H17"/>
    <mergeCell ref="I17:J17"/>
    <mergeCell ref="K17:L17"/>
    <mergeCell ref="A23:B23"/>
    <mergeCell ref="C23:K23"/>
    <mergeCell ref="G22:H22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G35:H35"/>
    <mergeCell ref="G36:H36"/>
    <mergeCell ref="I35:J35"/>
    <mergeCell ref="I36:J36"/>
    <mergeCell ref="A32:B32"/>
    <mergeCell ref="C32:D32"/>
    <mergeCell ref="E32:F32"/>
    <mergeCell ref="G32:H32"/>
    <mergeCell ref="I32:J32"/>
    <mergeCell ref="A35:B36"/>
    <mergeCell ref="C35:D35"/>
    <mergeCell ref="C36:D36"/>
    <mergeCell ref="E35:F35"/>
    <mergeCell ref="A37:B37"/>
    <mergeCell ref="C37:K37"/>
    <mergeCell ref="A38:B38"/>
    <mergeCell ref="C38:D38"/>
    <mergeCell ref="E38:F38"/>
    <mergeCell ref="G38:H38"/>
    <mergeCell ref="I38:J38"/>
    <mergeCell ref="E36:F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D2BD-4C51-4C84-A4BC-90715A12E985}">
  <dimension ref="A1:AA81"/>
  <sheetViews>
    <sheetView topLeftCell="A27" workbookViewId="0">
      <selection activeCell="E43" sqref="E43:F43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1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386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10806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7254</v>
      </c>
      <c r="N4" s="6">
        <v>3700</v>
      </c>
      <c r="O4" s="6">
        <v>360</v>
      </c>
      <c r="P4" s="7">
        <v>4223</v>
      </c>
      <c r="Q4" s="7">
        <v>6445</v>
      </c>
      <c r="R4" s="7">
        <v>1852</v>
      </c>
      <c r="S4" s="64"/>
      <c r="T4" s="64"/>
      <c r="U4" s="64"/>
    </row>
    <row r="5" spans="1:27" ht="15.7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322</v>
      </c>
      <c r="D6" s="377"/>
      <c r="E6" s="377">
        <v>2</v>
      </c>
      <c r="F6" s="377"/>
      <c r="G6" s="377">
        <v>48</v>
      </c>
      <c r="H6" s="377"/>
      <c r="I6" s="377">
        <v>12</v>
      </c>
      <c r="J6" s="377"/>
      <c r="K6" s="377">
        <v>2</v>
      </c>
      <c r="L6" s="377"/>
      <c r="M6" s="95">
        <v>424</v>
      </c>
      <c r="N6" s="9">
        <v>538</v>
      </c>
      <c r="O6" s="9">
        <v>25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395</v>
      </c>
      <c r="D7" s="377"/>
      <c r="E7" s="377">
        <v>5</v>
      </c>
      <c r="F7" s="377"/>
      <c r="G7" s="377">
        <v>0</v>
      </c>
      <c r="H7" s="377"/>
      <c r="I7" s="377">
        <v>6</v>
      </c>
      <c r="J7" s="377"/>
      <c r="K7" s="377">
        <v>0</v>
      </c>
      <c r="L7" s="377"/>
      <c r="M7" s="95">
        <v>268</v>
      </c>
      <c r="N7" s="9">
        <v>117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253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276</v>
      </c>
      <c r="N8" s="9">
        <v>172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130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98</v>
      </c>
      <c r="N9" s="9">
        <v>94</v>
      </c>
      <c r="O9" s="9">
        <v>17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179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187</v>
      </c>
      <c r="N10" s="172">
        <v>203</v>
      </c>
      <c r="O10" s="172">
        <v>58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82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111</v>
      </c>
      <c r="N11" s="9">
        <v>79</v>
      </c>
      <c r="O11" s="9">
        <v>95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0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183</v>
      </c>
      <c r="N12" s="9">
        <v>315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182</v>
      </c>
      <c r="D13" s="377"/>
      <c r="E13" s="377">
        <v>7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160</v>
      </c>
      <c r="N13" s="9">
        <v>118</v>
      </c>
      <c r="O13" s="9">
        <v>26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428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146</v>
      </c>
      <c r="N14" s="9">
        <v>189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3984</v>
      </c>
      <c r="Q15" s="73">
        <v>2599</v>
      </c>
      <c r="R15" s="94">
        <v>3660</v>
      </c>
    </row>
    <row r="16" spans="1:27" ht="15" thickBot="1" x14ac:dyDescent="0.35">
      <c r="A16" s="370" t="s">
        <v>24</v>
      </c>
      <c r="B16" s="371"/>
      <c r="C16" s="372">
        <f>SUM(C4:D15)</f>
        <v>12997</v>
      </c>
      <c r="D16" s="373"/>
      <c r="E16" s="373">
        <f>SUM(E4:F15)</f>
        <v>172</v>
      </c>
      <c r="F16" s="373"/>
      <c r="G16" s="373">
        <f>SUM(G4:H15)</f>
        <v>49</v>
      </c>
      <c r="H16" s="373"/>
      <c r="I16" s="373">
        <f>SUM(I4:J15)</f>
        <v>25</v>
      </c>
      <c r="J16" s="373"/>
      <c r="K16" s="373">
        <f>SUM(K4:L15)</f>
        <v>3</v>
      </c>
      <c r="L16" s="373"/>
      <c r="M16" s="139">
        <f t="shared" ref="M16:R16" si="0">SUM(M4:M15)</f>
        <v>9107</v>
      </c>
      <c r="N16" s="13">
        <f t="shared" si="0"/>
        <v>5525</v>
      </c>
      <c r="O16" s="13">
        <f t="shared" si="0"/>
        <v>627</v>
      </c>
      <c r="P16" s="16">
        <f t="shared" si="0"/>
        <v>8291</v>
      </c>
      <c r="Q16" s="142">
        <f t="shared" si="0"/>
        <v>9086</v>
      </c>
      <c r="R16" s="143">
        <f t="shared" si="0"/>
        <v>5520</v>
      </c>
    </row>
    <row r="17" spans="1:21" x14ac:dyDescent="0.3">
      <c r="A17" s="368" t="s">
        <v>25</v>
      </c>
      <c r="B17" s="368"/>
      <c r="C17" s="369">
        <v>10806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7179</v>
      </c>
      <c r="N17" s="131">
        <v>3700</v>
      </c>
      <c r="O17" s="91">
        <v>360</v>
      </c>
      <c r="P17" s="7">
        <v>4223</v>
      </c>
      <c r="Q17" s="7">
        <v>6445</v>
      </c>
      <c r="R17" s="7">
        <v>1852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1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386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635</v>
      </c>
      <c r="D24" s="377"/>
      <c r="E24" s="609" t="s">
        <v>389</v>
      </c>
      <c r="F24" s="609"/>
      <c r="G24" s="377">
        <v>0</v>
      </c>
      <c r="H24" s="377"/>
      <c r="I24" s="377">
        <v>6</v>
      </c>
      <c r="J24" s="377"/>
      <c r="K24" s="9">
        <v>0</v>
      </c>
      <c r="L24" s="28">
        <v>10</v>
      </c>
      <c r="M24" s="28">
        <v>11</v>
      </c>
      <c r="S24" s="64"/>
      <c r="T24" s="64"/>
      <c r="U24" s="141"/>
    </row>
    <row r="25" spans="1:21" x14ac:dyDescent="0.3">
      <c r="A25" s="378" t="s">
        <v>16</v>
      </c>
      <c r="B25" s="617"/>
      <c r="C25" s="377">
        <v>58</v>
      </c>
      <c r="D25" s="377"/>
      <c r="E25" s="609" t="s">
        <v>392</v>
      </c>
      <c r="F25" s="609"/>
      <c r="G25" s="377">
        <v>0</v>
      </c>
      <c r="H25" s="377"/>
      <c r="I25" s="377">
        <v>40</v>
      </c>
      <c r="J25" s="377"/>
      <c r="K25" s="9">
        <v>0</v>
      </c>
      <c r="L25" s="28">
        <v>2</v>
      </c>
      <c r="M25" s="28">
        <v>0</v>
      </c>
      <c r="S25" s="64"/>
      <c r="T25" s="64"/>
      <c r="U25" s="141"/>
    </row>
    <row r="26" spans="1:21" x14ac:dyDescent="0.3">
      <c r="A26" s="378" t="s">
        <v>17</v>
      </c>
      <c r="B26" s="617"/>
      <c r="C26" s="377">
        <v>167</v>
      </c>
      <c r="D26" s="377"/>
      <c r="E26" s="609" t="s">
        <v>360</v>
      </c>
      <c r="F26" s="609"/>
      <c r="G26" s="377">
        <v>5</v>
      </c>
      <c r="H26" s="377"/>
      <c r="I26" s="377">
        <v>29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18</v>
      </c>
      <c r="J27" s="377"/>
      <c r="K27" s="9">
        <v>2</v>
      </c>
      <c r="L27" s="28">
        <v>9</v>
      </c>
      <c r="M27" s="28">
        <v>0</v>
      </c>
      <c r="S27" s="64"/>
      <c r="T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S28" s="64"/>
      <c r="T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360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260</v>
      </c>
      <c r="D31" s="609"/>
      <c r="E31" s="609" t="s">
        <v>361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10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386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165</v>
      </c>
      <c r="D38" s="410"/>
      <c r="E38" s="437" t="s">
        <v>390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391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393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383</v>
      </c>
      <c r="D40" s="410"/>
      <c r="E40" s="437" t="s">
        <v>337</v>
      </c>
      <c r="F40" s="438"/>
      <c r="G40" s="409" t="s">
        <v>159</v>
      </c>
      <c r="H40" s="410"/>
      <c r="I40" s="409" t="s">
        <v>387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388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342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384</v>
      </c>
      <c r="F44" s="410"/>
      <c r="G44" s="409" t="s">
        <v>385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99</v>
      </c>
      <c r="D45" s="410"/>
      <c r="E45" s="409" t="s">
        <v>154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322</v>
      </c>
      <c r="D51" s="320"/>
      <c r="E51" s="319" t="s">
        <v>334</v>
      </c>
      <c r="F51" s="320"/>
      <c r="G51" s="319" t="s">
        <v>351</v>
      </c>
      <c r="H51" s="320"/>
      <c r="I51" s="319" t="s">
        <v>386</v>
      </c>
      <c r="J51" s="320"/>
    </row>
    <row r="52" spans="1:10" x14ac:dyDescent="0.3">
      <c r="A52" s="314" t="s">
        <v>59</v>
      </c>
      <c r="B52" s="316"/>
      <c r="C52" s="487">
        <v>8606</v>
      </c>
      <c r="D52" s="487"/>
      <c r="E52" s="487">
        <v>8583</v>
      </c>
      <c r="F52" s="487"/>
      <c r="G52" s="487">
        <v>8560</v>
      </c>
      <c r="H52" s="487"/>
      <c r="I52" s="487">
        <v>8499</v>
      </c>
      <c r="J52" s="487"/>
    </row>
    <row r="53" spans="1:10" ht="15" customHeight="1" x14ac:dyDescent="0.3">
      <c r="A53" s="314" t="s">
        <v>60</v>
      </c>
      <c r="B53" s="316"/>
      <c r="C53" s="311">
        <v>13654</v>
      </c>
      <c r="D53" s="312"/>
      <c r="E53" s="311">
        <v>13549</v>
      </c>
      <c r="F53" s="312"/>
      <c r="G53" s="311">
        <v>13536</v>
      </c>
      <c r="H53" s="312"/>
      <c r="I53" s="311">
        <v>13531</v>
      </c>
      <c r="J53" s="312"/>
    </row>
    <row r="54" spans="1:10" x14ac:dyDescent="0.3">
      <c r="A54" s="314" t="s">
        <v>61</v>
      </c>
      <c r="B54" s="316"/>
      <c r="C54" s="487">
        <v>108629</v>
      </c>
      <c r="D54" s="487"/>
      <c r="E54" s="487">
        <v>108555</v>
      </c>
      <c r="F54" s="487"/>
      <c r="G54" s="487">
        <v>108521</v>
      </c>
      <c r="H54" s="487"/>
      <c r="I54" s="487">
        <v>108393</v>
      </c>
      <c r="J54" s="487"/>
    </row>
    <row r="55" spans="1:10" x14ac:dyDescent="0.3">
      <c r="A55" s="314" t="s">
        <v>62</v>
      </c>
      <c r="B55" s="316"/>
      <c r="C55" s="487">
        <v>208</v>
      </c>
      <c r="D55" s="487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486">
        <v>48690</v>
      </c>
      <c r="D56" s="486"/>
      <c r="E56" s="486">
        <v>48657</v>
      </c>
      <c r="F56" s="486"/>
      <c r="G56" s="486">
        <v>48639</v>
      </c>
      <c r="H56" s="486"/>
      <c r="I56" s="486">
        <v>48596</v>
      </c>
      <c r="J56" s="486"/>
    </row>
    <row r="57" spans="1:10" x14ac:dyDescent="0.3">
      <c r="A57" s="314" t="s">
        <v>64</v>
      </c>
      <c r="B57" s="316"/>
      <c r="C57" s="303">
        <v>5951</v>
      </c>
      <c r="D57" s="283"/>
      <c r="E57" s="303">
        <v>5942</v>
      </c>
      <c r="F57" s="283"/>
      <c r="G57" s="303">
        <v>5944</v>
      </c>
      <c r="H57" s="283"/>
      <c r="I57" s="303">
        <v>5928</v>
      </c>
      <c r="J57" s="283"/>
    </row>
    <row r="58" spans="1:10" x14ac:dyDescent="0.3">
      <c r="A58" s="314" t="s">
        <v>65</v>
      </c>
      <c r="B58" s="316"/>
      <c r="C58" s="486">
        <v>26381</v>
      </c>
      <c r="D58" s="486"/>
      <c r="E58" s="486">
        <v>26381</v>
      </c>
      <c r="F58" s="486"/>
      <c r="G58" s="486">
        <v>26345</v>
      </c>
      <c r="H58" s="486"/>
      <c r="I58" s="486">
        <v>26310</v>
      </c>
      <c r="J58" s="486"/>
    </row>
    <row r="59" spans="1:10" x14ac:dyDescent="0.3">
      <c r="A59" s="314" t="s">
        <v>66</v>
      </c>
      <c r="B59" s="316"/>
      <c r="C59" s="486">
        <v>4502</v>
      </c>
      <c r="D59" s="486"/>
      <c r="E59" s="486">
        <v>4506</v>
      </c>
      <c r="F59" s="486"/>
      <c r="G59" s="486">
        <v>4509</v>
      </c>
      <c r="H59" s="486"/>
      <c r="I59" s="486">
        <v>4508</v>
      </c>
      <c r="J59" s="486"/>
    </row>
    <row r="60" spans="1:10" x14ac:dyDescent="0.3">
      <c r="A60" s="177"/>
      <c r="B60" s="182" t="s">
        <v>251</v>
      </c>
      <c r="C60" s="486">
        <v>1592</v>
      </c>
      <c r="D60" s="486"/>
      <c r="E60" s="486">
        <v>1813</v>
      </c>
      <c r="F60" s="486"/>
      <c r="G60" s="486">
        <v>2024</v>
      </c>
      <c r="H60" s="486"/>
      <c r="I60" s="486">
        <v>2544</v>
      </c>
      <c r="J60" s="486"/>
    </row>
    <row r="61" spans="1:10" x14ac:dyDescent="0.3">
      <c r="A61" s="314" t="s">
        <v>67</v>
      </c>
      <c r="B61" s="315"/>
      <c r="C61" s="307">
        <f>SUM(C52:C60)</f>
        <v>218213</v>
      </c>
      <c r="D61" s="307"/>
      <c r="E61" s="307">
        <v>218180</v>
      </c>
      <c r="F61" s="307"/>
      <c r="G61" s="307">
        <f>SUM(G52:G60)</f>
        <v>218286</v>
      </c>
      <c r="H61" s="307"/>
      <c r="I61" s="307">
        <f>SUM(I52:I60)</f>
        <v>218517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319" t="s">
        <v>322</v>
      </c>
      <c r="D63" s="320"/>
      <c r="E63" s="319" t="s">
        <v>334</v>
      </c>
      <c r="F63" s="320"/>
      <c r="G63" s="319" t="s">
        <v>351</v>
      </c>
      <c r="H63" s="320"/>
      <c r="I63" s="319" t="s">
        <v>386</v>
      </c>
      <c r="J63" s="320"/>
    </row>
    <row r="64" spans="1:10" x14ac:dyDescent="0.3">
      <c r="A64" s="287"/>
      <c r="B64" s="288"/>
      <c r="C64" s="297">
        <v>144027</v>
      </c>
      <c r="D64" s="298"/>
      <c r="E64" s="297">
        <v>144092</v>
      </c>
      <c r="F64" s="298"/>
      <c r="G64" s="297">
        <v>144166</v>
      </c>
      <c r="H64" s="298"/>
      <c r="I64" s="297">
        <v>144319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220</v>
      </c>
      <c r="D69" s="284"/>
      <c r="E69" s="282" t="s">
        <v>250</v>
      </c>
      <c r="F69" s="284"/>
      <c r="G69" s="282" t="s">
        <v>333</v>
      </c>
      <c r="H69" s="284"/>
      <c r="I69" s="282" t="s">
        <v>352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36102</v>
      </c>
      <c r="D72" s="266"/>
      <c r="E72" s="265">
        <v>36368</v>
      </c>
      <c r="F72" s="266"/>
      <c r="G72" s="265">
        <v>36751</v>
      </c>
      <c r="H72" s="266"/>
      <c r="I72" s="265">
        <v>37120</v>
      </c>
      <c r="J72" s="266"/>
    </row>
    <row r="73" spans="1:10" x14ac:dyDescent="0.3">
      <c r="A73" s="269" t="s">
        <v>16</v>
      </c>
      <c r="B73" s="270"/>
      <c r="C73" s="265">
        <v>8166</v>
      </c>
      <c r="D73" s="266"/>
      <c r="E73" s="265">
        <v>8201</v>
      </c>
      <c r="F73" s="266"/>
      <c r="G73" s="265">
        <v>8267</v>
      </c>
      <c r="H73" s="266"/>
      <c r="I73" s="265">
        <v>8384</v>
      </c>
      <c r="J73" s="266"/>
    </row>
    <row r="74" spans="1:10" x14ac:dyDescent="0.3">
      <c r="A74" s="267" t="s">
        <v>17</v>
      </c>
      <c r="B74" s="268"/>
      <c r="C74" s="265">
        <v>7599</v>
      </c>
      <c r="D74" s="266"/>
      <c r="E74" s="265">
        <v>7219</v>
      </c>
      <c r="F74" s="266"/>
      <c r="G74" s="265">
        <v>7311</v>
      </c>
      <c r="H74" s="266"/>
      <c r="I74" s="265">
        <v>7423</v>
      </c>
      <c r="J74" s="266"/>
    </row>
    <row r="75" spans="1:10" x14ac:dyDescent="0.3">
      <c r="A75" s="267" t="s">
        <v>75</v>
      </c>
      <c r="B75" s="268"/>
      <c r="C75" s="265">
        <v>2032</v>
      </c>
      <c r="D75" s="266"/>
      <c r="E75" s="265">
        <v>2508</v>
      </c>
      <c r="F75" s="266"/>
      <c r="G75" s="265">
        <v>2547</v>
      </c>
      <c r="H75" s="266"/>
      <c r="I75" s="265">
        <v>2597</v>
      </c>
      <c r="J75" s="266"/>
    </row>
    <row r="76" spans="1:10" x14ac:dyDescent="0.3">
      <c r="A76" s="269" t="s">
        <v>18</v>
      </c>
      <c r="B76" s="270"/>
      <c r="C76" s="265">
        <v>6107</v>
      </c>
      <c r="D76" s="266"/>
      <c r="E76" s="265">
        <v>6196</v>
      </c>
      <c r="F76" s="266"/>
      <c r="G76" s="265">
        <v>6380</v>
      </c>
      <c r="H76" s="266"/>
      <c r="I76" s="265">
        <v>6522</v>
      </c>
      <c r="J76" s="266"/>
    </row>
    <row r="77" spans="1:10" x14ac:dyDescent="0.3">
      <c r="A77" s="267" t="s">
        <v>19</v>
      </c>
      <c r="B77" s="268"/>
      <c r="C77" s="265">
        <v>5399</v>
      </c>
      <c r="D77" s="266"/>
      <c r="E77" s="265">
        <v>5419</v>
      </c>
      <c r="F77" s="266"/>
      <c r="G77" s="265">
        <v>5434</v>
      </c>
      <c r="H77" s="266"/>
      <c r="I77" s="265">
        <v>5465</v>
      </c>
      <c r="J77" s="266"/>
    </row>
    <row r="78" spans="1:10" x14ac:dyDescent="0.3">
      <c r="A78" s="269" t="s">
        <v>20</v>
      </c>
      <c r="B78" s="270"/>
      <c r="C78" s="265">
        <v>9443</v>
      </c>
      <c r="D78" s="266"/>
      <c r="E78" s="265">
        <v>9569</v>
      </c>
      <c r="F78" s="266"/>
      <c r="G78" s="265">
        <v>9704</v>
      </c>
      <c r="H78" s="266"/>
      <c r="I78" s="265">
        <v>9856</v>
      </c>
      <c r="J78" s="266"/>
    </row>
    <row r="79" spans="1:10" x14ac:dyDescent="0.3">
      <c r="A79" s="267" t="s">
        <v>21</v>
      </c>
      <c r="B79" s="268"/>
      <c r="C79" s="265">
        <v>1839</v>
      </c>
      <c r="D79" s="266"/>
      <c r="E79" s="265">
        <v>1853</v>
      </c>
      <c r="F79" s="266"/>
      <c r="G79" s="265">
        <v>1858</v>
      </c>
      <c r="H79" s="266"/>
      <c r="I79" s="265">
        <v>1876</v>
      </c>
      <c r="J79" s="266"/>
    </row>
    <row r="80" spans="1:10" x14ac:dyDescent="0.3">
      <c r="A80" s="269" t="s">
        <v>22</v>
      </c>
      <c r="B80" s="270"/>
      <c r="C80" s="265">
        <v>7215</v>
      </c>
      <c r="D80" s="266"/>
      <c r="E80" s="265">
        <v>7327</v>
      </c>
      <c r="F80" s="266"/>
      <c r="G80" s="265">
        <v>7442</v>
      </c>
      <c r="H80" s="266"/>
      <c r="I80" s="265">
        <v>7584</v>
      </c>
      <c r="J80" s="266"/>
    </row>
    <row r="81" spans="1:10" x14ac:dyDescent="0.3">
      <c r="A81" s="263" t="s">
        <v>76</v>
      </c>
      <c r="B81" s="264"/>
      <c r="C81" s="265">
        <f>SUM(C72:C80)</f>
        <v>83902</v>
      </c>
      <c r="D81" s="266"/>
      <c r="E81" s="265">
        <v>84660</v>
      </c>
      <c r="F81" s="266"/>
      <c r="G81" s="265">
        <f>SUM(G72:G80)</f>
        <v>85694</v>
      </c>
      <c r="H81" s="266"/>
      <c r="I81" s="265">
        <f>SUM(I72:I80)</f>
        <v>86827</v>
      </c>
      <c r="J81" s="266"/>
    </row>
  </sheetData>
  <mergeCells count="333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DF21-0931-4A7D-BDEE-D3C6A5DDD789}">
  <dimension ref="A1:AA81"/>
  <sheetViews>
    <sheetView workbookViewId="0">
      <selection activeCell="R23" sqref="R23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394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10806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7089</v>
      </c>
      <c r="N4" s="6">
        <v>3700</v>
      </c>
      <c r="O4" s="6">
        <v>380</v>
      </c>
      <c r="P4" s="7">
        <v>12192</v>
      </c>
      <c r="Q4" s="7">
        <v>6355</v>
      </c>
      <c r="R4" s="7">
        <v>1762</v>
      </c>
      <c r="S4" s="64"/>
      <c r="T4" s="64"/>
      <c r="U4" s="64"/>
    </row>
    <row r="5" spans="1:27" ht="15.7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389</v>
      </c>
      <c r="D6" s="377"/>
      <c r="E6" s="377">
        <v>2</v>
      </c>
      <c r="F6" s="377"/>
      <c r="G6" s="377">
        <v>47</v>
      </c>
      <c r="H6" s="377"/>
      <c r="I6" s="377">
        <v>11</v>
      </c>
      <c r="J6" s="377"/>
      <c r="K6" s="377">
        <v>2</v>
      </c>
      <c r="L6" s="377"/>
      <c r="M6" s="95">
        <v>363</v>
      </c>
      <c r="N6" s="9">
        <v>460</v>
      </c>
      <c r="O6" s="9">
        <v>31</v>
      </c>
      <c r="P6" s="9">
        <v>0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383</v>
      </c>
      <c r="D7" s="377"/>
      <c r="E7" s="377">
        <v>3</v>
      </c>
      <c r="F7" s="377"/>
      <c r="G7" s="377">
        <v>0</v>
      </c>
      <c r="H7" s="377"/>
      <c r="I7" s="377">
        <v>0</v>
      </c>
      <c r="J7" s="377"/>
      <c r="K7" s="377">
        <v>0</v>
      </c>
      <c r="L7" s="377"/>
      <c r="M7" s="95">
        <v>289</v>
      </c>
      <c r="N7" s="9">
        <v>84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220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235</v>
      </c>
      <c r="N8" s="9">
        <v>152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90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62</v>
      </c>
      <c r="N9" s="9">
        <v>90</v>
      </c>
      <c r="O9" s="9">
        <v>102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163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183</v>
      </c>
      <c r="N10" s="172">
        <v>137</v>
      </c>
      <c r="O10" s="172">
        <v>57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67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102</v>
      </c>
      <c r="N11" s="9">
        <v>77</v>
      </c>
      <c r="O11" s="9">
        <v>74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0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143</v>
      </c>
      <c r="N12" s="9">
        <v>280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276</v>
      </c>
      <c r="D13" s="377"/>
      <c r="E13" s="377">
        <v>7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146</v>
      </c>
      <c r="N13" s="9">
        <v>113</v>
      </c>
      <c r="O13" s="9">
        <v>45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392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282</v>
      </c>
      <c r="N14" s="9">
        <v>148</v>
      </c>
      <c r="O14" s="9">
        <v>11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4604</v>
      </c>
      <c r="Q15" s="73">
        <v>2469</v>
      </c>
      <c r="R15" s="94">
        <v>3481</v>
      </c>
    </row>
    <row r="16" spans="1:27" ht="15" thickBot="1" x14ac:dyDescent="0.35">
      <c r="A16" s="370" t="s">
        <v>24</v>
      </c>
      <c r="B16" s="371"/>
      <c r="C16" s="372">
        <f>SUM(C4:D15)</f>
        <v>13006</v>
      </c>
      <c r="D16" s="373"/>
      <c r="E16" s="373">
        <f>SUM(E4:F15)</f>
        <v>170</v>
      </c>
      <c r="F16" s="373"/>
      <c r="G16" s="373">
        <f>SUM(G4:H15)</f>
        <v>48</v>
      </c>
      <c r="H16" s="373"/>
      <c r="I16" s="373">
        <f>SUM(I4:J15)</f>
        <v>18</v>
      </c>
      <c r="J16" s="373"/>
      <c r="K16" s="373">
        <f>SUM(K4:L15)</f>
        <v>3</v>
      </c>
      <c r="L16" s="373"/>
      <c r="M16" s="139">
        <f t="shared" ref="M16:R16" si="0">SUM(M4:M15)</f>
        <v>8894</v>
      </c>
      <c r="N16" s="13">
        <f t="shared" si="0"/>
        <v>5241</v>
      </c>
      <c r="O16" s="13">
        <f t="shared" si="0"/>
        <v>735</v>
      </c>
      <c r="P16" s="16">
        <f t="shared" si="0"/>
        <v>16880</v>
      </c>
      <c r="Q16" s="142">
        <f t="shared" si="0"/>
        <v>8866</v>
      </c>
      <c r="R16" s="143">
        <f t="shared" si="0"/>
        <v>5251</v>
      </c>
    </row>
    <row r="17" spans="1:21" x14ac:dyDescent="0.3">
      <c r="A17" s="368" t="s">
        <v>25</v>
      </c>
      <c r="B17" s="368"/>
      <c r="C17" s="369">
        <v>10306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7019</v>
      </c>
      <c r="N17" s="131">
        <v>3500</v>
      </c>
      <c r="O17" s="91">
        <v>380</v>
      </c>
      <c r="P17" s="7">
        <v>12192</v>
      </c>
      <c r="Q17" s="7">
        <v>6355</v>
      </c>
      <c r="R17" s="7">
        <v>1762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163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164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394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642</v>
      </c>
      <c r="D24" s="377"/>
      <c r="E24" s="609" t="s">
        <v>171</v>
      </c>
      <c r="F24" s="609"/>
      <c r="G24" s="377">
        <v>0</v>
      </c>
      <c r="H24" s="377"/>
      <c r="I24" s="377">
        <v>6</v>
      </c>
      <c r="J24" s="377"/>
      <c r="K24" s="9">
        <v>0</v>
      </c>
      <c r="L24" s="28">
        <v>7</v>
      </c>
      <c r="M24" s="28">
        <v>5</v>
      </c>
      <c r="P24" s="64"/>
      <c r="Q24" s="64"/>
      <c r="R24" s="141"/>
    </row>
    <row r="25" spans="1:21" x14ac:dyDescent="0.3">
      <c r="A25" s="378" t="s">
        <v>16</v>
      </c>
      <c r="B25" s="617"/>
      <c r="C25" s="377">
        <v>86</v>
      </c>
      <c r="D25" s="377"/>
      <c r="E25" s="609" t="s">
        <v>396</v>
      </c>
      <c r="F25" s="609"/>
      <c r="G25" s="377">
        <v>0</v>
      </c>
      <c r="H25" s="377"/>
      <c r="I25" s="377">
        <v>54</v>
      </c>
      <c r="J25" s="377"/>
      <c r="K25" s="9">
        <v>0</v>
      </c>
      <c r="L25" s="28">
        <v>2</v>
      </c>
      <c r="M25" s="28">
        <v>0</v>
      </c>
      <c r="P25" s="64"/>
      <c r="Q25" s="64"/>
      <c r="R25" s="141"/>
    </row>
    <row r="26" spans="1:21" x14ac:dyDescent="0.3">
      <c r="A26" s="378" t="s">
        <v>17</v>
      </c>
      <c r="B26" s="617"/>
      <c r="C26" s="377">
        <v>165</v>
      </c>
      <c r="D26" s="377"/>
      <c r="E26" s="609" t="s">
        <v>360</v>
      </c>
      <c r="F26" s="609"/>
      <c r="G26" s="377">
        <v>5</v>
      </c>
      <c r="H26" s="377"/>
      <c r="I26" s="377">
        <v>29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15</v>
      </c>
      <c r="J27" s="377"/>
      <c r="K27" s="9">
        <v>2</v>
      </c>
      <c r="L27" s="28">
        <v>9</v>
      </c>
      <c r="M27" s="28">
        <v>0</v>
      </c>
      <c r="P27" s="64"/>
      <c r="Q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P28" s="64"/>
      <c r="Q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320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260</v>
      </c>
      <c r="D31" s="609"/>
      <c r="E31" s="609" t="s">
        <v>361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10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395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394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399</v>
      </c>
      <c r="D38" s="410"/>
      <c r="E38" s="437" t="s">
        <v>400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391</v>
      </c>
      <c r="M38" s="27" t="s">
        <v>401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397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383</v>
      </c>
      <c r="D40" s="410"/>
      <c r="E40" s="437" t="s">
        <v>337</v>
      </c>
      <c r="F40" s="438"/>
      <c r="G40" s="409" t="s">
        <v>159</v>
      </c>
      <c r="H40" s="410"/>
      <c r="I40" s="409" t="s">
        <v>387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388</v>
      </c>
      <c r="F41" s="438"/>
      <c r="G41" s="409" t="s">
        <v>214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342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402</v>
      </c>
      <c r="F44" s="410"/>
      <c r="G44" s="409" t="s">
        <v>305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99</v>
      </c>
      <c r="D45" s="410"/>
      <c r="E45" s="409" t="s">
        <v>398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334</v>
      </c>
      <c r="D51" s="320"/>
      <c r="E51" s="319" t="s">
        <v>351</v>
      </c>
      <c r="F51" s="320"/>
      <c r="G51" s="319" t="s">
        <v>386</v>
      </c>
      <c r="H51" s="320"/>
      <c r="I51" s="319" t="s">
        <v>394</v>
      </c>
      <c r="J51" s="320"/>
    </row>
    <row r="52" spans="1:10" x14ac:dyDescent="0.3">
      <c r="A52" s="314" t="s">
        <v>59</v>
      </c>
      <c r="B52" s="316"/>
      <c r="C52" s="487">
        <v>8583</v>
      </c>
      <c r="D52" s="487"/>
      <c r="E52" s="487">
        <v>8560</v>
      </c>
      <c r="F52" s="487"/>
      <c r="G52" s="487">
        <v>8499</v>
      </c>
      <c r="H52" s="487"/>
      <c r="I52" s="487">
        <v>8477</v>
      </c>
      <c r="J52" s="487"/>
    </row>
    <row r="53" spans="1:10" ht="15" customHeight="1" x14ac:dyDescent="0.3">
      <c r="A53" s="314" t="s">
        <v>60</v>
      </c>
      <c r="B53" s="316"/>
      <c r="C53" s="311">
        <v>13549</v>
      </c>
      <c r="D53" s="312"/>
      <c r="E53" s="311">
        <v>13536</v>
      </c>
      <c r="F53" s="312"/>
      <c r="G53" s="311">
        <v>13531</v>
      </c>
      <c r="H53" s="312"/>
      <c r="I53" s="311">
        <v>13517</v>
      </c>
      <c r="J53" s="312"/>
    </row>
    <row r="54" spans="1:10" x14ac:dyDescent="0.3">
      <c r="A54" s="314" t="s">
        <v>61</v>
      </c>
      <c r="B54" s="316"/>
      <c r="C54" s="487">
        <v>108555</v>
      </c>
      <c r="D54" s="487"/>
      <c r="E54" s="487">
        <v>108521</v>
      </c>
      <c r="F54" s="487"/>
      <c r="G54" s="487">
        <v>108393</v>
      </c>
      <c r="H54" s="487"/>
      <c r="I54" s="487">
        <v>108362</v>
      </c>
      <c r="J54" s="487"/>
    </row>
    <row r="55" spans="1:10" x14ac:dyDescent="0.3">
      <c r="A55" s="314" t="s">
        <v>62</v>
      </c>
      <c r="B55" s="316"/>
      <c r="C55" s="487">
        <v>208</v>
      </c>
      <c r="D55" s="487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14" t="s">
        <v>63</v>
      </c>
      <c r="B56" s="316"/>
      <c r="C56" s="486">
        <v>48657</v>
      </c>
      <c r="D56" s="486"/>
      <c r="E56" s="486">
        <v>48639</v>
      </c>
      <c r="F56" s="486"/>
      <c r="G56" s="486">
        <v>48596</v>
      </c>
      <c r="H56" s="486"/>
      <c r="I56" s="486">
        <v>48587</v>
      </c>
      <c r="J56" s="486"/>
    </row>
    <row r="57" spans="1:10" x14ac:dyDescent="0.3">
      <c r="A57" s="314" t="s">
        <v>64</v>
      </c>
      <c r="B57" s="316"/>
      <c r="C57" s="303">
        <v>5942</v>
      </c>
      <c r="D57" s="283"/>
      <c r="E57" s="303">
        <v>5944</v>
      </c>
      <c r="F57" s="283"/>
      <c r="G57" s="303">
        <v>5928</v>
      </c>
      <c r="H57" s="283"/>
      <c r="I57" s="303">
        <v>5930</v>
      </c>
      <c r="J57" s="283"/>
    </row>
    <row r="58" spans="1:10" x14ac:dyDescent="0.3">
      <c r="A58" s="314" t="s">
        <v>65</v>
      </c>
      <c r="B58" s="316"/>
      <c r="C58" s="486">
        <v>26381</v>
      </c>
      <c r="D58" s="486"/>
      <c r="E58" s="486">
        <v>26345</v>
      </c>
      <c r="F58" s="486"/>
      <c r="G58" s="486">
        <v>26310</v>
      </c>
      <c r="H58" s="486"/>
      <c r="I58" s="486">
        <v>26311</v>
      </c>
      <c r="J58" s="486"/>
    </row>
    <row r="59" spans="1:10" x14ac:dyDescent="0.3">
      <c r="A59" s="314" t="s">
        <v>66</v>
      </c>
      <c r="B59" s="316"/>
      <c r="C59" s="486">
        <v>4506</v>
      </c>
      <c r="D59" s="486"/>
      <c r="E59" s="486">
        <v>4509</v>
      </c>
      <c r="F59" s="486"/>
      <c r="G59" s="486">
        <v>4508</v>
      </c>
      <c r="H59" s="486"/>
      <c r="I59" s="486">
        <v>4509</v>
      </c>
      <c r="J59" s="486"/>
    </row>
    <row r="60" spans="1:10" x14ac:dyDescent="0.3">
      <c r="A60" s="177"/>
      <c r="B60" s="182" t="s">
        <v>251</v>
      </c>
      <c r="C60" s="486">
        <v>1813</v>
      </c>
      <c r="D60" s="486"/>
      <c r="E60" s="486">
        <v>2024</v>
      </c>
      <c r="F60" s="486"/>
      <c r="G60" s="486">
        <v>2544</v>
      </c>
      <c r="H60" s="486"/>
      <c r="I60" s="486">
        <v>2746</v>
      </c>
      <c r="J60" s="486"/>
    </row>
    <row r="61" spans="1:10" x14ac:dyDescent="0.3">
      <c r="A61" s="314" t="s">
        <v>67</v>
      </c>
      <c r="B61" s="315"/>
      <c r="C61" s="307">
        <v>218180</v>
      </c>
      <c r="D61" s="307"/>
      <c r="E61" s="307">
        <f>SUM(E52:E60)</f>
        <v>218286</v>
      </c>
      <c r="F61" s="307"/>
      <c r="G61" s="307">
        <f>SUM(G52:G60)</f>
        <v>218517</v>
      </c>
      <c r="H61" s="307"/>
      <c r="I61" s="307">
        <f>SUM(I52:I60)</f>
        <v>218647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319" t="s">
        <v>334</v>
      </c>
      <c r="D63" s="320"/>
      <c r="E63" s="319" t="s">
        <v>351</v>
      </c>
      <c r="F63" s="320"/>
      <c r="G63" s="319" t="s">
        <v>386</v>
      </c>
      <c r="H63" s="320"/>
      <c r="I63" s="319" t="s">
        <v>394</v>
      </c>
      <c r="J63" s="320"/>
    </row>
    <row r="64" spans="1:10" x14ac:dyDescent="0.3">
      <c r="A64" s="287"/>
      <c r="B64" s="288"/>
      <c r="C64" s="297">
        <v>144092</v>
      </c>
      <c r="D64" s="298"/>
      <c r="E64" s="297">
        <v>144166</v>
      </c>
      <c r="F64" s="298"/>
      <c r="G64" s="297">
        <v>144319</v>
      </c>
      <c r="H64" s="298"/>
      <c r="I64" s="297">
        <v>144391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220</v>
      </c>
      <c r="D69" s="284"/>
      <c r="E69" s="282" t="s">
        <v>250</v>
      </c>
      <c r="F69" s="284"/>
      <c r="G69" s="282" t="s">
        <v>333</v>
      </c>
      <c r="H69" s="284"/>
      <c r="I69" s="282" t="s">
        <v>352</v>
      </c>
      <c r="J69" s="284"/>
    </row>
    <row r="70" spans="1:10" ht="15" customHeight="1" x14ac:dyDescent="0.3">
      <c r="A70" s="271" t="s">
        <v>73</v>
      </c>
      <c r="B70" s="272"/>
      <c r="C70" s="275" t="s">
        <v>74</v>
      </c>
      <c r="D70" s="276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77"/>
      <c r="D71" s="278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36102</v>
      </c>
      <c r="D72" s="266"/>
      <c r="E72" s="265">
        <v>36368</v>
      </c>
      <c r="F72" s="266"/>
      <c r="G72" s="265">
        <v>36751</v>
      </c>
      <c r="H72" s="266"/>
      <c r="I72" s="265">
        <v>37120</v>
      </c>
      <c r="J72" s="266"/>
    </row>
    <row r="73" spans="1:10" x14ac:dyDescent="0.3">
      <c r="A73" s="269" t="s">
        <v>16</v>
      </c>
      <c r="B73" s="270"/>
      <c r="C73" s="265">
        <v>8166</v>
      </c>
      <c r="D73" s="266"/>
      <c r="E73" s="265">
        <v>8201</v>
      </c>
      <c r="F73" s="266"/>
      <c r="G73" s="265">
        <v>8267</v>
      </c>
      <c r="H73" s="266"/>
      <c r="I73" s="265">
        <v>8384</v>
      </c>
      <c r="J73" s="266"/>
    </row>
    <row r="74" spans="1:10" x14ac:dyDescent="0.3">
      <c r="A74" s="267" t="s">
        <v>17</v>
      </c>
      <c r="B74" s="268"/>
      <c r="C74" s="265">
        <v>7599</v>
      </c>
      <c r="D74" s="266"/>
      <c r="E74" s="265">
        <v>7219</v>
      </c>
      <c r="F74" s="266"/>
      <c r="G74" s="265">
        <v>7311</v>
      </c>
      <c r="H74" s="266"/>
      <c r="I74" s="265">
        <v>7423</v>
      </c>
      <c r="J74" s="266"/>
    </row>
    <row r="75" spans="1:10" x14ac:dyDescent="0.3">
      <c r="A75" s="267" t="s">
        <v>75</v>
      </c>
      <c r="B75" s="268"/>
      <c r="C75" s="265">
        <v>2032</v>
      </c>
      <c r="D75" s="266"/>
      <c r="E75" s="265">
        <v>2508</v>
      </c>
      <c r="F75" s="266"/>
      <c r="G75" s="265">
        <v>2547</v>
      </c>
      <c r="H75" s="266"/>
      <c r="I75" s="265">
        <v>2597</v>
      </c>
      <c r="J75" s="266"/>
    </row>
    <row r="76" spans="1:10" x14ac:dyDescent="0.3">
      <c r="A76" s="269" t="s">
        <v>18</v>
      </c>
      <c r="B76" s="270"/>
      <c r="C76" s="265">
        <v>6107</v>
      </c>
      <c r="D76" s="266"/>
      <c r="E76" s="265">
        <v>6196</v>
      </c>
      <c r="F76" s="266"/>
      <c r="G76" s="265">
        <v>6380</v>
      </c>
      <c r="H76" s="266"/>
      <c r="I76" s="265">
        <v>6522</v>
      </c>
      <c r="J76" s="266"/>
    </row>
    <row r="77" spans="1:10" x14ac:dyDescent="0.3">
      <c r="A77" s="267" t="s">
        <v>19</v>
      </c>
      <c r="B77" s="268"/>
      <c r="C77" s="265">
        <v>5399</v>
      </c>
      <c r="D77" s="266"/>
      <c r="E77" s="265">
        <v>5419</v>
      </c>
      <c r="F77" s="266"/>
      <c r="G77" s="265">
        <v>5434</v>
      </c>
      <c r="H77" s="266"/>
      <c r="I77" s="265">
        <v>5465</v>
      </c>
      <c r="J77" s="266"/>
    </row>
    <row r="78" spans="1:10" x14ac:dyDescent="0.3">
      <c r="A78" s="269" t="s">
        <v>20</v>
      </c>
      <c r="B78" s="270"/>
      <c r="C78" s="265">
        <v>9443</v>
      </c>
      <c r="D78" s="266"/>
      <c r="E78" s="265">
        <v>9569</v>
      </c>
      <c r="F78" s="266"/>
      <c r="G78" s="265">
        <v>9704</v>
      </c>
      <c r="H78" s="266"/>
      <c r="I78" s="265">
        <v>9856</v>
      </c>
      <c r="J78" s="266"/>
    </row>
    <row r="79" spans="1:10" x14ac:dyDescent="0.3">
      <c r="A79" s="267" t="s">
        <v>21</v>
      </c>
      <c r="B79" s="268"/>
      <c r="C79" s="265">
        <v>1839</v>
      </c>
      <c r="D79" s="266"/>
      <c r="E79" s="265">
        <v>1853</v>
      </c>
      <c r="F79" s="266"/>
      <c r="G79" s="265">
        <v>1858</v>
      </c>
      <c r="H79" s="266"/>
      <c r="I79" s="265">
        <v>1876</v>
      </c>
      <c r="J79" s="266"/>
    </row>
    <row r="80" spans="1:10" x14ac:dyDescent="0.3">
      <c r="A80" s="269" t="s">
        <v>22</v>
      </c>
      <c r="B80" s="270"/>
      <c r="C80" s="265">
        <v>7215</v>
      </c>
      <c r="D80" s="266"/>
      <c r="E80" s="265">
        <v>7327</v>
      </c>
      <c r="F80" s="266"/>
      <c r="G80" s="265">
        <v>7442</v>
      </c>
      <c r="H80" s="266"/>
      <c r="I80" s="265">
        <v>7584</v>
      </c>
      <c r="J80" s="266"/>
    </row>
    <row r="81" spans="1:10" x14ac:dyDescent="0.3">
      <c r="A81" s="263" t="s">
        <v>76</v>
      </c>
      <c r="B81" s="264"/>
      <c r="C81" s="265">
        <f>SUM(C72:C80)</f>
        <v>83902</v>
      </c>
      <c r="D81" s="266"/>
      <c r="E81" s="265">
        <v>84660</v>
      </c>
      <c r="F81" s="266"/>
      <c r="G81" s="265">
        <f>SUM(G72:G80)</f>
        <v>85694</v>
      </c>
      <c r="H81" s="266"/>
      <c r="I81" s="265">
        <f>SUM(I72:I80)</f>
        <v>86827</v>
      </c>
      <c r="J81" s="266"/>
    </row>
  </sheetData>
  <mergeCells count="333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0:B71"/>
    <mergeCell ref="C70:D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0577-21B6-4EC5-8FEF-85DED44CE2C8}">
  <dimension ref="A1:AA81"/>
  <sheetViews>
    <sheetView topLeftCell="A3" workbookViewId="0">
      <selection activeCell="T83" sqref="T83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595"/>
      <c r="B1" s="595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6"/>
      <c r="O1" s="586"/>
      <c r="P1" s="586"/>
      <c r="Q1" s="588"/>
      <c r="R1" s="736"/>
    </row>
    <row r="2" spans="1:27" ht="9" customHeight="1" x14ac:dyDescent="0.3">
      <c r="A2" s="595"/>
      <c r="B2" s="595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604"/>
      <c r="N2" s="586"/>
      <c r="O2" s="586"/>
      <c r="P2" s="586"/>
      <c r="Q2" s="588"/>
      <c r="R2" s="736"/>
      <c r="S2" s="64"/>
    </row>
    <row r="3" spans="1:27" x14ac:dyDescent="0.3">
      <c r="A3" s="580"/>
      <c r="B3" s="580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224"/>
      <c r="S3" s="64"/>
      <c r="T3" s="64"/>
      <c r="U3" s="64"/>
    </row>
    <row r="4" spans="1:27" x14ac:dyDescent="0.3">
      <c r="A4" s="600"/>
      <c r="B4" s="600"/>
      <c r="C4" s="596"/>
      <c r="D4" s="596"/>
      <c r="E4" s="597"/>
      <c r="F4" s="597"/>
      <c r="G4" s="597"/>
      <c r="H4" s="597"/>
      <c r="I4" s="597"/>
      <c r="J4" s="597"/>
      <c r="K4" s="597"/>
      <c r="L4" s="597"/>
      <c r="M4" s="148"/>
      <c r="N4" s="8"/>
      <c r="O4" s="8"/>
      <c r="P4" s="149"/>
      <c r="Q4" s="149"/>
      <c r="R4" s="225"/>
      <c r="S4" s="64"/>
      <c r="T4" s="64"/>
      <c r="U4" s="64"/>
    </row>
    <row r="5" spans="1:27" ht="15.75" customHeight="1" x14ac:dyDescent="0.3">
      <c r="A5" s="600"/>
      <c r="B5" s="600"/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148"/>
      <c r="N5" s="150"/>
      <c r="O5" s="150"/>
      <c r="P5" s="150"/>
      <c r="Q5" s="150"/>
      <c r="R5" s="217"/>
      <c r="S5" s="64"/>
      <c r="T5" s="64"/>
      <c r="U5" s="64"/>
    </row>
    <row r="6" spans="1:27" x14ac:dyDescent="0.3">
      <c r="A6" s="584"/>
      <c r="B6" s="584"/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64"/>
      <c r="N6" s="152"/>
      <c r="O6" s="152"/>
      <c r="P6" s="152"/>
      <c r="Q6" s="152"/>
      <c r="R6" s="216"/>
      <c r="S6" s="64"/>
      <c r="T6" s="64"/>
      <c r="U6" s="64"/>
    </row>
    <row r="7" spans="1:27" x14ac:dyDescent="0.3">
      <c r="A7" s="584"/>
      <c r="B7" s="584"/>
      <c r="C7" s="591"/>
      <c r="D7" s="591"/>
      <c r="E7" s="591"/>
      <c r="F7" s="591"/>
      <c r="G7" s="591"/>
      <c r="H7" s="591"/>
      <c r="I7" s="591"/>
      <c r="J7" s="591"/>
      <c r="K7" s="591"/>
      <c r="L7" s="591"/>
      <c r="M7" s="64"/>
      <c r="N7" s="152"/>
      <c r="O7" s="152"/>
      <c r="P7" s="152"/>
      <c r="Q7" s="152"/>
      <c r="R7" s="216"/>
      <c r="S7" s="64"/>
      <c r="T7" s="64"/>
      <c r="U7" s="64"/>
    </row>
    <row r="8" spans="1:27" x14ac:dyDescent="0.3">
      <c r="A8" s="584"/>
      <c r="B8" s="584"/>
      <c r="C8" s="591"/>
      <c r="D8" s="591"/>
      <c r="E8" s="591"/>
      <c r="F8" s="591"/>
      <c r="G8" s="591"/>
      <c r="H8" s="591"/>
      <c r="I8" s="591"/>
      <c r="J8" s="591"/>
      <c r="K8" s="591"/>
      <c r="L8" s="591"/>
      <c r="M8" s="64"/>
      <c r="N8" s="152"/>
      <c r="O8" s="152"/>
      <c r="P8" s="152"/>
      <c r="Q8" s="152"/>
      <c r="R8" s="216"/>
      <c r="S8" s="64"/>
      <c r="T8" s="64"/>
      <c r="U8" s="64"/>
    </row>
    <row r="9" spans="1:27" x14ac:dyDescent="0.3">
      <c r="A9" s="584"/>
      <c r="B9" s="584"/>
      <c r="C9" s="591"/>
      <c r="D9" s="591"/>
      <c r="E9" s="591"/>
      <c r="F9" s="591"/>
      <c r="G9" s="591"/>
      <c r="H9" s="591"/>
      <c r="I9" s="591"/>
      <c r="J9" s="591"/>
      <c r="K9" s="591"/>
      <c r="L9" s="591"/>
      <c r="M9" s="64"/>
      <c r="N9" s="152"/>
      <c r="O9" s="152"/>
      <c r="P9" s="152"/>
      <c r="Q9" s="152"/>
      <c r="R9" s="216"/>
      <c r="S9" s="64"/>
      <c r="T9" s="64"/>
      <c r="U9" s="64"/>
    </row>
    <row r="10" spans="1:27" ht="15" thickBot="1" x14ac:dyDescent="0.35">
      <c r="A10" s="584"/>
      <c r="B10" s="606"/>
      <c r="C10" s="591"/>
      <c r="D10" s="605"/>
      <c r="E10" s="591"/>
      <c r="F10" s="605"/>
      <c r="G10" s="591"/>
      <c r="H10" s="605"/>
      <c r="I10" s="591"/>
      <c r="J10" s="605"/>
      <c r="K10" s="591"/>
      <c r="L10" s="605"/>
      <c r="M10" s="64"/>
      <c r="N10" s="228"/>
      <c r="O10" s="228"/>
      <c r="P10" s="152"/>
      <c r="Q10" s="152"/>
      <c r="R10" s="216"/>
      <c r="S10" s="64"/>
      <c r="T10" s="64"/>
      <c r="U10" s="64"/>
      <c r="V10" s="64"/>
      <c r="Z10" s="40"/>
      <c r="AA10" s="40"/>
    </row>
    <row r="11" spans="1:27" ht="15" thickBot="1" x14ac:dyDescent="0.35">
      <c r="A11" s="584"/>
      <c r="B11" s="584"/>
      <c r="C11" s="591"/>
      <c r="D11" s="591"/>
      <c r="E11" s="591"/>
      <c r="F11" s="591"/>
      <c r="G11" s="591"/>
      <c r="H11" s="591"/>
      <c r="I11" s="591"/>
      <c r="J11" s="591"/>
      <c r="K11" s="591"/>
      <c r="L11" s="591"/>
      <c r="M11" s="64"/>
      <c r="N11" s="152"/>
      <c r="O11" s="152"/>
      <c r="P11" s="152"/>
      <c r="Q11" s="152"/>
      <c r="R11" s="216"/>
      <c r="S11" s="64"/>
      <c r="U11" s="64"/>
      <c r="V11" s="64"/>
      <c r="Z11" s="40"/>
      <c r="AA11" s="40"/>
    </row>
    <row r="12" spans="1:27" x14ac:dyDescent="0.3">
      <c r="A12" s="584"/>
      <c r="B12" s="584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64"/>
      <c r="N12" s="152"/>
      <c r="O12" s="152"/>
      <c r="P12" s="152"/>
      <c r="Q12" s="152"/>
      <c r="R12" s="216"/>
    </row>
    <row r="13" spans="1:27" x14ac:dyDescent="0.3">
      <c r="A13" s="584"/>
      <c r="B13" s="584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64"/>
      <c r="N13" s="152"/>
      <c r="O13" s="152"/>
      <c r="P13" s="152"/>
      <c r="Q13" s="152"/>
      <c r="R13" s="216"/>
    </row>
    <row r="14" spans="1:27" x14ac:dyDescent="0.3">
      <c r="A14" s="584"/>
      <c r="B14" s="584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64"/>
      <c r="N14" s="152"/>
      <c r="O14" s="152"/>
      <c r="P14" s="152"/>
      <c r="Q14" s="152"/>
      <c r="R14" s="216"/>
      <c r="W14" s="64"/>
      <c r="X14" s="64"/>
    </row>
    <row r="15" spans="1:27" ht="15" thickBot="1" x14ac:dyDescent="0.35">
      <c r="A15" s="599"/>
      <c r="B15" s="599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154"/>
      <c r="N15" s="152"/>
      <c r="O15" s="152"/>
      <c r="P15" s="155"/>
      <c r="Q15" s="155"/>
      <c r="R15" s="226"/>
    </row>
    <row r="16" spans="1:27" ht="15" thickBot="1" x14ac:dyDescent="0.35">
      <c r="A16" s="580"/>
      <c r="B16" s="580"/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64"/>
      <c r="N16" s="146"/>
      <c r="O16" s="146"/>
      <c r="P16" s="158"/>
      <c r="Q16" s="158"/>
      <c r="R16" s="227"/>
    </row>
    <row r="17" spans="1:21" x14ac:dyDescent="0.3">
      <c r="A17" s="596"/>
      <c r="B17" s="596"/>
      <c r="C17" s="597"/>
      <c r="D17" s="597"/>
      <c r="E17" s="596"/>
      <c r="F17" s="596"/>
      <c r="G17" s="596"/>
      <c r="H17" s="596"/>
      <c r="I17" s="596"/>
      <c r="J17" s="596"/>
      <c r="K17" s="596"/>
      <c r="L17" s="596"/>
      <c r="M17" s="159"/>
      <c r="N17" s="147"/>
      <c r="O17" s="160"/>
      <c r="P17" s="149"/>
      <c r="Q17" s="149"/>
      <c r="R17" s="225"/>
      <c r="S17" s="602"/>
      <c r="T17" s="602"/>
      <c r="U17" s="602"/>
    </row>
    <row r="18" spans="1:21" x14ac:dyDescent="0.3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595"/>
      <c r="B21" s="595"/>
      <c r="C21" s="588"/>
      <c r="D21" s="588"/>
      <c r="E21" s="588"/>
      <c r="F21" s="588"/>
      <c r="G21" s="588"/>
      <c r="H21" s="588"/>
      <c r="I21" s="586"/>
      <c r="J21" s="586"/>
      <c r="K21" s="586"/>
      <c r="L21" s="1"/>
      <c r="M21" s="1"/>
      <c r="O21" s="597"/>
      <c r="P21" s="597"/>
      <c r="S21" s="64"/>
      <c r="T21" s="64"/>
      <c r="U21" s="141"/>
    </row>
    <row r="22" spans="1:21" x14ac:dyDescent="0.3">
      <c r="A22" s="595"/>
      <c r="B22" s="595"/>
      <c r="C22" s="588"/>
      <c r="D22" s="588"/>
      <c r="E22" s="588"/>
      <c r="F22" s="588"/>
      <c r="G22" s="588"/>
      <c r="H22" s="588"/>
      <c r="I22" s="586"/>
      <c r="J22" s="586"/>
      <c r="K22" s="586"/>
      <c r="L22" s="161"/>
      <c r="M22" s="161"/>
      <c r="S22" s="64"/>
      <c r="T22" s="64"/>
      <c r="U22" s="141"/>
    </row>
    <row r="23" spans="1:21" x14ac:dyDescent="0.3">
      <c r="A23" s="580"/>
      <c r="B23" s="580"/>
      <c r="C23" s="588"/>
      <c r="D23" s="588"/>
      <c r="E23" s="588"/>
      <c r="F23" s="588"/>
      <c r="G23" s="588"/>
      <c r="H23" s="588"/>
      <c r="I23" s="588"/>
      <c r="J23" s="588"/>
      <c r="K23" s="588"/>
      <c r="L23" s="1"/>
      <c r="M23" s="1"/>
      <c r="S23" s="64"/>
      <c r="T23" s="64"/>
      <c r="U23" s="141"/>
    </row>
    <row r="24" spans="1:21" x14ac:dyDescent="0.3">
      <c r="A24" s="584"/>
      <c r="B24" s="584"/>
      <c r="C24" s="591"/>
      <c r="D24" s="591"/>
      <c r="E24" s="594"/>
      <c r="F24" s="594"/>
      <c r="G24" s="591"/>
      <c r="H24" s="591"/>
      <c r="I24" s="591"/>
      <c r="J24" s="591"/>
      <c r="K24" s="152"/>
      <c r="L24" s="29"/>
      <c r="M24" s="29"/>
      <c r="P24" s="64"/>
      <c r="Q24" s="64"/>
      <c r="R24" s="141"/>
    </row>
    <row r="25" spans="1:21" x14ac:dyDescent="0.3">
      <c r="A25" s="584"/>
      <c r="B25" s="584"/>
      <c r="C25" s="591"/>
      <c r="D25" s="591"/>
      <c r="E25" s="594"/>
      <c r="F25" s="594"/>
      <c r="G25" s="591"/>
      <c r="H25" s="591"/>
      <c r="I25" s="591"/>
      <c r="J25" s="591"/>
      <c r="K25" s="152"/>
      <c r="L25" s="29"/>
      <c r="M25" s="29"/>
      <c r="P25" s="64"/>
      <c r="Q25" s="64"/>
      <c r="R25" s="141"/>
    </row>
    <row r="26" spans="1:21" x14ac:dyDescent="0.3">
      <c r="A26" s="584"/>
      <c r="B26" s="584"/>
      <c r="C26" s="591"/>
      <c r="D26" s="591"/>
      <c r="E26" s="594"/>
      <c r="F26" s="594"/>
      <c r="G26" s="591"/>
      <c r="H26" s="591"/>
      <c r="I26" s="591"/>
      <c r="J26" s="591"/>
      <c r="K26" s="152"/>
      <c r="L26" s="29"/>
      <c r="M26" s="29"/>
    </row>
    <row r="27" spans="1:21" x14ac:dyDescent="0.3">
      <c r="A27" s="584"/>
      <c r="B27" s="584"/>
      <c r="C27" s="594"/>
      <c r="D27" s="594"/>
      <c r="E27" s="594"/>
      <c r="F27" s="594"/>
      <c r="G27" s="591"/>
      <c r="H27" s="591"/>
      <c r="I27" s="591"/>
      <c r="J27" s="591"/>
      <c r="K27" s="152"/>
      <c r="L27" s="29"/>
      <c r="M27" s="29"/>
      <c r="P27" s="64"/>
      <c r="Q27" s="64"/>
    </row>
    <row r="28" spans="1:21" x14ac:dyDescent="0.3">
      <c r="A28" s="584"/>
      <c r="B28" s="606"/>
      <c r="C28" s="594"/>
      <c r="D28" s="605"/>
      <c r="E28" s="594"/>
      <c r="F28" s="605"/>
      <c r="G28" s="591"/>
      <c r="H28" s="605"/>
      <c r="I28" s="591"/>
      <c r="J28" s="605"/>
      <c r="K28" s="152"/>
      <c r="L28" s="29"/>
      <c r="M28" s="29"/>
      <c r="P28" s="64"/>
      <c r="Q28" s="64"/>
    </row>
    <row r="29" spans="1:21" x14ac:dyDescent="0.3">
      <c r="A29" s="584"/>
      <c r="B29" s="584"/>
      <c r="C29" s="594"/>
      <c r="D29" s="594"/>
      <c r="E29" s="594"/>
      <c r="F29" s="594"/>
      <c r="G29" s="591"/>
      <c r="H29" s="591"/>
      <c r="I29" s="591"/>
      <c r="J29" s="591"/>
      <c r="K29" s="152"/>
      <c r="L29" s="29"/>
      <c r="M29" s="29"/>
    </row>
    <row r="30" spans="1:21" x14ac:dyDescent="0.3">
      <c r="A30" s="584"/>
      <c r="B30" s="584"/>
      <c r="C30" s="591"/>
      <c r="D30" s="591"/>
      <c r="E30" s="594"/>
      <c r="F30" s="594"/>
      <c r="G30" s="591"/>
      <c r="H30" s="591"/>
      <c r="I30" s="591"/>
      <c r="J30" s="591"/>
      <c r="K30" s="152"/>
      <c r="L30" s="29"/>
      <c r="M30" s="29"/>
    </row>
    <row r="31" spans="1:21" x14ac:dyDescent="0.3">
      <c r="A31" s="584"/>
      <c r="B31" s="584"/>
      <c r="C31" s="594"/>
      <c r="D31" s="594"/>
      <c r="E31" s="594"/>
      <c r="F31" s="594"/>
      <c r="G31" s="591"/>
      <c r="H31" s="591"/>
      <c r="I31" s="591"/>
      <c r="J31" s="591"/>
      <c r="K31" s="152"/>
      <c r="L31" s="29"/>
      <c r="M31" s="29"/>
    </row>
    <row r="32" spans="1:21" x14ac:dyDescent="0.3">
      <c r="A32" s="584"/>
      <c r="B32" s="584"/>
      <c r="C32" s="591"/>
      <c r="D32" s="591"/>
      <c r="E32" s="594"/>
      <c r="F32" s="594"/>
      <c r="G32" s="591"/>
      <c r="H32" s="591"/>
      <c r="I32" s="591"/>
      <c r="J32" s="591"/>
      <c r="K32" s="152"/>
      <c r="L32" s="29"/>
      <c r="M32" s="29"/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595"/>
      <c r="B35" s="595"/>
      <c r="C35" s="588"/>
      <c r="D35" s="588"/>
      <c r="E35" s="588"/>
      <c r="F35" s="588"/>
      <c r="G35" s="588"/>
      <c r="H35" s="588"/>
      <c r="I35" s="586"/>
      <c r="J35" s="586"/>
      <c r="K35" s="586"/>
      <c r="L35" s="1"/>
      <c r="M35" s="1"/>
    </row>
    <row r="36" spans="1:13" x14ac:dyDescent="0.3">
      <c r="A36" s="595"/>
      <c r="B36" s="595"/>
      <c r="C36" s="588"/>
      <c r="D36" s="588"/>
      <c r="E36" s="588"/>
      <c r="F36" s="588"/>
      <c r="G36" s="588"/>
      <c r="H36" s="588"/>
      <c r="I36" s="586"/>
      <c r="J36" s="586"/>
      <c r="K36" s="586"/>
      <c r="L36" s="161"/>
      <c r="M36" s="161"/>
    </row>
    <row r="37" spans="1:13" x14ac:dyDescent="0.3">
      <c r="A37" s="580"/>
      <c r="B37" s="580"/>
      <c r="C37" s="588"/>
      <c r="D37" s="588"/>
      <c r="E37" s="588"/>
      <c r="F37" s="588"/>
      <c r="G37" s="588"/>
      <c r="H37" s="588"/>
      <c r="I37" s="588"/>
      <c r="J37" s="588"/>
      <c r="K37" s="588"/>
      <c r="L37" s="1"/>
      <c r="M37" s="1"/>
    </row>
    <row r="38" spans="1:13" x14ac:dyDescent="0.3">
      <c r="A38" s="590"/>
      <c r="B38" s="590"/>
      <c r="C38" s="591"/>
      <c r="D38" s="591"/>
      <c r="E38" s="592"/>
      <c r="F38" s="592"/>
      <c r="G38" s="591"/>
      <c r="H38" s="591"/>
      <c r="I38" s="591"/>
      <c r="J38" s="591"/>
      <c r="K38" s="152"/>
      <c r="L38" s="29"/>
      <c r="M38" s="29"/>
    </row>
    <row r="39" spans="1:13" x14ac:dyDescent="0.3">
      <c r="A39" s="590"/>
      <c r="B39" s="590"/>
      <c r="C39" s="591"/>
      <c r="D39" s="591"/>
      <c r="E39" s="592"/>
      <c r="F39" s="592"/>
      <c r="G39" s="591"/>
      <c r="H39" s="591"/>
      <c r="I39" s="591"/>
      <c r="J39" s="591"/>
      <c r="K39" s="152"/>
      <c r="L39" s="29"/>
      <c r="M39" s="29"/>
    </row>
    <row r="40" spans="1:13" x14ac:dyDescent="0.3">
      <c r="A40" s="590"/>
      <c r="B40" s="590"/>
      <c r="C40" s="591"/>
      <c r="D40" s="591"/>
      <c r="E40" s="592"/>
      <c r="F40" s="592"/>
      <c r="G40" s="591"/>
      <c r="H40" s="591"/>
      <c r="I40" s="591"/>
      <c r="J40" s="591"/>
      <c r="K40" s="152"/>
      <c r="L40" s="29"/>
      <c r="M40" s="29"/>
    </row>
    <row r="41" spans="1:13" x14ac:dyDescent="0.3">
      <c r="A41" s="590"/>
      <c r="B41" s="590"/>
      <c r="C41" s="591"/>
      <c r="D41" s="591"/>
      <c r="E41" s="592"/>
      <c r="F41" s="592"/>
      <c r="G41" s="591"/>
      <c r="H41" s="591"/>
      <c r="I41" s="591"/>
      <c r="J41" s="591"/>
      <c r="K41" s="152"/>
      <c r="L41" s="29"/>
      <c r="M41" s="29"/>
    </row>
    <row r="42" spans="1:13" x14ac:dyDescent="0.3">
      <c r="A42" s="590"/>
      <c r="B42" s="607"/>
      <c r="C42" s="591"/>
      <c r="D42" s="605"/>
      <c r="E42" s="592"/>
      <c r="F42" s="604"/>
      <c r="G42" s="591"/>
      <c r="H42" s="605"/>
      <c r="I42" s="591"/>
      <c r="J42" s="605"/>
      <c r="K42" s="152"/>
      <c r="L42" s="29"/>
      <c r="M42" s="29"/>
    </row>
    <row r="43" spans="1:13" x14ac:dyDescent="0.3">
      <c r="A43" s="590"/>
      <c r="B43" s="590"/>
      <c r="C43" s="591"/>
      <c r="D43" s="591"/>
      <c r="E43" s="592"/>
      <c r="F43" s="592"/>
      <c r="G43" s="591"/>
      <c r="H43" s="591"/>
      <c r="I43" s="591"/>
      <c r="J43" s="591"/>
      <c r="K43" s="152"/>
      <c r="L43" s="29"/>
      <c r="M43" s="29"/>
    </row>
    <row r="44" spans="1:13" x14ac:dyDescent="0.3">
      <c r="A44" s="590"/>
      <c r="B44" s="590"/>
      <c r="C44" s="591"/>
      <c r="D44" s="591"/>
      <c r="E44" s="591"/>
      <c r="F44" s="591"/>
      <c r="G44" s="591"/>
      <c r="H44" s="591"/>
      <c r="I44" s="591"/>
      <c r="J44" s="591"/>
      <c r="K44" s="152"/>
      <c r="L44" s="29"/>
      <c r="M44" s="29"/>
    </row>
    <row r="45" spans="1:13" x14ac:dyDescent="0.3">
      <c r="A45" s="590"/>
      <c r="B45" s="590"/>
      <c r="C45" s="591"/>
      <c r="D45" s="591"/>
      <c r="E45" s="591"/>
      <c r="F45" s="591"/>
      <c r="G45" s="591"/>
      <c r="H45" s="591"/>
      <c r="I45" s="591"/>
      <c r="J45" s="591"/>
      <c r="K45" s="152"/>
      <c r="L45" s="29"/>
      <c r="M45" s="29"/>
    </row>
    <row r="46" spans="1:13" x14ac:dyDescent="0.3">
      <c r="A46" s="590"/>
      <c r="B46" s="590"/>
      <c r="C46" s="591"/>
      <c r="D46" s="591"/>
      <c r="E46" s="592"/>
      <c r="F46" s="592"/>
      <c r="G46" s="591"/>
      <c r="H46" s="591"/>
      <c r="I46" s="591"/>
      <c r="J46" s="591"/>
      <c r="K46" s="152"/>
      <c r="L46" s="29"/>
      <c r="M46" s="29"/>
    </row>
    <row r="47" spans="1:13" x14ac:dyDescent="0.3">
      <c r="A47" s="593"/>
      <c r="B47" s="593"/>
      <c r="C47" s="593"/>
      <c r="D47" s="593"/>
      <c r="E47" s="593"/>
      <c r="F47" s="593"/>
      <c r="G47" s="593"/>
      <c r="H47" s="593"/>
      <c r="I47" s="593"/>
      <c r="J47" s="593"/>
      <c r="K47" s="59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580"/>
      <c r="B50" s="580"/>
      <c r="C50" s="580"/>
      <c r="D50" s="580"/>
      <c r="E50" s="580"/>
      <c r="F50" s="580"/>
      <c r="G50" s="580"/>
      <c r="H50" s="580"/>
      <c r="I50" s="580"/>
      <c r="J50" s="580"/>
    </row>
    <row r="51" spans="1:10" x14ac:dyDescent="0.3">
      <c r="A51" s="580"/>
      <c r="B51" s="580"/>
      <c r="C51" s="585"/>
      <c r="D51" s="585"/>
      <c r="E51" s="585"/>
      <c r="F51" s="585"/>
      <c r="G51" s="585"/>
      <c r="H51" s="585"/>
      <c r="I51" s="585"/>
      <c r="J51" s="585"/>
    </row>
    <row r="52" spans="1:10" x14ac:dyDescent="0.3">
      <c r="A52" s="580"/>
      <c r="B52" s="580"/>
      <c r="C52" s="589"/>
      <c r="D52" s="589"/>
      <c r="E52" s="589"/>
      <c r="F52" s="589"/>
      <c r="G52" s="589"/>
      <c r="H52" s="589"/>
      <c r="I52" s="589"/>
      <c r="J52" s="589"/>
    </row>
    <row r="53" spans="1:10" ht="15" customHeight="1" x14ac:dyDescent="0.3">
      <c r="A53" s="580"/>
      <c r="B53" s="580"/>
      <c r="C53" s="589"/>
      <c r="D53" s="589"/>
      <c r="E53" s="589"/>
      <c r="F53" s="589"/>
      <c r="G53" s="589"/>
      <c r="H53" s="589"/>
      <c r="I53" s="589"/>
      <c r="J53" s="589"/>
    </row>
    <row r="54" spans="1:10" x14ac:dyDescent="0.3">
      <c r="A54" s="580"/>
      <c r="B54" s="580"/>
      <c r="C54" s="589"/>
      <c r="D54" s="589"/>
      <c r="E54" s="589"/>
      <c r="F54" s="589"/>
      <c r="G54" s="589"/>
      <c r="H54" s="589"/>
      <c r="I54" s="589"/>
      <c r="J54" s="589"/>
    </row>
    <row r="55" spans="1:10" x14ac:dyDescent="0.3">
      <c r="A55" s="580"/>
      <c r="B55" s="580"/>
      <c r="C55" s="589"/>
      <c r="D55" s="589"/>
      <c r="E55" s="589"/>
      <c r="F55" s="589"/>
      <c r="G55" s="589"/>
      <c r="H55" s="589"/>
      <c r="I55" s="589"/>
      <c r="J55" s="589"/>
    </row>
    <row r="56" spans="1:10" x14ac:dyDescent="0.3">
      <c r="A56" s="580"/>
      <c r="B56" s="580"/>
      <c r="C56" s="582"/>
      <c r="D56" s="582"/>
      <c r="E56" s="582"/>
      <c r="F56" s="582"/>
      <c r="G56" s="582"/>
      <c r="H56" s="582"/>
      <c r="I56" s="582"/>
      <c r="J56" s="582"/>
    </row>
    <row r="57" spans="1:10" x14ac:dyDescent="0.3">
      <c r="A57" s="580"/>
      <c r="B57" s="580"/>
      <c r="C57" s="582"/>
      <c r="D57" s="582"/>
      <c r="E57" s="582"/>
      <c r="F57" s="582"/>
      <c r="G57" s="582"/>
      <c r="H57" s="582"/>
      <c r="I57" s="582"/>
      <c r="J57" s="582"/>
    </row>
    <row r="58" spans="1:10" x14ac:dyDescent="0.3">
      <c r="A58" s="580"/>
      <c r="B58" s="580"/>
      <c r="C58" s="582"/>
      <c r="D58" s="582"/>
      <c r="E58" s="582"/>
      <c r="F58" s="582"/>
      <c r="G58" s="582"/>
      <c r="H58" s="582"/>
      <c r="I58" s="582"/>
      <c r="J58" s="582"/>
    </row>
    <row r="59" spans="1:10" x14ac:dyDescent="0.3">
      <c r="A59" s="580"/>
      <c r="B59" s="580"/>
      <c r="C59" s="582"/>
      <c r="D59" s="582"/>
      <c r="E59" s="582"/>
      <c r="F59" s="582"/>
      <c r="G59" s="582"/>
      <c r="H59" s="582"/>
      <c r="I59" s="582"/>
      <c r="J59" s="582"/>
    </row>
    <row r="60" spans="1:10" x14ac:dyDescent="0.3">
      <c r="A60" s="146"/>
      <c r="B60" s="151"/>
      <c r="C60" s="582"/>
      <c r="D60" s="582"/>
      <c r="E60" s="582"/>
      <c r="F60" s="582"/>
      <c r="G60" s="582"/>
      <c r="H60" s="582"/>
      <c r="I60" s="582"/>
      <c r="J60" s="582"/>
    </row>
    <row r="61" spans="1:10" x14ac:dyDescent="0.3">
      <c r="A61" s="580"/>
      <c r="B61" s="580"/>
      <c r="C61" s="587"/>
      <c r="D61" s="587"/>
      <c r="E61" s="587"/>
      <c r="F61" s="587"/>
      <c r="G61" s="587"/>
      <c r="H61" s="587"/>
      <c r="I61" s="587"/>
      <c r="J61" s="58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586"/>
      <c r="B63" s="586"/>
      <c r="C63" s="162"/>
      <c r="D63" s="162"/>
      <c r="E63" s="737"/>
      <c r="F63" s="737"/>
      <c r="G63" s="585"/>
      <c r="H63" s="585"/>
      <c r="I63" s="585"/>
      <c r="J63" s="585"/>
    </row>
    <row r="64" spans="1:10" x14ac:dyDescent="0.3">
      <c r="A64" s="586"/>
      <c r="B64" s="586"/>
      <c r="C64" s="588"/>
      <c r="D64" s="604"/>
      <c r="E64" s="588"/>
      <c r="F64" s="588"/>
      <c r="G64" s="588"/>
      <c r="H64" s="588"/>
      <c r="I64" s="588"/>
      <c r="J64" s="588"/>
    </row>
    <row r="65" spans="1:10" x14ac:dyDescent="0.3">
      <c r="A65" s="586"/>
      <c r="B65" s="586"/>
      <c r="C65" s="604"/>
      <c r="D65" s="604"/>
      <c r="E65" s="588"/>
      <c r="F65" s="588"/>
      <c r="G65" s="588"/>
      <c r="H65" s="588"/>
      <c r="I65" s="588"/>
      <c r="J65" s="588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580"/>
      <c r="B68" s="580"/>
      <c r="C68" s="580"/>
      <c r="D68" s="580"/>
      <c r="E68" s="580"/>
      <c r="F68" s="580"/>
      <c r="G68" s="580"/>
      <c r="H68" s="580"/>
      <c r="I68" s="580"/>
      <c r="J68" s="580"/>
    </row>
    <row r="69" spans="1:10" x14ac:dyDescent="0.3">
      <c r="A69" s="580"/>
      <c r="B69" s="580"/>
      <c r="C69" s="162"/>
      <c r="D69" s="162"/>
      <c r="E69" s="585"/>
      <c r="F69" s="582"/>
      <c r="G69" s="585"/>
      <c r="H69" s="585"/>
      <c r="I69" s="585"/>
      <c r="J69" s="585"/>
    </row>
    <row r="70" spans="1:10" ht="15" customHeight="1" x14ac:dyDescent="0.3">
      <c r="A70" s="586"/>
      <c r="B70" s="586"/>
      <c r="C70" s="218"/>
      <c r="D70" s="218"/>
      <c r="E70" s="218"/>
      <c r="F70" s="218"/>
      <c r="G70" s="586"/>
      <c r="H70" s="586"/>
      <c r="I70" s="586"/>
      <c r="J70" s="586"/>
    </row>
    <row r="71" spans="1:10" x14ac:dyDescent="0.3">
      <c r="A71" s="586"/>
      <c r="B71" s="586"/>
      <c r="C71" s="218"/>
      <c r="D71" s="218"/>
      <c r="E71" s="218"/>
      <c r="F71" s="218"/>
      <c r="G71" s="586"/>
      <c r="H71" s="586"/>
      <c r="I71" s="586"/>
      <c r="J71" s="586"/>
    </row>
    <row r="72" spans="1:10" x14ac:dyDescent="0.3">
      <c r="A72" s="583"/>
      <c r="B72" s="583"/>
      <c r="C72" s="219"/>
      <c r="D72" s="219"/>
      <c r="E72" s="219"/>
      <c r="F72" s="219"/>
      <c r="G72" s="581"/>
      <c r="H72" s="581"/>
      <c r="I72" s="581"/>
      <c r="J72" s="581"/>
    </row>
    <row r="73" spans="1:10" x14ac:dyDescent="0.3">
      <c r="A73" s="584"/>
      <c r="B73" s="584"/>
      <c r="C73" s="219"/>
      <c r="D73" s="219"/>
      <c r="E73" s="219"/>
      <c r="F73" s="219"/>
      <c r="G73" s="581"/>
      <c r="H73" s="581"/>
      <c r="I73" s="581"/>
      <c r="J73" s="581"/>
    </row>
    <row r="74" spans="1:10" x14ac:dyDescent="0.3">
      <c r="A74" s="583"/>
      <c r="B74" s="583"/>
      <c r="C74" s="219"/>
      <c r="D74" s="219"/>
      <c r="E74" s="219"/>
      <c r="F74" s="219"/>
      <c r="G74" s="581"/>
      <c r="H74" s="581"/>
      <c r="I74" s="581"/>
      <c r="J74" s="581"/>
    </row>
    <row r="75" spans="1:10" x14ac:dyDescent="0.3">
      <c r="A75" s="583"/>
      <c r="B75" s="583"/>
      <c r="C75" s="219"/>
      <c r="D75" s="219"/>
      <c r="E75" s="219"/>
      <c r="F75" s="219"/>
      <c r="G75" s="581"/>
      <c r="H75" s="581"/>
      <c r="I75" s="581"/>
      <c r="J75" s="581"/>
    </row>
    <row r="76" spans="1:10" x14ac:dyDescent="0.3">
      <c r="A76" s="584"/>
      <c r="B76" s="584"/>
      <c r="C76" s="219"/>
      <c r="D76" s="219"/>
      <c r="E76" s="219"/>
      <c r="F76" s="219"/>
      <c r="G76" s="581"/>
      <c r="H76" s="581"/>
      <c r="I76" s="581"/>
      <c r="J76" s="581"/>
    </row>
    <row r="77" spans="1:10" x14ac:dyDescent="0.3">
      <c r="A77" s="583"/>
      <c r="B77" s="583"/>
      <c r="C77" s="219"/>
      <c r="D77" s="219"/>
      <c r="E77" s="219"/>
      <c r="F77" s="219"/>
      <c r="G77" s="581"/>
      <c r="H77" s="581"/>
      <c r="I77" s="581"/>
      <c r="J77" s="581"/>
    </row>
    <row r="78" spans="1:10" x14ac:dyDescent="0.3">
      <c r="A78" s="584"/>
      <c r="B78" s="584"/>
      <c r="C78" s="219"/>
      <c r="D78" s="219"/>
      <c r="E78" s="219"/>
      <c r="F78" s="219"/>
      <c r="G78" s="581"/>
      <c r="H78" s="581"/>
      <c r="I78" s="581"/>
      <c r="J78" s="581"/>
    </row>
    <row r="79" spans="1:10" x14ac:dyDescent="0.3">
      <c r="A79" s="583"/>
      <c r="B79" s="583"/>
      <c r="C79" s="219"/>
      <c r="D79" s="219"/>
      <c r="E79" s="219"/>
      <c r="F79" s="219"/>
      <c r="G79" s="581"/>
      <c r="H79" s="581"/>
      <c r="I79" s="581"/>
      <c r="J79" s="581"/>
    </row>
    <row r="80" spans="1:10" x14ac:dyDescent="0.3">
      <c r="A80" s="584"/>
      <c r="B80" s="584"/>
      <c r="C80" s="219"/>
      <c r="D80" s="219"/>
      <c r="E80" s="219"/>
      <c r="F80" s="219"/>
      <c r="G80" s="581"/>
      <c r="H80" s="581"/>
      <c r="I80" s="581"/>
      <c r="J80" s="581"/>
    </row>
    <row r="81" spans="1:10" x14ac:dyDescent="0.3">
      <c r="A81" s="580"/>
      <c r="B81" s="580"/>
      <c r="C81" s="219"/>
      <c r="D81" s="219"/>
      <c r="E81" s="219"/>
      <c r="F81" s="219"/>
      <c r="G81" s="581"/>
      <c r="H81" s="581"/>
      <c r="I81" s="581"/>
      <c r="J81" s="581"/>
    </row>
  </sheetData>
  <mergeCells count="309">
    <mergeCell ref="A77:B77"/>
    <mergeCell ref="G77:H77"/>
    <mergeCell ref="I77:J77"/>
    <mergeCell ref="A78:B78"/>
    <mergeCell ref="G78:H78"/>
    <mergeCell ref="I78:J78"/>
    <mergeCell ref="A81:B81"/>
    <mergeCell ref="G81:H81"/>
    <mergeCell ref="I81:J81"/>
    <mergeCell ref="A79:B79"/>
    <mergeCell ref="G79:H79"/>
    <mergeCell ref="I79:J79"/>
    <mergeCell ref="A80:B80"/>
    <mergeCell ref="G80:H80"/>
    <mergeCell ref="I80:J80"/>
    <mergeCell ref="A74:B74"/>
    <mergeCell ref="G74:H74"/>
    <mergeCell ref="I74:J74"/>
    <mergeCell ref="A75:B75"/>
    <mergeCell ref="G75:H75"/>
    <mergeCell ref="I75:J75"/>
    <mergeCell ref="A76:B76"/>
    <mergeCell ref="G76:H76"/>
    <mergeCell ref="I76:J76"/>
    <mergeCell ref="A70:B71"/>
    <mergeCell ref="G70:H71"/>
    <mergeCell ref="I70:J71"/>
    <mergeCell ref="A72:B72"/>
    <mergeCell ref="G72:H72"/>
    <mergeCell ref="I72:J72"/>
    <mergeCell ref="A73:B73"/>
    <mergeCell ref="G73:H73"/>
    <mergeCell ref="I73:J73"/>
    <mergeCell ref="A68:J68"/>
    <mergeCell ref="A69:B69"/>
    <mergeCell ref="E69:F69"/>
    <mergeCell ref="G69:H69"/>
    <mergeCell ref="I69:J69"/>
    <mergeCell ref="A63:B65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R1:R2"/>
    <mergeCell ref="A1:B2"/>
    <mergeCell ref="C1:D2"/>
    <mergeCell ref="E1:F2"/>
    <mergeCell ref="G1:H2"/>
    <mergeCell ref="I1:J2"/>
    <mergeCell ref="K1:L2"/>
    <mergeCell ref="E63:F63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A6:B6"/>
    <mergeCell ref="C6:D6"/>
    <mergeCell ref="E6:F6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FA2B-4DAC-454A-84DC-16792D7EA17E}">
  <dimension ref="A1:AA81"/>
  <sheetViews>
    <sheetView workbookViewId="0">
      <selection activeCell="Q26" sqref="A1:XFD1048576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407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8006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6889</v>
      </c>
      <c r="N4" s="6">
        <v>3150</v>
      </c>
      <c r="O4" s="6">
        <v>210</v>
      </c>
      <c r="P4" s="7">
        <v>11637</v>
      </c>
      <c r="Q4" s="7">
        <v>6050</v>
      </c>
      <c r="R4" s="7">
        <v>1356</v>
      </c>
      <c r="S4" s="64"/>
      <c r="T4" s="64"/>
      <c r="U4" s="64"/>
    </row>
    <row r="5" spans="1:27" ht="15.7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  <c r="U5" s="64"/>
    </row>
    <row r="6" spans="1:27" x14ac:dyDescent="0.3">
      <c r="A6" s="376" t="s">
        <v>15</v>
      </c>
      <c r="B6" s="376"/>
      <c r="C6" s="377">
        <v>476</v>
      </c>
      <c r="D6" s="377"/>
      <c r="E6" s="377">
        <v>402</v>
      </c>
      <c r="F6" s="377"/>
      <c r="G6" s="377">
        <v>28</v>
      </c>
      <c r="H6" s="377"/>
      <c r="I6" s="377">
        <v>25</v>
      </c>
      <c r="J6" s="377"/>
      <c r="K6" s="377">
        <v>0</v>
      </c>
      <c r="L6" s="377"/>
      <c r="M6" s="95">
        <v>14</v>
      </c>
      <c r="N6" s="9">
        <v>143</v>
      </c>
      <c r="O6" s="9">
        <v>151</v>
      </c>
      <c r="P6" s="9">
        <v>37</v>
      </c>
      <c r="Q6" s="9">
        <v>0</v>
      </c>
      <c r="R6" s="9">
        <v>0</v>
      </c>
      <c r="S6" s="64"/>
      <c r="T6" s="64"/>
      <c r="U6" s="64"/>
    </row>
    <row r="7" spans="1:27" x14ac:dyDescent="0.3">
      <c r="A7" s="376" t="s">
        <v>16</v>
      </c>
      <c r="B7" s="376"/>
      <c r="C7" s="377">
        <v>323</v>
      </c>
      <c r="D7" s="377"/>
      <c r="E7" s="377">
        <v>0</v>
      </c>
      <c r="F7" s="377"/>
      <c r="G7" s="377">
        <v>0</v>
      </c>
      <c r="H7" s="377"/>
      <c r="I7" s="377">
        <v>0</v>
      </c>
      <c r="J7" s="377"/>
      <c r="K7" s="377">
        <v>0</v>
      </c>
      <c r="L7" s="377"/>
      <c r="M7" s="95">
        <v>265</v>
      </c>
      <c r="N7" s="9">
        <v>250</v>
      </c>
      <c r="O7" s="9">
        <v>25</v>
      </c>
      <c r="P7" s="9">
        <v>0</v>
      </c>
      <c r="Q7" s="9">
        <v>0</v>
      </c>
      <c r="R7" s="9">
        <v>2</v>
      </c>
      <c r="S7" s="64"/>
      <c r="T7" s="64"/>
      <c r="U7" s="64"/>
    </row>
    <row r="8" spans="1:27" x14ac:dyDescent="0.3">
      <c r="A8" s="376" t="s">
        <v>17</v>
      </c>
      <c r="B8" s="376"/>
      <c r="C8" s="377">
        <v>405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300</v>
      </c>
      <c r="N8" s="9">
        <v>236</v>
      </c>
      <c r="O8" s="9">
        <v>0</v>
      </c>
      <c r="P8" s="9">
        <v>2</v>
      </c>
      <c r="Q8" s="9">
        <v>12</v>
      </c>
      <c r="R8" s="9">
        <v>1</v>
      </c>
      <c r="S8" s="64"/>
      <c r="T8" s="64"/>
      <c r="U8" s="64"/>
    </row>
    <row r="9" spans="1:27" x14ac:dyDescent="0.3">
      <c r="A9" s="376" t="s">
        <v>18</v>
      </c>
      <c r="B9" s="376"/>
      <c r="C9" s="377">
        <v>225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211</v>
      </c>
      <c r="N9" s="9">
        <v>70</v>
      </c>
      <c r="O9" s="9">
        <v>37</v>
      </c>
      <c r="P9" s="9">
        <v>0</v>
      </c>
      <c r="Q9" s="9">
        <v>0</v>
      </c>
      <c r="R9" s="9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236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163</v>
      </c>
      <c r="N10" s="172">
        <v>124</v>
      </c>
      <c r="O10" s="172">
        <v>57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47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83</v>
      </c>
      <c r="N11" s="9">
        <v>66</v>
      </c>
      <c r="O11" s="9">
        <v>52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376" t="s">
        <v>20</v>
      </c>
      <c r="B12" s="376"/>
      <c r="C12" s="377">
        <v>255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82</v>
      </c>
      <c r="N12" s="9">
        <v>186</v>
      </c>
      <c r="O12" s="9">
        <v>10</v>
      </c>
      <c r="P12" s="9">
        <v>0</v>
      </c>
      <c r="Q12" s="9">
        <v>16</v>
      </c>
      <c r="R12" s="9">
        <v>5</v>
      </c>
    </row>
    <row r="13" spans="1:27" x14ac:dyDescent="0.3">
      <c r="A13" s="376" t="s">
        <v>21</v>
      </c>
      <c r="B13" s="376"/>
      <c r="C13" s="377">
        <v>267</v>
      </c>
      <c r="D13" s="377"/>
      <c r="E13" s="377">
        <v>7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125</v>
      </c>
      <c r="N13" s="9">
        <v>106</v>
      </c>
      <c r="O13" s="9">
        <v>45</v>
      </c>
      <c r="P13" s="9">
        <v>0</v>
      </c>
      <c r="Q13" s="9">
        <v>0</v>
      </c>
      <c r="R13" s="9">
        <v>0</v>
      </c>
    </row>
    <row r="14" spans="1:27" x14ac:dyDescent="0.3">
      <c r="A14" s="376" t="s">
        <v>22</v>
      </c>
      <c r="B14" s="376"/>
      <c r="C14" s="377">
        <v>255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232</v>
      </c>
      <c r="N14" s="9">
        <v>391</v>
      </c>
      <c r="O14" s="9">
        <v>14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4070</v>
      </c>
      <c r="Q15" s="73">
        <v>2179</v>
      </c>
      <c r="R15" s="94">
        <v>3172</v>
      </c>
    </row>
    <row r="16" spans="1:27" ht="15" thickBot="1" x14ac:dyDescent="0.35">
      <c r="A16" s="370" t="s">
        <v>24</v>
      </c>
      <c r="B16" s="371"/>
      <c r="C16" s="372">
        <f>SUM(C4:D15)</f>
        <v>10715</v>
      </c>
      <c r="D16" s="373"/>
      <c r="E16" s="373">
        <f>SUM(E4:F15)</f>
        <v>567</v>
      </c>
      <c r="F16" s="373"/>
      <c r="G16" s="373">
        <f>SUM(G4:H15)</f>
        <v>29</v>
      </c>
      <c r="H16" s="373"/>
      <c r="I16" s="373">
        <f>SUM(I4:J15)</f>
        <v>32</v>
      </c>
      <c r="J16" s="373"/>
      <c r="K16" s="373">
        <f>SUM(K4:L15)</f>
        <v>1</v>
      </c>
      <c r="L16" s="373"/>
      <c r="M16" s="139">
        <f t="shared" ref="M16:R16" si="0">SUM(M4:M15)</f>
        <v>8364</v>
      </c>
      <c r="N16" s="13">
        <f t="shared" si="0"/>
        <v>4722</v>
      </c>
      <c r="O16" s="13">
        <f t="shared" si="0"/>
        <v>601</v>
      </c>
      <c r="P16" s="16">
        <f t="shared" si="0"/>
        <v>15828</v>
      </c>
      <c r="Q16" s="142">
        <f t="shared" si="0"/>
        <v>8271</v>
      </c>
      <c r="R16" s="143">
        <f t="shared" si="0"/>
        <v>4536</v>
      </c>
    </row>
    <row r="17" spans="1:21" x14ac:dyDescent="0.3">
      <c r="A17" s="368" t="s">
        <v>25</v>
      </c>
      <c r="B17" s="368"/>
      <c r="C17" s="369">
        <v>8006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6419</v>
      </c>
      <c r="N17" s="131">
        <v>2851</v>
      </c>
      <c r="O17" s="91">
        <v>210</v>
      </c>
      <c r="P17" s="7">
        <v>11637</v>
      </c>
      <c r="Q17" s="7">
        <v>6050</v>
      </c>
      <c r="R17" s="7">
        <v>1356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407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378" t="s">
        <v>15</v>
      </c>
      <c r="B24" s="617"/>
      <c r="C24" s="377">
        <v>650</v>
      </c>
      <c r="D24" s="377"/>
      <c r="E24" s="609" t="s">
        <v>413</v>
      </c>
      <c r="F24" s="609"/>
      <c r="G24" s="377">
        <v>0</v>
      </c>
      <c r="H24" s="377"/>
      <c r="I24" s="377">
        <v>16</v>
      </c>
      <c r="J24" s="377"/>
      <c r="K24" s="9">
        <v>0</v>
      </c>
      <c r="L24" s="28">
        <v>8</v>
      </c>
      <c r="M24" s="28">
        <v>3</v>
      </c>
      <c r="P24" s="64"/>
      <c r="Q24" s="64"/>
      <c r="R24" s="141"/>
    </row>
    <row r="25" spans="1:21" x14ac:dyDescent="0.3">
      <c r="A25" s="378" t="s">
        <v>16</v>
      </c>
      <c r="B25" s="617"/>
      <c r="C25" s="377">
        <v>81</v>
      </c>
      <c r="D25" s="377"/>
      <c r="E25" s="609" t="s">
        <v>223</v>
      </c>
      <c r="F25" s="609"/>
      <c r="G25" s="377">
        <v>0</v>
      </c>
      <c r="H25" s="377"/>
      <c r="I25" s="377">
        <v>55</v>
      </c>
      <c r="J25" s="377"/>
      <c r="K25" s="9">
        <v>0</v>
      </c>
      <c r="L25" s="28">
        <v>0</v>
      </c>
      <c r="M25" s="28">
        <v>0</v>
      </c>
      <c r="P25" s="64"/>
      <c r="Q25" s="64"/>
      <c r="R25" s="141"/>
    </row>
    <row r="26" spans="1:21" x14ac:dyDescent="0.3">
      <c r="A26" s="378" t="s">
        <v>17</v>
      </c>
      <c r="B26" s="617"/>
      <c r="C26" s="377">
        <v>168</v>
      </c>
      <c r="D26" s="377"/>
      <c r="E26" s="609" t="s">
        <v>297</v>
      </c>
      <c r="F26" s="609"/>
      <c r="G26" s="377">
        <v>6</v>
      </c>
      <c r="H26" s="377"/>
      <c r="I26" s="377">
        <v>29</v>
      </c>
      <c r="J26" s="377"/>
      <c r="K26" s="9">
        <v>0</v>
      </c>
      <c r="L26" s="28">
        <v>3</v>
      </c>
      <c r="M26" s="28">
        <v>2</v>
      </c>
    </row>
    <row r="27" spans="1:21" x14ac:dyDescent="0.3">
      <c r="A27" s="378" t="s">
        <v>18</v>
      </c>
      <c r="B27" s="617"/>
      <c r="C27" s="609" t="s">
        <v>315</v>
      </c>
      <c r="D27" s="609"/>
      <c r="E27" s="609" t="s">
        <v>253</v>
      </c>
      <c r="F27" s="609"/>
      <c r="G27" s="377">
        <v>0</v>
      </c>
      <c r="H27" s="377"/>
      <c r="I27" s="377">
        <v>15</v>
      </c>
      <c r="J27" s="377"/>
      <c r="K27" s="9">
        <v>4</v>
      </c>
      <c r="L27" s="28">
        <v>10</v>
      </c>
      <c r="M27" s="28">
        <v>0</v>
      </c>
      <c r="P27" s="64"/>
      <c r="Q27" s="64"/>
    </row>
    <row r="28" spans="1:21" x14ac:dyDescent="0.3">
      <c r="A28" s="378" t="s">
        <v>262</v>
      </c>
      <c r="B28" s="379"/>
      <c r="C28" s="609" t="s">
        <v>300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P28" s="64"/>
      <c r="Q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4</v>
      </c>
      <c r="L29" s="28">
        <v>7</v>
      </c>
      <c r="M29" s="28">
        <v>9</v>
      </c>
    </row>
    <row r="30" spans="1:21" x14ac:dyDescent="0.3">
      <c r="A30" s="378" t="s">
        <v>20</v>
      </c>
      <c r="B30" s="617"/>
      <c r="C30" s="377">
        <v>179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1" x14ac:dyDescent="0.3">
      <c r="A31" s="378" t="s">
        <v>21</v>
      </c>
      <c r="B31" s="617"/>
      <c r="C31" s="609" t="s">
        <v>405</v>
      </c>
      <c r="D31" s="609"/>
      <c r="E31" s="609" t="s">
        <v>344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11</v>
      </c>
      <c r="M31" s="28">
        <v>0</v>
      </c>
    </row>
    <row r="32" spans="1:21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407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 t="s">
        <v>165</v>
      </c>
      <c r="D38" s="410"/>
      <c r="E38" s="437" t="s">
        <v>414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356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415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412</v>
      </c>
      <c r="D40" s="410"/>
      <c r="E40" s="437" t="s">
        <v>410</v>
      </c>
      <c r="F40" s="438"/>
      <c r="G40" s="409" t="s">
        <v>311</v>
      </c>
      <c r="H40" s="410"/>
      <c r="I40" s="409" t="s">
        <v>387</v>
      </c>
      <c r="J40" s="410"/>
      <c r="K40" s="9" t="s">
        <v>45</v>
      </c>
      <c r="L40" s="28" t="s">
        <v>139</v>
      </c>
      <c r="M40" s="28" t="s">
        <v>145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408</v>
      </c>
      <c r="F41" s="438"/>
      <c r="G41" s="409" t="s">
        <v>139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404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342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416</v>
      </c>
      <c r="F44" s="410"/>
      <c r="G44" s="409" t="s">
        <v>417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99</v>
      </c>
      <c r="D45" s="410"/>
      <c r="E45" s="409" t="s">
        <v>406</v>
      </c>
      <c r="F45" s="410"/>
      <c r="G45" s="409">
        <v>0</v>
      </c>
      <c r="H45" s="410"/>
      <c r="I45" s="409">
        <v>0</v>
      </c>
      <c r="J45" s="410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113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386</v>
      </c>
      <c r="D51" s="320"/>
      <c r="E51" s="319" t="s">
        <v>394</v>
      </c>
      <c r="F51" s="320"/>
      <c r="G51" s="319" t="s">
        <v>403</v>
      </c>
      <c r="H51" s="320"/>
      <c r="I51" s="319" t="s">
        <v>407</v>
      </c>
      <c r="J51" s="320"/>
    </row>
    <row r="52" spans="1:10" x14ac:dyDescent="0.3">
      <c r="A52" s="331" t="s">
        <v>59</v>
      </c>
      <c r="B52" s="383"/>
      <c r="C52" s="487">
        <v>8499</v>
      </c>
      <c r="D52" s="487"/>
      <c r="E52" s="487">
        <v>8499</v>
      </c>
      <c r="F52" s="487"/>
      <c r="G52" s="487">
        <v>8477</v>
      </c>
      <c r="H52" s="487"/>
      <c r="I52" s="487">
        <v>8420</v>
      </c>
      <c r="J52" s="487"/>
    </row>
    <row r="53" spans="1:10" ht="15" customHeight="1" x14ac:dyDescent="0.3">
      <c r="A53" s="331" t="s">
        <v>60</v>
      </c>
      <c r="B53" s="383"/>
      <c r="C53" s="311">
        <v>13531</v>
      </c>
      <c r="D53" s="312"/>
      <c r="E53" s="311">
        <v>13531</v>
      </c>
      <c r="F53" s="312"/>
      <c r="G53" s="311">
        <v>13517</v>
      </c>
      <c r="H53" s="312"/>
      <c r="I53" s="311">
        <v>13539</v>
      </c>
      <c r="J53" s="312"/>
    </row>
    <row r="54" spans="1:10" x14ac:dyDescent="0.3">
      <c r="A54" s="331" t="s">
        <v>61</v>
      </c>
      <c r="B54" s="383"/>
      <c r="C54" s="487">
        <v>108393</v>
      </c>
      <c r="D54" s="487"/>
      <c r="E54" s="487">
        <v>108393</v>
      </c>
      <c r="F54" s="487"/>
      <c r="G54" s="487">
        <v>108362</v>
      </c>
      <c r="H54" s="487"/>
      <c r="I54" s="487">
        <v>108275</v>
      </c>
      <c r="J54" s="487"/>
    </row>
    <row r="55" spans="1:10" x14ac:dyDescent="0.3">
      <c r="A55" s="331" t="s">
        <v>62</v>
      </c>
      <c r="B55" s="383"/>
      <c r="C55" s="487">
        <v>208</v>
      </c>
      <c r="D55" s="487"/>
      <c r="E55" s="487">
        <v>208</v>
      </c>
      <c r="F55" s="487"/>
      <c r="G55" s="487">
        <v>208</v>
      </c>
      <c r="H55" s="487"/>
      <c r="I55" s="487">
        <v>208</v>
      </c>
      <c r="J55" s="487"/>
    </row>
    <row r="56" spans="1:10" x14ac:dyDescent="0.3">
      <c r="A56" s="331" t="s">
        <v>63</v>
      </c>
      <c r="B56" s="383"/>
      <c r="C56" s="486">
        <v>48596</v>
      </c>
      <c r="D56" s="486"/>
      <c r="E56" s="486">
        <v>48596</v>
      </c>
      <c r="F56" s="486"/>
      <c r="G56" s="486">
        <v>48587</v>
      </c>
      <c r="H56" s="486"/>
      <c r="I56" s="486">
        <v>48552</v>
      </c>
      <c r="J56" s="486"/>
    </row>
    <row r="57" spans="1:10" x14ac:dyDescent="0.3">
      <c r="A57" s="331" t="s">
        <v>64</v>
      </c>
      <c r="B57" s="383"/>
      <c r="C57" s="303">
        <v>5928</v>
      </c>
      <c r="D57" s="283"/>
      <c r="E57" s="303">
        <v>5928</v>
      </c>
      <c r="F57" s="283"/>
      <c r="G57" s="303">
        <v>5930</v>
      </c>
      <c r="H57" s="283"/>
      <c r="I57" s="303">
        <v>5928</v>
      </c>
      <c r="J57" s="283"/>
    </row>
    <row r="58" spans="1:10" x14ac:dyDescent="0.3">
      <c r="A58" s="331" t="s">
        <v>65</v>
      </c>
      <c r="B58" s="383"/>
      <c r="C58" s="486">
        <v>26310</v>
      </c>
      <c r="D58" s="486"/>
      <c r="E58" s="486">
        <v>26310</v>
      </c>
      <c r="F58" s="486"/>
      <c r="G58" s="486">
        <v>26311</v>
      </c>
      <c r="H58" s="486"/>
      <c r="I58" s="486">
        <v>26309</v>
      </c>
      <c r="J58" s="486"/>
    </row>
    <row r="59" spans="1:10" x14ac:dyDescent="0.3">
      <c r="A59" s="331" t="s">
        <v>66</v>
      </c>
      <c r="B59" s="383"/>
      <c r="C59" s="486">
        <v>4508</v>
      </c>
      <c r="D59" s="486"/>
      <c r="E59" s="486">
        <v>4508</v>
      </c>
      <c r="F59" s="486"/>
      <c r="G59" s="486">
        <v>4509</v>
      </c>
      <c r="H59" s="486"/>
      <c r="I59" s="486">
        <v>4507</v>
      </c>
      <c r="J59" s="486"/>
    </row>
    <row r="60" spans="1:10" x14ac:dyDescent="0.3">
      <c r="A60" s="165"/>
      <c r="B60" s="166" t="s">
        <v>251</v>
      </c>
      <c r="C60" s="486">
        <v>2544</v>
      </c>
      <c r="D60" s="486"/>
      <c r="E60" s="486">
        <v>2544</v>
      </c>
      <c r="F60" s="486"/>
      <c r="G60" s="486">
        <v>2746</v>
      </c>
      <c r="H60" s="486"/>
      <c r="I60" s="486">
        <v>3296</v>
      </c>
      <c r="J60" s="486"/>
    </row>
    <row r="61" spans="1:10" x14ac:dyDescent="0.3">
      <c r="A61" s="331" t="s">
        <v>67</v>
      </c>
      <c r="B61" s="332"/>
      <c r="C61" s="307">
        <f>SUM(C52:C60)</f>
        <v>218517</v>
      </c>
      <c r="D61" s="307"/>
      <c r="E61" s="307">
        <f>SUM(E52:E60)</f>
        <v>218517</v>
      </c>
      <c r="F61" s="307"/>
      <c r="G61" s="307">
        <f>SUM(G52:G60)</f>
        <v>218647</v>
      </c>
      <c r="H61" s="307"/>
      <c r="I61" s="307">
        <v>219034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85" t="s">
        <v>68</v>
      </c>
      <c r="B63" s="286"/>
      <c r="C63" s="132" t="s">
        <v>386</v>
      </c>
      <c r="D63" s="83"/>
      <c r="E63" s="738" t="s">
        <v>394</v>
      </c>
      <c r="F63" s="739"/>
      <c r="G63" s="319" t="s">
        <v>403</v>
      </c>
      <c r="H63" s="320"/>
      <c r="I63" s="319" t="s">
        <v>407</v>
      </c>
      <c r="J63" s="320"/>
    </row>
    <row r="64" spans="1:10" x14ac:dyDescent="0.3">
      <c r="A64" s="287"/>
      <c r="B64" s="288"/>
      <c r="C64" s="297">
        <v>144319</v>
      </c>
      <c r="D64" s="475"/>
      <c r="E64" s="297">
        <v>144391</v>
      </c>
      <c r="F64" s="298"/>
      <c r="G64" s="297">
        <v>144391</v>
      </c>
      <c r="H64" s="298"/>
      <c r="I64" s="297">
        <v>144589</v>
      </c>
      <c r="J64" s="298"/>
    </row>
    <row r="65" spans="1:10" x14ac:dyDescent="0.3">
      <c r="A65" s="289"/>
      <c r="B65" s="290"/>
      <c r="C65" s="476"/>
      <c r="D65" s="477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82" t="s">
        <v>250</v>
      </c>
      <c r="D69" s="83"/>
      <c r="E69" s="282" t="s">
        <v>333</v>
      </c>
      <c r="F69" s="283"/>
      <c r="G69" s="282" t="s">
        <v>352</v>
      </c>
      <c r="H69" s="284"/>
      <c r="I69" s="282" t="s">
        <v>409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36368</v>
      </c>
      <c r="D72" s="215"/>
      <c r="E72" s="214">
        <v>36751</v>
      </c>
      <c r="F72" s="215"/>
      <c r="G72" s="265">
        <v>37120</v>
      </c>
      <c r="H72" s="266"/>
      <c r="I72" s="265">
        <v>37446</v>
      </c>
      <c r="J72" s="266"/>
    </row>
    <row r="73" spans="1:10" x14ac:dyDescent="0.3">
      <c r="A73" s="269" t="s">
        <v>16</v>
      </c>
      <c r="B73" s="270"/>
      <c r="C73" s="214">
        <v>8201</v>
      </c>
      <c r="D73" s="215"/>
      <c r="E73" s="214">
        <v>8267</v>
      </c>
      <c r="F73" s="215"/>
      <c r="G73" s="265">
        <v>8384</v>
      </c>
      <c r="H73" s="266"/>
      <c r="I73" s="265">
        <v>8441</v>
      </c>
      <c r="J73" s="266"/>
    </row>
    <row r="74" spans="1:10" x14ac:dyDescent="0.3">
      <c r="A74" s="267" t="s">
        <v>17</v>
      </c>
      <c r="B74" s="268"/>
      <c r="C74" s="214">
        <v>7219</v>
      </c>
      <c r="D74" s="215"/>
      <c r="E74" s="214">
        <v>7311</v>
      </c>
      <c r="F74" s="215"/>
      <c r="G74" s="265">
        <v>7423</v>
      </c>
      <c r="H74" s="266"/>
      <c r="I74" s="265">
        <v>7498</v>
      </c>
      <c r="J74" s="266"/>
    </row>
    <row r="75" spans="1:10" x14ac:dyDescent="0.3">
      <c r="A75" s="267" t="s">
        <v>75</v>
      </c>
      <c r="B75" s="268"/>
      <c r="C75" s="214">
        <v>2508</v>
      </c>
      <c r="D75" s="215"/>
      <c r="E75" s="214">
        <v>2547</v>
      </c>
      <c r="F75" s="215"/>
      <c r="G75" s="265">
        <v>2597</v>
      </c>
      <c r="H75" s="266"/>
      <c r="I75" s="265">
        <v>2631</v>
      </c>
      <c r="J75" s="266"/>
    </row>
    <row r="76" spans="1:10" x14ac:dyDescent="0.3">
      <c r="A76" s="269" t="s">
        <v>18</v>
      </c>
      <c r="B76" s="270"/>
      <c r="C76" s="214">
        <v>6196</v>
      </c>
      <c r="D76" s="215"/>
      <c r="E76" s="214">
        <v>6380</v>
      </c>
      <c r="F76" s="215"/>
      <c r="G76" s="265">
        <v>6522</v>
      </c>
      <c r="H76" s="266"/>
      <c r="I76" s="265">
        <v>6618</v>
      </c>
      <c r="J76" s="266"/>
    </row>
    <row r="77" spans="1:10" x14ac:dyDescent="0.3">
      <c r="A77" s="267" t="s">
        <v>19</v>
      </c>
      <c r="B77" s="268"/>
      <c r="C77" s="214">
        <v>5419</v>
      </c>
      <c r="D77" s="215"/>
      <c r="E77" s="214">
        <v>5434</v>
      </c>
      <c r="F77" s="215"/>
      <c r="G77" s="265">
        <v>5465</v>
      </c>
      <c r="H77" s="266"/>
      <c r="I77" s="265">
        <v>5474</v>
      </c>
      <c r="J77" s="266"/>
    </row>
    <row r="78" spans="1:10" x14ac:dyDescent="0.3">
      <c r="A78" s="269" t="s">
        <v>20</v>
      </c>
      <c r="B78" s="270"/>
      <c r="C78" s="214">
        <v>9569</v>
      </c>
      <c r="D78" s="215"/>
      <c r="E78" s="214">
        <v>9704</v>
      </c>
      <c r="F78" s="215"/>
      <c r="G78" s="265">
        <v>9856</v>
      </c>
      <c r="H78" s="266"/>
      <c r="I78" s="265">
        <v>10014</v>
      </c>
      <c r="J78" s="266"/>
    </row>
    <row r="79" spans="1:10" x14ac:dyDescent="0.3">
      <c r="A79" s="267" t="s">
        <v>21</v>
      </c>
      <c r="B79" s="268"/>
      <c r="C79" s="214">
        <v>1853</v>
      </c>
      <c r="D79" s="215"/>
      <c r="E79" s="214">
        <v>1858</v>
      </c>
      <c r="F79" s="215"/>
      <c r="G79" s="265">
        <v>1876</v>
      </c>
      <c r="H79" s="266"/>
      <c r="I79" s="265">
        <v>1879</v>
      </c>
      <c r="J79" s="266"/>
    </row>
    <row r="80" spans="1:10" x14ac:dyDescent="0.3">
      <c r="A80" s="269" t="s">
        <v>22</v>
      </c>
      <c r="B80" s="270"/>
      <c r="C80" s="214">
        <v>7327</v>
      </c>
      <c r="D80" s="215"/>
      <c r="E80" s="214">
        <v>7442</v>
      </c>
      <c r="F80" s="215"/>
      <c r="G80" s="265">
        <v>7584</v>
      </c>
      <c r="H80" s="266"/>
      <c r="I80" s="265">
        <v>7657</v>
      </c>
      <c r="J80" s="266"/>
    </row>
    <row r="81" spans="1:10" x14ac:dyDescent="0.3">
      <c r="A81" s="263" t="s">
        <v>76</v>
      </c>
      <c r="B81" s="264"/>
      <c r="C81" s="214">
        <v>84660</v>
      </c>
      <c r="D81" s="215"/>
      <c r="E81" s="214">
        <f>SUM(E72:E80)</f>
        <v>85694</v>
      </c>
      <c r="F81" s="215"/>
      <c r="G81" s="265">
        <f>SUM(G72:G80)</f>
        <v>86827</v>
      </c>
      <c r="H81" s="266"/>
      <c r="I81" s="265">
        <v>87658</v>
      </c>
      <c r="J81" s="266"/>
    </row>
  </sheetData>
  <mergeCells count="309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3:B65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72:B72"/>
    <mergeCell ref="G72:H72"/>
    <mergeCell ref="I72:J72"/>
    <mergeCell ref="A73:B73"/>
    <mergeCell ref="G73:H73"/>
    <mergeCell ref="I73:J73"/>
    <mergeCell ref="A68:J68"/>
    <mergeCell ref="A69:B69"/>
    <mergeCell ref="E69:F69"/>
    <mergeCell ref="G69:H69"/>
    <mergeCell ref="I69:J69"/>
    <mergeCell ref="A70:B71"/>
    <mergeCell ref="G70:H71"/>
    <mergeCell ref="I70:J71"/>
    <mergeCell ref="A76:B76"/>
    <mergeCell ref="G76:H76"/>
    <mergeCell ref="I76:J76"/>
    <mergeCell ref="A77:B77"/>
    <mergeCell ref="G77:H77"/>
    <mergeCell ref="I77:J77"/>
    <mergeCell ref="A74:B74"/>
    <mergeCell ref="G74:H74"/>
    <mergeCell ref="I74:J74"/>
    <mergeCell ref="A75:B75"/>
    <mergeCell ref="G75:H75"/>
    <mergeCell ref="I75:J75"/>
    <mergeCell ref="A80:B80"/>
    <mergeCell ref="G80:H80"/>
    <mergeCell ref="I80:J80"/>
    <mergeCell ref="A81:B81"/>
    <mergeCell ref="G81:H81"/>
    <mergeCell ref="I81:J81"/>
    <mergeCell ref="A78:B78"/>
    <mergeCell ref="G78:H78"/>
    <mergeCell ref="I78:J78"/>
    <mergeCell ref="A79:B79"/>
    <mergeCell ref="G79:H79"/>
    <mergeCell ref="I79:J7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1C4-2391-4FCA-A9A0-B0F0496D353F}">
  <dimension ref="A1:AA81"/>
  <sheetViews>
    <sheetView workbookViewId="0">
      <selection sqref="A1:XFD1048576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418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7970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6489</v>
      </c>
      <c r="N4" s="6">
        <v>2550</v>
      </c>
      <c r="O4" s="6">
        <v>210</v>
      </c>
      <c r="P4" s="7">
        <v>10937</v>
      </c>
      <c r="Q4" s="7">
        <v>5750</v>
      </c>
      <c r="R4" s="7">
        <v>939</v>
      </c>
      <c r="S4" s="64"/>
      <c r="T4" s="64"/>
      <c r="U4" s="64"/>
    </row>
    <row r="5" spans="1:27" ht="15.75" customHeight="1" x14ac:dyDescent="0.3">
      <c r="A5" s="740" t="s">
        <v>14</v>
      </c>
      <c r="B5" s="740"/>
      <c r="C5" s="741">
        <v>220</v>
      </c>
      <c r="D5" s="741"/>
      <c r="E5" s="741">
        <v>0</v>
      </c>
      <c r="F5" s="741"/>
      <c r="G5" s="741">
        <v>0</v>
      </c>
      <c r="H5" s="741"/>
      <c r="I5" s="741">
        <v>0</v>
      </c>
      <c r="J5" s="741"/>
      <c r="K5" s="741">
        <v>0</v>
      </c>
      <c r="L5" s="741"/>
      <c r="M5" s="88">
        <v>0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64"/>
      <c r="T5" s="64"/>
      <c r="U5" s="64"/>
    </row>
    <row r="6" spans="1:27" x14ac:dyDescent="0.3">
      <c r="A6" s="571" t="s">
        <v>15</v>
      </c>
      <c r="B6" s="571"/>
      <c r="C6" s="572">
        <v>445</v>
      </c>
      <c r="D6" s="572"/>
      <c r="E6" s="572">
        <v>402</v>
      </c>
      <c r="F6" s="572"/>
      <c r="G6" s="572">
        <v>28</v>
      </c>
      <c r="H6" s="572"/>
      <c r="I6" s="572">
        <v>25</v>
      </c>
      <c r="J6" s="572"/>
      <c r="K6" s="572">
        <v>0</v>
      </c>
      <c r="L6" s="572"/>
      <c r="M6" s="84">
        <v>129</v>
      </c>
      <c r="N6" s="125">
        <v>257</v>
      </c>
      <c r="O6" s="125">
        <v>363</v>
      </c>
      <c r="P6" s="125">
        <v>37</v>
      </c>
      <c r="Q6" s="125">
        <v>0</v>
      </c>
      <c r="R6" s="125">
        <v>0</v>
      </c>
      <c r="S6" s="64"/>
      <c r="T6" s="64"/>
      <c r="U6" s="64"/>
    </row>
    <row r="7" spans="1:27" x14ac:dyDescent="0.3">
      <c r="A7" s="571" t="s">
        <v>16</v>
      </c>
      <c r="B7" s="571"/>
      <c r="C7" s="572">
        <v>508</v>
      </c>
      <c r="D7" s="572"/>
      <c r="E7" s="572">
        <v>0</v>
      </c>
      <c r="F7" s="572"/>
      <c r="G7" s="572">
        <v>0</v>
      </c>
      <c r="H7" s="572"/>
      <c r="I7" s="572">
        <v>0</v>
      </c>
      <c r="J7" s="572"/>
      <c r="K7" s="572">
        <v>0</v>
      </c>
      <c r="L7" s="572"/>
      <c r="M7" s="84">
        <v>248</v>
      </c>
      <c r="N7" s="125">
        <v>210</v>
      </c>
      <c r="O7" s="125">
        <v>25</v>
      </c>
      <c r="P7" s="125">
        <v>0</v>
      </c>
      <c r="Q7" s="125">
        <v>0</v>
      </c>
      <c r="R7" s="125">
        <v>2</v>
      </c>
      <c r="S7" s="64"/>
      <c r="T7" s="64"/>
      <c r="U7" s="64"/>
    </row>
    <row r="8" spans="1:27" x14ac:dyDescent="0.3">
      <c r="A8" s="571" t="s">
        <v>17</v>
      </c>
      <c r="B8" s="571"/>
      <c r="C8" s="572">
        <v>386</v>
      </c>
      <c r="D8" s="572"/>
      <c r="E8" s="572">
        <v>0</v>
      </c>
      <c r="F8" s="572"/>
      <c r="G8" s="572">
        <v>0</v>
      </c>
      <c r="H8" s="572"/>
      <c r="I8" s="572">
        <v>0</v>
      </c>
      <c r="J8" s="572"/>
      <c r="K8" s="572">
        <v>0</v>
      </c>
      <c r="L8" s="572"/>
      <c r="M8" s="84">
        <v>312</v>
      </c>
      <c r="N8" s="125">
        <v>237</v>
      </c>
      <c r="O8" s="125">
        <v>0</v>
      </c>
      <c r="P8" s="125">
        <v>2</v>
      </c>
      <c r="Q8" s="125">
        <v>12</v>
      </c>
      <c r="R8" s="125">
        <v>1</v>
      </c>
      <c r="S8" s="64"/>
      <c r="T8" s="64"/>
      <c r="U8" s="64"/>
    </row>
    <row r="9" spans="1:27" x14ac:dyDescent="0.3">
      <c r="A9" s="571" t="s">
        <v>18</v>
      </c>
      <c r="B9" s="571"/>
      <c r="C9" s="572">
        <v>210</v>
      </c>
      <c r="D9" s="572"/>
      <c r="E9" s="572">
        <v>0</v>
      </c>
      <c r="F9" s="572"/>
      <c r="G9" s="572">
        <v>0</v>
      </c>
      <c r="H9" s="572"/>
      <c r="I9" s="572">
        <v>0</v>
      </c>
      <c r="J9" s="572"/>
      <c r="K9" s="572">
        <v>0</v>
      </c>
      <c r="L9" s="572"/>
      <c r="M9" s="84">
        <v>195</v>
      </c>
      <c r="N9" s="125">
        <v>60</v>
      </c>
      <c r="O9" s="125">
        <v>7</v>
      </c>
      <c r="P9" s="125">
        <v>0</v>
      </c>
      <c r="Q9" s="125">
        <v>0</v>
      </c>
      <c r="R9" s="125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218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152</v>
      </c>
      <c r="N10" s="172">
        <v>110</v>
      </c>
      <c r="O10" s="172">
        <v>56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334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72</v>
      </c>
      <c r="N11" s="9">
        <v>61</v>
      </c>
      <c r="O11" s="9">
        <v>144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571" t="s">
        <v>20</v>
      </c>
      <c r="B12" s="571"/>
      <c r="C12" s="572">
        <v>230</v>
      </c>
      <c r="D12" s="572"/>
      <c r="E12" s="572">
        <v>0</v>
      </c>
      <c r="F12" s="572"/>
      <c r="G12" s="572">
        <v>0</v>
      </c>
      <c r="H12" s="572"/>
      <c r="I12" s="572">
        <v>0</v>
      </c>
      <c r="J12" s="572"/>
      <c r="K12" s="572">
        <v>0</v>
      </c>
      <c r="L12" s="572"/>
      <c r="M12" s="84">
        <v>340</v>
      </c>
      <c r="N12" s="125">
        <v>440</v>
      </c>
      <c r="O12" s="125">
        <v>10</v>
      </c>
      <c r="P12" s="125">
        <v>0</v>
      </c>
      <c r="Q12" s="125">
        <v>16</v>
      </c>
      <c r="R12" s="125">
        <v>5</v>
      </c>
    </row>
    <row r="13" spans="1:27" x14ac:dyDescent="0.3">
      <c r="A13" s="571" t="s">
        <v>21</v>
      </c>
      <c r="B13" s="571"/>
      <c r="C13" s="572">
        <v>250</v>
      </c>
      <c r="D13" s="572"/>
      <c r="E13" s="572">
        <v>7</v>
      </c>
      <c r="F13" s="572"/>
      <c r="G13" s="572">
        <v>1</v>
      </c>
      <c r="H13" s="572"/>
      <c r="I13" s="572">
        <v>7</v>
      </c>
      <c r="J13" s="572"/>
      <c r="K13" s="572">
        <v>1</v>
      </c>
      <c r="L13" s="572"/>
      <c r="M13" s="84">
        <v>119</v>
      </c>
      <c r="N13" s="125">
        <v>97</v>
      </c>
      <c r="O13" s="125">
        <v>45</v>
      </c>
      <c r="P13" s="125">
        <v>0</v>
      </c>
      <c r="Q13" s="125">
        <v>0</v>
      </c>
      <c r="R13" s="125">
        <v>0</v>
      </c>
    </row>
    <row r="14" spans="1:27" x14ac:dyDescent="0.3">
      <c r="A14" s="376" t="s">
        <v>22</v>
      </c>
      <c r="B14" s="376"/>
      <c r="C14" s="377">
        <v>225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212</v>
      </c>
      <c r="N14" s="9">
        <v>361</v>
      </c>
      <c r="O14" s="9">
        <v>14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4315</v>
      </c>
      <c r="Q15" s="73">
        <v>2241</v>
      </c>
      <c r="R15" s="94">
        <v>3338</v>
      </c>
    </row>
    <row r="16" spans="1:27" ht="15" thickBot="1" x14ac:dyDescent="0.35">
      <c r="A16" s="370" t="s">
        <v>24</v>
      </c>
      <c r="B16" s="371"/>
      <c r="C16" s="372">
        <f>SUM(C4:D15)</f>
        <v>10996</v>
      </c>
      <c r="D16" s="373"/>
      <c r="E16" s="373">
        <f>SUM(E4:F15)</f>
        <v>567</v>
      </c>
      <c r="F16" s="373"/>
      <c r="G16" s="373">
        <f>SUM(G4:H15)</f>
        <v>29</v>
      </c>
      <c r="H16" s="373"/>
      <c r="I16" s="373">
        <f>SUM(I4:J15)</f>
        <v>32</v>
      </c>
      <c r="J16" s="373"/>
      <c r="K16" s="373">
        <f>SUM(K4:L15)</f>
        <v>1</v>
      </c>
      <c r="L16" s="373"/>
      <c r="M16" s="139">
        <f t="shared" ref="M16:R16" si="0">SUM(M4:M15)</f>
        <v>8268</v>
      </c>
      <c r="N16" s="13">
        <f t="shared" si="0"/>
        <v>4383</v>
      </c>
      <c r="O16" s="13">
        <f t="shared" si="0"/>
        <v>874</v>
      </c>
      <c r="P16" s="16">
        <f t="shared" si="0"/>
        <v>15373</v>
      </c>
      <c r="Q16" s="142">
        <f t="shared" si="0"/>
        <v>8033</v>
      </c>
      <c r="R16" s="143">
        <f t="shared" si="0"/>
        <v>4285</v>
      </c>
    </row>
    <row r="17" spans="1:21" x14ac:dyDescent="0.3">
      <c r="A17" s="368" t="s">
        <v>25</v>
      </c>
      <c r="B17" s="368"/>
      <c r="C17" s="369">
        <v>7970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6436</v>
      </c>
      <c r="N17" s="131">
        <v>2550</v>
      </c>
      <c r="O17" s="91">
        <v>210</v>
      </c>
      <c r="P17" s="7">
        <v>10937</v>
      </c>
      <c r="Q17" s="7">
        <v>5750</v>
      </c>
      <c r="R17" s="7">
        <v>939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418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64"/>
      <c r="U23" s="141"/>
    </row>
    <row r="24" spans="1:21" x14ac:dyDescent="0.3">
      <c r="A24" s="557" t="s">
        <v>15</v>
      </c>
      <c r="B24" s="558"/>
      <c r="C24" s="572">
        <v>655</v>
      </c>
      <c r="D24" s="572"/>
      <c r="E24" s="742" t="s">
        <v>413</v>
      </c>
      <c r="F24" s="742"/>
      <c r="G24" s="572">
        <v>0</v>
      </c>
      <c r="H24" s="572"/>
      <c r="I24" s="572">
        <v>19</v>
      </c>
      <c r="J24" s="572"/>
      <c r="K24" s="125">
        <v>0</v>
      </c>
      <c r="L24" s="126">
        <v>9</v>
      </c>
      <c r="M24" s="126">
        <v>2</v>
      </c>
      <c r="P24" s="64"/>
      <c r="Q24" s="64"/>
      <c r="R24" s="141"/>
    </row>
    <row r="25" spans="1:21" x14ac:dyDescent="0.3">
      <c r="A25" s="557" t="s">
        <v>16</v>
      </c>
      <c r="B25" s="558"/>
      <c r="C25" s="572">
        <v>86</v>
      </c>
      <c r="D25" s="572"/>
      <c r="E25" s="742" t="s">
        <v>419</v>
      </c>
      <c r="F25" s="742"/>
      <c r="G25" s="572">
        <v>0</v>
      </c>
      <c r="H25" s="572"/>
      <c r="I25" s="572">
        <v>55</v>
      </c>
      <c r="J25" s="572"/>
      <c r="K25" s="125">
        <v>0</v>
      </c>
      <c r="L25" s="126">
        <v>0</v>
      </c>
      <c r="M25" s="126">
        <v>0</v>
      </c>
      <c r="P25" s="64"/>
      <c r="Q25" s="64"/>
      <c r="R25" s="141"/>
    </row>
    <row r="26" spans="1:21" x14ac:dyDescent="0.3">
      <c r="A26" s="557" t="s">
        <v>17</v>
      </c>
      <c r="B26" s="558"/>
      <c r="C26" s="572">
        <v>201</v>
      </c>
      <c r="D26" s="572"/>
      <c r="E26" s="742" t="s">
        <v>268</v>
      </c>
      <c r="F26" s="742"/>
      <c r="G26" s="572">
        <v>6</v>
      </c>
      <c r="H26" s="572"/>
      <c r="I26" s="572">
        <v>31</v>
      </c>
      <c r="J26" s="572"/>
      <c r="K26" s="125">
        <v>0</v>
      </c>
      <c r="L26" s="126">
        <v>5</v>
      </c>
      <c r="M26" s="126">
        <v>2</v>
      </c>
    </row>
    <row r="27" spans="1:21" x14ac:dyDescent="0.3">
      <c r="A27" s="557" t="s">
        <v>18</v>
      </c>
      <c r="B27" s="558"/>
      <c r="C27" s="742" t="s">
        <v>315</v>
      </c>
      <c r="D27" s="742"/>
      <c r="E27" s="742" t="s">
        <v>253</v>
      </c>
      <c r="F27" s="742"/>
      <c r="G27" s="572">
        <v>0</v>
      </c>
      <c r="H27" s="572"/>
      <c r="I27" s="572">
        <v>15</v>
      </c>
      <c r="J27" s="572"/>
      <c r="K27" s="125">
        <v>4</v>
      </c>
      <c r="L27" s="126">
        <v>10</v>
      </c>
      <c r="M27" s="126">
        <v>0</v>
      </c>
      <c r="P27" s="64"/>
      <c r="Q27" s="64"/>
    </row>
    <row r="28" spans="1:21" x14ac:dyDescent="0.3">
      <c r="A28" s="378" t="s">
        <v>262</v>
      </c>
      <c r="B28" s="379"/>
      <c r="C28" s="609" t="s">
        <v>324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P28" s="64"/>
      <c r="Q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2</v>
      </c>
      <c r="L29" s="28">
        <v>6</v>
      </c>
      <c r="M29" s="28">
        <v>9</v>
      </c>
    </row>
    <row r="30" spans="1:21" x14ac:dyDescent="0.3">
      <c r="A30" s="557" t="s">
        <v>20</v>
      </c>
      <c r="B30" s="558"/>
      <c r="C30" s="572">
        <v>150</v>
      </c>
      <c r="D30" s="572"/>
      <c r="E30" s="742" t="s">
        <v>35</v>
      </c>
      <c r="F30" s="742"/>
      <c r="G30" s="572">
        <v>0</v>
      </c>
      <c r="H30" s="572"/>
      <c r="I30" s="572">
        <v>0</v>
      </c>
      <c r="J30" s="572"/>
      <c r="K30" s="125">
        <v>0</v>
      </c>
      <c r="L30" s="126">
        <v>0</v>
      </c>
      <c r="M30" s="126">
        <v>0</v>
      </c>
    </row>
    <row r="31" spans="1:21" x14ac:dyDescent="0.3">
      <c r="A31" s="557" t="s">
        <v>21</v>
      </c>
      <c r="B31" s="558"/>
      <c r="C31" s="742" t="s">
        <v>268</v>
      </c>
      <c r="D31" s="742"/>
      <c r="E31" s="742" t="s">
        <v>192</v>
      </c>
      <c r="F31" s="742"/>
      <c r="G31" s="572">
        <v>0</v>
      </c>
      <c r="H31" s="572"/>
      <c r="I31" s="572">
        <v>10</v>
      </c>
      <c r="J31" s="572"/>
      <c r="K31" s="125">
        <v>0</v>
      </c>
      <c r="L31" s="126">
        <v>11</v>
      </c>
      <c r="M31" s="126">
        <v>0</v>
      </c>
    </row>
    <row r="32" spans="1:21" x14ac:dyDescent="0.3">
      <c r="A32" s="557" t="s">
        <v>22</v>
      </c>
      <c r="B32" s="558"/>
      <c r="C32" s="572">
        <v>0</v>
      </c>
      <c r="D32" s="572"/>
      <c r="E32" s="742" t="s">
        <v>35</v>
      </c>
      <c r="F32" s="742"/>
      <c r="G32" s="572">
        <v>0</v>
      </c>
      <c r="H32" s="572"/>
      <c r="I32" s="572">
        <v>0</v>
      </c>
      <c r="J32" s="572"/>
      <c r="K32" s="125">
        <v>0</v>
      </c>
      <c r="L32" s="126">
        <v>0</v>
      </c>
      <c r="M32" s="126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418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9" t="s">
        <v>15</v>
      </c>
      <c r="B38" s="550"/>
      <c r="C38" s="439" t="s">
        <v>165</v>
      </c>
      <c r="D38" s="440"/>
      <c r="E38" s="551" t="s">
        <v>421</v>
      </c>
      <c r="F38" s="552"/>
      <c r="G38" s="439" t="s">
        <v>40</v>
      </c>
      <c r="H38" s="440"/>
      <c r="I38" s="439">
        <v>0</v>
      </c>
      <c r="J38" s="440"/>
      <c r="K38" s="123">
        <v>0</v>
      </c>
      <c r="L38" s="124" t="s">
        <v>422</v>
      </c>
      <c r="M38" s="124" t="s">
        <v>321</v>
      </c>
    </row>
    <row r="39" spans="1:13" x14ac:dyDescent="0.3">
      <c r="A39" s="549" t="s">
        <v>16</v>
      </c>
      <c r="B39" s="550"/>
      <c r="C39" s="439">
        <v>0</v>
      </c>
      <c r="D39" s="440"/>
      <c r="E39" s="551" t="s">
        <v>420</v>
      </c>
      <c r="F39" s="552"/>
      <c r="G39" s="439" t="s">
        <v>43</v>
      </c>
      <c r="H39" s="440"/>
      <c r="I39" s="439">
        <v>0</v>
      </c>
      <c r="J39" s="440"/>
      <c r="K39" s="125">
        <v>0</v>
      </c>
      <c r="L39" s="126">
        <v>0</v>
      </c>
      <c r="M39" s="126">
        <v>0</v>
      </c>
    </row>
    <row r="40" spans="1:13" x14ac:dyDescent="0.3">
      <c r="A40" s="549" t="s">
        <v>17</v>
      </c>
      <c r="B40" s="550"/>
      <c r="C40" s="439" t="s">
        <v>423</v>
      </c>
      <c r="D40" s="440"/>
      <c r="E40" s="551" t="s">
        <v>424</v>
      </c>
      <c r="F40" s="552"/>
      <c r="G40" s="439" t="s">
        <v>311</v>
      </c>
      <c r="H40" s="440"/>
      <c r="I40" s="439" t="s">
        <v>141</v>
      </c>
      <c r="J40" s="440"/>
      <c r="K40" s="125" t="s">
        <v>45</v>
      </c>
      <c r="L40" s="126" t="s">
        <v>139</v>
      </c>
      <c r="M40" s="126" t="s">
        <v>145</v>
      </c>
    </row>
    <row r="41" spans="1:13" x14ac:dyDescent="0.3">
      <c r="A41" s="549" t="s">
        <v>18</v>
      </c>
      <c r="B41" s="550"/>
      <c r="C41" s="439">
        <v>0</v>
      </c>
      <c r="D41" s="440"/>
      <c r="E41" s="551" t="s">
        <v>408</v>
      </c>
      <c r="F41" s="552"/>
      <c r="G41" s="439" t="s">
        <v>139</v>
      </c>
      <c r="H41" s="440"/>
      <c r="I41" s="439">
        <v>0</v>
      </c>
      <c r="J41" s="440"/>
      <c r="K41" s="125">
        <v>0</v>
      </c>
      <c r="L41" s="126">
        <v>0</v>
      </c>
      <c r="M41" s="126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426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39">
        <v>0</v>
      </c>
      <c r="D44" s="440"/>
      <c r="E44" s="439" t="s">
        <v>425</v>
      </c>
      <c r="F44" s="440"/>
      <c r="G44" s="439" t="s">
        <v>417</v>
      </c>
      <c r="H44" s="440"/>
      <c r="I44" s="439">
        <v>0</v>
      </c>
      <c r="J44" s="440"/>
      <c r="K44" s="125">
        <v>0</v>
      </c>
      <c r="L44" s="126">
        <v>0</v>
      </c>
      <c r="M44" s="126">
        <v>0</v>
      </c>
    </row>
    <row r="45" spans="1:13" x14ac:dyDescent="0.3">
      <c r="A45" s="549" t="s">
        <v>21</v>
      </c>
      <c r="B45" s="550"/>
      <c r="C45" s="439" t="s">
        <v>99</v>
      </c>
      <c r="D45" s="440"/>
      <c r="E45" s="572" t="s">
        <v>242</v>
      </c>
      <c r="F45" s="572"/>
      <c r="G45" s="572">
        <v>0</v>
      </c>
      <c r="H45" s="572"/>
      <c r="I45" s="572">
        <v>0</v>
      </c>
      <c r="J45" s="572"/>
      <c r="K45" s="125">
        <v>0</v>
      </c>
      <c r="L45" s="126" t="s">
        <v>280</v>
      </c>
      <c r="M45" s="126" t="s">
        <v>40</v>
      </c>
    </row>
    <row r="46" spans="1:13" x14ac:dyDescent="0.3">
      <c r="A46" s="549" t="s">
        <v>22</v>
      </c>
      <c r="B46" s="550"/>
      <c r="C46" s="439">
        <v>0</v>
      </c>
      <c r="D46" s="440"/>
      <c r="E46" s="551" t="s">
        <v>113</v>
      </c>
      <c r="F46" s="552"/>
      <c r="G46" s="439">
        <v>0</v>
      </c>
      <c r="H46" s="440"/>
      <c r="I46" s="439" t="s">
        <v>99</v>
      </c>
      <c r="J46" s="440"/>
      <c r="K46" s="125" t="s">
        <v>100</v>
      </c>
      <c r="L46" s="126">
        <v>0</v>
      </c>
      <c r="M46" s="126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394</v>
      </c>
      <c r="D51" s="320"/>
      <c r="E51" s="319" t="s">
        <v>403</v>
      </c>
      <c r="F51" s="320"/>
      <c r="G51" s="319" t="s">
        <v>407</v>
      </c>
      <c r="H51" s="320"/>
      <c r="I51" s="319" t="s">
        <v>418</v>
      </c>
      <c r="J51" s="320"/>
    </row>
    <row r="52" spans="1:10" x14ac:dyDescent="0.3">
      <c r="A52" s="331" t="s">
        <v>59</v>
      </c>
      <c r="B52" s="383"/>
      <c r="C52" s="487">
        <v>8499</v>
      </c>
      <c r="D52" s="487"/>
      <c r="E52" s="487">
        <v>8477</v>
      </c>
      <c r="F52" s="487"/>
      <c r="G52" s="487">
        <v>8420</v>
      </c>
      <c r="H52" s="487"/>
      <c r="I52" s="743">
        <v>8380</v>
      </c>
      <c r="J52" s="743"/>
    </row>
    <row r="53" spans="1:10" ht="15" customHeight="1" x14ac:dyDescent="0.3">
      <c r="A53" s="331" t="s">
        <v>60</v>
      </c>
      <c r="B53" s="383"/>
      <c r="C53" s="311">
        <v>13531</v>
      </c>
      <c r="D53" s="312"/>
      <c r="E53" s="311">
        <v>13517</v>
      </c>
      <c r="F53" s="312"/>
      <c r="G53" s="311">
        <v>13539</v>
      </c>
      <c r="H53" s="312"/>
      <c r="I53" s="744">
        <v>13519</v>
      </c>
      <c r="J53" s="745"/>
    </row>
    <row r="54" spans="1:10" x14ac:dyDescent="0.3">
      <c r="A54" s="331" t="s">
        <v>61</v>
      </c>
      <c r="B54" s="383"/>
      <c r="C54" s="487">
        <v>108393</v>
      </c>
      <c r="D54" s="487"/>
      <c r="E54" s="487">
        <v>108362</v>
      </c>
      <c r="F54" s="487"/>
      <c r="G54" s="487">
        <v>108275</v>
      </c>
      <c r="H54" s="487"/>
      <c r="I54" s="743">
        <v>108199</v>
      </c>
      <c r="J54" s="743"/>
    </row>
    <row r="55" spans="1:10" x14ac:dyDescent="0.3">
      <c r="A55" s="331" t="s">
        <v>62</v>
      </c>
      <c r="B55" s="383"/>
      <c r="C55" s="487">
        <v>208</v>
      </c>
      <c r="D55" s="487"/>
      <c r="E55" s="487">
        <v>208</v>
      </c>
      <c r="F55" s="487"/>
      <c r="G55" s="487">
        <v>208</v>
      </c>
      <c r="H55" s="487"/>
      <c r="I55" s="743">
        <v>208</v>
      </c>
      <c r="J55" s="743"/>
    </row>
    <row r="56" spans="1:10" x14ac:dyDescent="0.3">
      <c r="A56" s="331" t="s">
        <v>63</v>
      </c>
      <c r="B56" s="383"/>
      <c r="C56" s="486">
        <v>48596</v>
      </c>
      <c r="D56" s="486"/>
      <c r="E56" s="486">
        <v>48587</v>
      </c>
      <c r="F56" s="486"/>
      <c r="G56" s="486">
        <v>48552</v>
      </c>
      <c r="H56" s="486"/>
      <c r="I56" s="746">
        <v>48509</v>
      </c>
      <c r="J56" s="746"/>
    </row>
    <row r="57" spans="1:10" x14ac:dyDescent="0.3">
      <c r="A57" s="331" t="s">
        <v>64</v>
      </c>
      <c r="B57" s="383"/>
      <c r="C57" s="303">
        <v>5928</v>
      </c>
      <c r="D57" s="283"/>
      <c r="E57" s="303">
        <v>5930</v>
      </c>
      <c r="F57" s="283"/>
      <c r="G57" s="303">
        <v>5928</v>
      </c>
      <c r="H57" s="283"/>
      <c r="I57" s="747">
        <v>5918</v>
      </c>
      <c r="J57" s="748"/>
    </row>
    <row r="58" spans="1:10" x14ac:dyDescent="0.3">
      <c r="A58" s="331" t="s">
        <v>65</v>
      </c>
      <c r="B58" s="383"/>
      <c r="C58" s="486">
        <v>26310</v>
      </c>
      <c r="D58" s="486"/>
      <c r="E58" s="486">
        <v>26311</v>
      </c>
      <c r="F58" s="486"/>
      <c r="G58" s="486">
        <v>26309</v>
      </c>
      <c r="H58" s="486"/>
      <c r="I58" s="746">
        <v>26274</v>
      </c>
      <c r="J58" s="746"/>
    </row>
    <row r="59" spans="1:10" x14ac:dyDescent="0.3">
      <c r="A59" s="331" t="s">
        <v>66</v>
      </c>
      <c r="B59" s="383"/>
      <c r="C59" s="486">
        <v>4508</v>
      </c>
      <c r="D59" s="486"/>
      <c r="E59" s="486">
        <v>4509</v>
      </c>
      <c r="F59" s="486"/>
      <c r="G59" s="486">
        <v>4507</v>
      </c>
      <c r="H59" s="486"/>
      <c r="I59" s="746">
        <v>4505</v>
      </c>
      <c r="J59" s="746"/>
    </row>
    <row r="60" spans="1:10" x14ac:dyDescent="0.3">
      <c r="A60" s="165"/>
      <c r="B60" s="166" t="s">
        <v>251</v>
      </c>
      <c r="C60" s="486">
        <v>2544</v>
      </c>
      <c r="D60" s="486"/>
      <c r="E60" s="486">
        <v>2746</v>
      </c>
      <c r="F60" s="486"/>
      <c r="G60" s="486">
        <v>3296</v>
      </c>
      <c r="H60" s="486"/>
      <c r="I60" s="746">
        <v>3556</v>
      </c>
      <c r="J60" s="746"/>
    </row>
    <row r="61" spans="1:10" x14ac:dyDescent="0.3">
      <c r="A61" s="331" t="s">
        <v>67</v>
      </c>
      <c r="B61" s="332"/>
      <c r="C61" s="307">
        <f>SUM(C52:C60)</f>
        <v>218517</v>
      </c>
      <c r="D61" s="307"/>
      <c r="E61" s="307">
        <f>SUM(E52:E60)</f>
        <v>218647</v>
      </c>
      <c r="F61" s="307"/>
      <c r="G61" s="307">
        <v>219034</v>
      </c>
      <c r="H61" s="307"/>
      <c r="I61" s="749">
        <v>219068</v>
      </c>
      <c r="J61" s="749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229"/>
      <c r="J62" s="229"/>
    </row>
    <row r="63" spans="1:10" ht="15" customHeight="1" x14ac:dyDescent="0.3">
      <c r="A63" s="285" t="s">
        <v>68</v>
      </c>
      <c r="B63" s="286"/>
      <c r="C63" s="738" t="s">
        <v>394</v>
      </c>
      <c r="D63" s="739"/>
      <c r="E63" s="319" t="s">
        <v>403</v>
      </c>
      <c r="F63" s="320"/>
      <c r="G63" s="319" t="s">
        <v>407</v>
      </c>
      <c r="H63" s="320"/>
      <c r="I63" s="750" t="s">
        <v>418</v>
      </c>
      <c r="J63" s="751"/>
    </row>
    <row r="64" spans="1:10" x14ac:dyDescent="0.3">
      <c r="A64" s="287"/>
      <c r="B64" s="288"/>
      <c r="C64" s="297">
        <v>144391</v>
      </c>
      <c r="D64" s="298"/>
      <c r="E64" s="297">
        <v>144391</v>
      </c>
      <c r="F64" s="298"/>
      <c r="G64" s="297">
        <v>144589</v>
      </c>
      <c r="H64" s="298"/>
      <c r="I64" s="752">
        <v>144620</v>
      </c>
      <c r="J64" s="753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754"/>
      <c r="J65" s="755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82" t="s">
        <v>250</v>
      </c>
      <c r="D69" s="83"/>
      <c r="E69" s="282" t="s">
        <v>333</v>
      </c>
      <c r="F69" s="283"/>
      <c r="G69" s="282" t="s">
        <v>352</v>
      </c>
      <c r="H69" s="284"/>
      <c r="I69" s="282" t="s">
        <v>409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36368</v>
      </c>
      <c r="D72" s="215"/>
      <c r="E72" s="214">
        <v>36751</v>
      </c>
      <c r="F72" s="215"/>
      <c r="G72" s="265">
        <v>37120</v>
      </c>
      <c r="H72" s="266"/>
      <c r="I72" s="265">
        <v>37446</v>
      </c>
      <c r="J72" s="266"/>
    </row>
    <row r="73" spans="1:10" x14ac:dyDescent="0.3">
      <c r="A73" s="269" t="s">
        <v>16</v>
      </c>
      <c r="B73" s="270"/>
      <c r="C73" s="214">
        <v>8201</v>
      </c>
      <c r="D73" s="215"/>
      <c r="E73" s="214">
        <v>8267</v>
      </c>
      <c r="F73" s="215"/>
      <c r="G73" s="265">
        <v>8384</v>
      </c>
      <c r="H73" s="266"/>
      <c r="I73" s="265">
        <v>8441</v>
      </c>
      <c r="J73" s="266"/>
    </row>
    <row r="74" spans="1:10" x14ac:dyDescent="0.3">
      <c r="A74" s="267" t="s">
        <v>17</v>
      </c>
      <c r="B74" s="268"/>
      <c r="C74" s="214">
        <v>7219</v>
      </c>
      <c r="D74" s="215"/>
      <c r="E74" s="214">
        <v>7311</v>
      </c>
      <c r="F74" s="215"/>
      <c r="G74" s="265">
        <v>7423</v>
      </c>
      <c r="H74" s="266"/>
      <c r="I74" s="265">
        <v>7498</v>
      </c>
      <c r="J74" s="266"/>
    </row>
    <row r="75" spans="1:10" x14ac:dyDescent="0.3">
      <c r="A75" s="267" t="s">
        <v>75</v>
      </c>
      <c r="B75" s="268"/>
      <c r="C75" s="214">
        <v>2508</v>
      </c>
      <c r="D75" s="215"/>
      <c r="E75" s="214">
        <v>2547</v>
      </c>
      <c r="F75" s="215"/>
      <c r="G75" s="265">
        <v>2597</v>
      </c>
      <c r="H75" s="266"/>
      <c r="I75" s="265">
        <v>2631</v>
      </c>
      <c r="J75" s="266"/>
    </row>
    <row r="76" spans="1:10" x14ac:dyDescent="0.3">
      <c r="A76" s="269" t="s">
        <v>18</v>
      </c>
      <c r="B76" s="270"/>
      <c r="C76" s="214">
        <v>6196</v>
      </c>
      <c r="D76" s="215"/>
      <c r="E76" s="214">
        <v>6380</v>
      </c>
      <c r="F76" s="215"/>
      <c r="G76" s="265">
        <v>6522</v>
      </c>
      <c r="H76" s="266"/>
      <c r="I76" s="265">
        <v>6618</v>
      </c>
      <c r="J76" s="266"/>
    </row>
    <row r="77" spans="1:10" x14ac:dyDescent="0.3">
      <c r="A77" s="267" t="s">
        <v>19</v>
      </c>
      <c r="B77" s="268"/>
      <c r="C77" s="214">
        <v>5419</v>
      </c>
      <c r="D77" s="215"/>
      <c r="E77" s="214">
        <v>5434</v>
      </c>
      <c r="F77" s="215"/>
      <c r="G77" s="265">
        <v>5465</v>
      </c>
      <c r="H77" s="266"/>
      <c r="I77" s="265">
        <v>5474</v>
      </c>
      <c r="J77" s="266"/>
    </row>
    <row r="78" spans="1:10" x14ac:dyDescent="0.3">
      <c r="A78" s="269" t="s">
        <v>20</v>
      </c>
      <c r="B78" s="270"/>
      <c r="C78" s="214">
        <v>9569</v>
      </c>
      <c r="D78" s="215"/>
      <c r="E78" s="214">
        <v>9704</v>
      </c>
      <c r="F78" s="215"/>
      <c r="G78" s="265">
        <v>9856</v>
      </c>
      <c r="H78" s="266"/>
      <c r="I78" s="265">
        <v>10014</v>
      </c>
      <c r="J78" s="266"/>
    </row>
    <row r="79" spans="1:10" x14ac:dyDescent="0.3">
      <c r="A79" s="267" t="s">
        <v>21</v>
      </c>
      <c r="B79" s="268"/>
      <c r="C79" s="214">
        <v>1853</v>
      </c>
      <c r="D79" s="215"/>
      <c r="E79" s="214">
        <v>1858</v>
      </c>
      <c r="F79" s="215"/>
      <c r="G79" s="265">
        <v>1876</v>
      </c>
      <c r="H79" s="266"/>
      <c r="I79" s="265">
        <v>1879</v>
      </c>
      <c r="J79" s="266"/>
    </row>
    <row r="80" spans="1:10" x14ac:dyDescent="0.3">
      <c r="A80" s="269" t="s">
        <v>22</v>
      </c>
      <c r="B80" s="270"/>
      <c r="C80" s="214">
        <v>7327</v>
      </c>
      <c r="D80" s="215"/>
      <c r="E80" s="214">
        <v>7442</v>
      </c>
      <c r="F80" s="215"/>
      <c r="G80" s="265">
        <v>7584</v>
      </c>
      <c r="H80" s="266"/>
      <c r="I80" s="265">
        <v>7657</v>
      </c>
      <c r="J80" s="266"/>
    </row>
    <row r="81" spans="1:10" x14ac:dyDescent="0.3">
      <c r="A81" s="263" t="s">
        <v>76</v>
      </c>
      <c r="B81" s="264"/>
      <c r="C81" s="214">
        <v>84660</v>
      </c>
      <c r="D81" s="215"/>
      <c r="E81" s="214">
        <f>SUM(E72:E80)</f>
        <v>85694</v>
      </c>
      <c r="F81" s="215"/>
      <c r="G81" s="265">
        <f>SUM(G72:G80)</f>
        <v>86827</v>
      </c>
      <c r="H81" s="266"/>
      <c r="I81" s="265">
        <v>87658</v>
      </c>
      <c r="J81" s="266"/>
    </row>
  </sheetData>
  <mergeCells count="310">
    <mergeCell ref="A80:B80"/>
    <mergeCell ref="G80:H80"/>
    <mergeCell ref="I80:J80"/>
    <mergeCell ref="A81:B81"/>
    <mergeCell ref="G81:H81"/>
    <mergeCell ref="I81:J81"/>
    <mergeCell ref="A78:B78"/>
    <mergeCell ref="G78:H78"/>
    <mergeCell ref="I78:J78"/>
    <mergeCell ref="A79:B79"/>
    <mergeCell ref="G79:H79"/>
    <mergeCell ref="I79:J79"/>
    <mergeCell ref="A76:B76"/>
    <mergeCell ref="G76:H76"/>
    <mergeCell ref="I76:J76"/>
    <mergeCell ref="A77:B77"/>
    <mergeCell ref="G77:H77"/>
    <mergeCell ref="I77:J77"/>
    <mergeCell ref="A74:B74"/>
    <mergeCell ref="G74:H74"/>
    <mergeCell ref="I74:J74"/>
    <mergeCell ref="A75:B75"/>
    <mergeCell ref="G75:H75"/>
    <mergeCell ref="I75:J75"/>
    <mergeCell ref="A72:B72"/>
    <mergeCell ref="G72:H72"/>
    <mergeCell ref="I72:J72"/>
    <mergeCell ref="A73:B73"/>
    <mergeCell ref="G73:H73"/>
    <mergeCell ref="I73:J73"/>
    <mergeCell ref="A68:J68"/>
    <mergeCell ref="A69:B69"/>
    <mergeCell ref="E69:F69"/>
    <mergeCell ref="G69:H69"/>
    <mergeCell ref="I69:J69"/>
    <mergeCell ref="A70:B71"/>
    <mergeCell ref="G70:H71"/>
    <mergeCell ref="I70:J71"/>
    <mergeCell ref="A63:B65"/>
    <mergeCell ref="E63:F63"/>
    <mergeCell ref="G63:H63"/>
    <mergeCell ref="I63:J63"/>
    <mergeCell ref="C64:D65"/>
    <mergeCell ref="E64:F65"/>
    <mergeCell ref="G64:H65"/>
    <mergeCell ref="I64:J65"/>
    <mergeCell ref="C63:D63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68AB-EDBE-4247-B685-8BF43E1F9BCD}">
  <dimension ref="A1:AA81"/>
  <sheetViews>
    <sheetView workbookViewId="0">
      <selection activeCell="R22" sqref="R22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427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7970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5789</v>
      </c>
      <c r="N4" s="6">
        <v>2390</v>
      </c>
      <c r="O4" s="6">
        <v>118</v>
      </c>
      <c r="P4" s="7">
        <v>10582</v>
      </c>
      <c r="Q4" s="7">
        <v>9416</v>
      </c>
      <c r="R4" s="7">
        <v>6239</v>
      </c>
      <c r="S4" s="64"/>
      <c r="T4" s="64"/>
      <c r="U4" s="64"/>
    </row>
    <row r="5" spans="1:27" ht="15.75" customHeight="1" x14ac:dyDescent="0.3">
      <c r="A5" s="740" t="s">
        <v>14</v>
      </c>
      <c r="B5" s="740"/>
      <c r="C5" s="741">
        <v>220</v>
      </c>
      <c r="D5" s="741"/>
      <c r="E5" s="741">
        <v>0</v>
      </c>
      <c r="F5" s="741"/>
      <c r="G5" s="741">
        <v>0</v>
      </c>
      <c r="H5" s="741"/>
      <c r="I5" s="741">
        <v>0</v>
      </c>
      <c r="J5" s="741"/>
      <c r="K5" s="741">
        <v>0</v>
      </c>
      <c r="L5" s="741"/>
      <c r="M5" s="88">
        <v>0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64"/>
      <c r="T5" s="64"/>
      <c r="U5" s="64"/>
    </row>
    <row r="6" spans="1:27" x14ac:dyDescent="0.3">
      <c r="A6" s="571" t="s">
        <v>15</v>
      </c>
      <c r="B6" s="571"/>
      <c r="C6" s="572">
        <v>420</v>
      </c>
      <c r="D6" s="572"/>
      <c r="E6" s="572">
        <v>402</v>
      </c>
      <c r="F6" s="572"/>
      <c r="G6" s="572">
        <v>27</v>
      </c>
      <c r="H6" s="572"/>
      <c r="I6" s="572">
        <v>25</v>
      </c>
      <c r="J6" s="572"/>
      <c r="K6" s="572">
        <v>0</v>
      </c>
      <c r="L6" s="572"/>
      <c r="M6" s="84">
        <v>218</v>
      </c>
      <c r="N6" s="125">
        <v>470</v>
      </c>
      <c r="O6" s="125">
        <v>339</v>
      </c>
      <c r="P6" s="125">
        <v>30</v>
      </c>
      <c r="Q6" s="125">
        <v>0</v>
      </c>
      <c r="R6" s="125">
        <v>0</v>
      </c>
      <c r="S6" s="64"/>
      <c r="T6" s="64"/>
      <c r="U6" s="64"/>
    </row>
    <row r="7" spans="1:27" x14ac:dyDescent="0.3">
      <c r="A7" s="571" t="s">
        <v>16</v>
      </c>
      <c r="B7" s="571"/>
      <c r="C7" s="572">
        <v>485</v>
      </c>
      <c r="D7" s="572"/>
      <c r="E7" s="572">
        <v>0</v>
      </c>
      <c r="F7" s="572"/>
      <c r="G7" s="572">
        <v>0</v>
      </c>
      <c r="H7" s="572"/>
      <c r="I7" s="572">
        <v>0</v>
      </c>
      <c r="J7" s="572"/>
      <c r="K7" s="572">
        <v>0</v>
      </c>
      <c r="L7" s="572"/>
      <c r="M7" s="84">
        <v>227</v>
      </c>
      <c r="N7" s="125">
        <v>187</v>
      </c>
      <c r="O7" s="125">
        <v>25</v>
      </c>
      <c r="P7" s="125">
        <v>0</v>
      </c>
      <c r="Q7" s="125">
        <v>0</v>
      </c>
      <c r="R7" s="125">
        <v>2</v>
      </c>
      <c r="S7" s="64"/>
      <c r="T7" s="64"/>
      <c r="U7" s="64"/>
    </row>
    <row r="8" spans="1:27" x14ac:dyDescent="0.3">
      <c r="A8" s="571" t="s">
        <v>17</v>
      </c>
      <c r="B8" s="571"/>
      <c r="C8" s="572">
        <v>358</v>
      </c>
      <c r="D8" s="572"/>
      <c r="E8" s="572">
        <v>0</v>
      </c>
      <c r="F8" s="572"/>
      <c r="G8" s="572">
        <v>0</v>
      </c>
      <c r="H8" s="572"/>
      <c r="I8" s="572">
        <v>0</v>
      </c>
      <c r="J8" s="572"/>
      <c r="K8" s="572">
        <v>0</v>
      </c>
      <c r="L8" s="572"/>
      <c r="M8" s="84">
        <v>283</v>
      </c>
      <c r="N8" s="125">
        <v>225</v>
      </c>
      <c r="O8" s="125">
        <v>0</v>
      </c>
      <c r="P8" s="125">
        <v>2</v>
      </c>
      <c r="Q8" s="125">
        <v>12</v>
      </c>
      <c r="R8" s="125">
        <v>1</v>
      </c>
      <c r="S8" s="64"/>
      <c r="T8" s="64"/>
      <c r="U8" s="64"/>
    </row>
    <row r="9" spans="1:27" x14ac:dyDescent="0.3">
      <c r="A9" s="571" t="s">
        <v>18</v>
      </c>
      <c r="B9" s="571"/>
      <c r="C9" s="572">
        <v>190</v>
      </c>
      <c r="D9" s="572"/>
      <c r="E9" s="572">
        <v>0</v>
      </c>
      <c r="F9" s="572"/>
      <c r="G9" s="572">
        <v>0</v>
      </c>
      <c r="H9" s="572"/>
      <c r="I9" s="572">
        <v>0</v>
      </c>
      <c r="J9" s="572"/>
      <c r="K9" s="572">
        <v>0</v>
      </c>
      <c r="L9" s="572"/>
      <c r="M9" s="84">
        <v>165</v>
      </c>
      <c r="N9" s="125">
        <v>60</v>
      </c>
      <c r="O9" s="125">
        <v>7</v>
      </c>
      <c r="P9" s="125">
        <v>0</v>
      </c>
      <c r="Q9" s="125">
        <v>0</v>
      </c>
      <c r="R9" s="125">
        <v>0</v>
      </c>
      <c r="S9" s="64"/>
      <c r="T9" s="64"/>
      <c r="U9" s="64"/>
    </row>
    <row r="10" spans="1:27" ht="15" thickBot="1" x14ac:dyDescent="0.35">
      <c r="A10" s="378" t="s">
        <v>262</v>
      </c>
      <c r="B10" s="379"/>
      <c r="C10" s="377">
        <v>110</v>
      </c>
      <c r="D10" s="380"/>
      <c r="E10" s="377">
        <v>100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143</v>
      </c>
      <c r="N10" s="172">
        <v>107</v>
      </c>
      <c r="O10" s="172">
        <v>56</v>
      </c>
      <c r="P10" s="9">
        <v>0</v>
      </c>
      <c r="Q10" s="9">
        <v>0</v>
      </c>
      <c r="R10" s="9">
        <v>0</v>
      </c>
      <c r="S10" s="64"/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312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17</v>
      </c>
      <c r="N11" s="9">
        <v>57</v>
      </c>
      <c r="O11" s="9">
        <v>135</v>
      </c>
      <c r="P11" s="9">
        <v>82</v>
      </c>
      <c r="Q11" s="9">
        <v>14</v>
      </c>
      <c r="R11" s="9">
        <v>0</v>
      </c>
      <c r="S11" s="64"/>
      <c r="U11" s="64"/>
      <c r="V11" s="64"/>
      <c r="Z11" s="40"/>
      <c r="AA11" s="40"/>
    </row>
    <row r="12" spans="1:27" x14ac:dyDescent="0.3">
      <c r="A12" s="571" t="s">
        <v>20</v>
      </c>
      <c r="B12" s="571"/>
      <c r="C12" s="572">
        <v>220</v>
      </c>
      <c r="D12" s="572"/>
      <c r="E12" s="572">
        <v>0</v>
      </c>
      <c r="F12" s="572"/>
      <c r="G12" s="572">
        <v>0</v>
      </c>
      <c r="H12" s="572"/>
      <c r="I12" s="572">
        <v>0</v>
      </c>
      <c r="J12" s="572"/>
      <c r="K12" s="572">
        <v>0</v>
      </c>
      <c r="L12" s="572"/>
      <c r="M12" s="84">
        <v>306</v>
      </c>
      <c r="N12" s="125">
        <v>411</v>
      </c>
      <c r="O12" s="125">
        <v>10</v>
      </c>
      <c r="P12" s="125">
        <v>0</v>
      </c>
      <c r="Q12" s="125">
        <v>0</v>
      </c>
      <c r="R12" s="125">
        <v>0</v>
      </c>
    </row>
    <row r="13" spans="1:27" x14ac:dyDescent="0.3">
      <c r="A13" s="571" t="s">
        <v>21</v>
      </c>
      <c r="B13" s="571"/>
      <c r="C13" s="572">
        <v>224</v>
      </c>
      <c r="D13" s="572"/>
      <c r="E13" s="572">
        <v>5</v>
      </c>
      <c r="F13" s="572"/>
      <c r="G13" s="572">
        <v>1</v>
      </c>
      <c r="H13" s="572"/>
      <c r="I13" s="572">
        <v>7</v>
      </c>
      <c r="J13" s="572"/>
      <c r="K13" s="572">
        <v>1</v>
      </c>
      <c r="L13" s="572"/>
      <c r="M13" s="84">
        <v>118</v>
      </c>
      <c r="N13" s="125">
        <v>94</v>
      </c>
      <c r="O13" s="125">
        <v>44</v>
      </c>
      <c r="P13" s="125">
        <v>0</v>
      </c>
      <c r="Q13" s="125">
        <v>0</v>
      </c>
      <c r="R13" s="125">
        <v>0</v>
      </c>
    </row>
    <row r="14" spans="1:27" x14ac:dyDescent="0.3">
      <c r="A14" s="376" t="s">
        <v>22</v>
      </c>
      <c r="B14" s="376"/>
      <c r="C14" s="377">
        <v>164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202</v>
      </c>
      <c r="N14" s="9">
        <v>312</v>
      </c>
      <c r="O14" s="9">
        <v>14</v>
      </c>
      <c r="P14" s="9">
        <v>0</v>
      </c>
      <c r="Q14" s="9">
        <v>0</v>
      </c>
      <c r="R14" s="9">
        <v>0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4093</v>
      </c>
      <c r="Q15" s="73">
        <v>2032</v>
      </c>
      <c r="R15" s="94">
        <v>3169</v>
      </c>
    </row>
    <row r="16" spans="1:27" ht="15" thickBot="1" x14ac:dyDescent="0.35">
      <c r="A16" s="370" t="s">
        <v>24</v>
      </c>
      <c r="B16" s="371"/>
      <c r="C16" s="372">
        <f>SUM(C4:D15)</f>
        <v>10673</v>
      </c>
      <c r="D16" s="373"/>
      <c r="E16" s="373">
        <f>SUM(E4:F15)</f>
        <v>665</v>
      </c>
      <c r="F16" s="373"/>
      <c r="G16" s="373">
        <f>SUM(G4:H15)</f>
        <v>28</v>
      </c>
      <c r="H16" s="373"/>
      <c r="I16" s="373">
        <f>SUM(I4:J15)</f>
        <v>32</v>
      </c>
      <c r="J16" s="373"/>
      <c r="K16" s="373">
        <f>SUM(K4:L15)</f>
        <v>1</v>
      </c>
      <c r="L16" s="373"/>
      <c r="M16" s="139">
        <f t="shared" ref="M16:R16" si="0">SUM(M4:M15)</f>
        <v>7468</v>
      </c>
      <c r="N16" s="13">
        <f t="shared" si="0"/>
        <v>4313</v>
      </c>
      <c r="O16" s="13">
        <f t="shared" si="0"/>
        <v>748</v>
      </c>
      <c r="P16" s="16">
        <f t="shared" si="0"/>
        <v>14789</v>
      </c>
      <c r="Q16" s="142">
        <f t="shared" si="0"/>
        <v>11474</v>
      </c>
      <c r="R16" s="143">
        <f t="shared" si="0"/>
        <v>9411</v>
      </c>
    </row>
    <row r="17" spans="1:21" x14ac:dyDescent="0.3">
      <c r="A17" s="368" t="s">
        <v>25</v>
      </c>
      <c r="B17" s="368"/>
      <c r="C17" s="369">
        <v>7830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5728</v>
      </c>
      <c r="N17" s="131">
        <v>2390</v>
      </c>
      <c r="O17" s="91">
        <v>118</v>
      </c>
      <c r="P17" s="7">
        <v>10582</v>
      </c>
      <c r="Q17" s="7">
        <v>9416</v>
      </c>
      <c r="R17" s="7">
        <v>6239</v>
      </c>
      <c r="S17" s="602"/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14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141"/>
    </row>
    <row r="21" spans="1:21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427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141"/>
    </row>
    <row r="24" spans="1:21" x14ac:dyDescent="0.3">
      <c r="A24" s="557" t="s">
        <v>15</v>
      </c>
      <c r="B24" s="558"/>
      <c r="C24" s="572">
        <v>685</v>
      </c>
      <c r="D24" s="572"/>
      <c r="E24" s="742" t="s">
        <v>413</v>
      </c>
      <c r="F24" s="742"/>
      <c r="G24" s="572">
        <v>0</v>
      </c>
      <c r="H24" s="572"/>
      <c r="I24" s="572">
        <v>22</v>
      </c>
      <c r="J24" s="572"/>
      <c r="K24" s="125">
        <v>0</v>
      </c>
      <c r="L24" s="126">
        <v>7</v>
      </c>
      <c r="M24" s="126">
        <v>2</v>
      </c>
      <c r="P24" s="64"/>
      <c r="Q24" s="64"/>
      <c r="R24" s="141"/>
    </row>
    <row r="25" spans="1:21" x14ac:dyDescent="0.3">
      <c r="A25" s="557" t="s">
        <v>16</v>
      </c>
      <c r="B25" s="558"/>
      <c r="C25" s="572">
        <v>83</v>
      </c>
      <c r="D25" s="572"/>
      <c r="E25" s="742" t="s">
        <v>230</v>
      </c>
      <c r="F25" s="742"/>
      <c r="G25" s="572">
        <v>0</v>
      </c>
      <c r="H25" s="572"/>
      <c r="I25" s="572">
        <v>46</v>
      </c>
      <c r="J25" s="572"/>
      <c r="K25" s="125">
        <v>0</v>
      </c>
      <c r="L25" s="126">
        <v>0</v>
      </c>
      <c r="M25" s="126">
        <v>0</v>
      </c>
      <c r="P25" s="64"/>
      <c r="Q25" s="64"/>
      <c r="R25" s="141"/>
    </row>
    <row r="26" spans="1:21" x14ac:dyDescent="0.3">
      <c r="A26" s="557" t="s">
        <v>17</v>
      </c>
      <c r="B26" s="558"/>
      <c r="C26" s="572">
        <v>173</v>
      </c>
      <c r="D26" s="572"/>
      <c r="E26" s="742" t="s">
        <v>268</v>
      </c>
      <c r="F26" s="742"/>
      <c r="G26" s="572">
        <v>9</v>
      </c>
      <c r="H26" s="572"/>
      <c r="I26" s="572">
        <v>40</v>
      </c>
      <c r="J26" s="572"/>
      <c r="K26" s="125">
        <v>0</v>
      </c>
      <c r="L26" s="126">
        <v>7</v>
      </c>
      <c r="M26" s="126">
        <v>2</v>
      </c>
    </row>
    <row r="27" spans="1:21" x14ac:dyDescent="0.3">
      <c r="A27" s="557" t="s">
        <v>18</v>
      </c>
      <c r="B27" s="558"/>
      <c r="C27" s="742" t="s">
        <v>431</v>
      </c>
      <c r="D27" s="742"/>
      <c r="E27" s="742" t="s">
        <v>253</v>
      </c>
      <c r="F27" s="742"/>
      <c r="G27" s="572">
        <v>0</v>
      </c>
      <c r="H27" s="572"/>
      <c r="I27" s="572">
        <v>15</v>
      </c>
      <c r="J27" s="572"/>
      <c r="K27" s="125">
        <v>4</v>
      </c>
      <c r="L27" s="126">
        <v>7</v>
      </c>
      <c r="M27" s="126">
        <v>0</v>
      </c>
      <c r="P27" s="64"/>
      <c r="Q27" s="64"/>
    </row>
    <row r="28" spans="1:21" x14ac:dyDescent="0.3">
      <c r="A28" s="378" t="s">
        <v>262</v>
      </c>
      <c r="B28" s="379"/>
      <c r="C28" s="609" t="s">
        <v>284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5</v>
      </c>
      <c r="M28" s="28">
        <v>5</v>
      </c>
      <c r="P28" s="64"/>
      <c r="Q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2</v>
      </c>
      <c r="L29" s="28">
        <v>6</v>
      </c>
      <c r="M29" s="28">
        <v>9</v>
      </c>
    </row>
    <row r="30" spans="1:21" x14ac:dyDescent="0.3">
      <c r="A30" s="557" t="s">
        <v>20</v>
      </c>
      <c r="B30" s="558"/>
      <c r="C30" s="572">
        <v>162</v>
      </c>
      <c r="D30" s="572"/>
      <c r="E30" s="742" t="s">
        <v>35</v>
      </c>
      <c r="F30" s="742"/>
      <c r="G30" s="572">
        <v>0</v>
      </c>
      <c r="H30" s="572"/>
      <c r="I30" s="572">
        <v>0</v>
      </c>
      <c r="J30" s="572"/>
      <c r="K30" s="125">
        <v>0</v>
      </c>
      <c r="L30" s="126">
        <v>0</v>
      </c>
      <c r="M30" s="126">
        <v>0</v>
      </c>
    </row>
    <row r="31" spans="1:21" x14ac:dyDescent="0.3">
      <c r="A31" s="557" t="s">
        <v>21</v>
      </c>
      <c r="B31" s="558"/>
      <c r="C31" s="742" t="s">
        <v>260</v>
      </c>
      <c r="D31" s="742"/>
      <c r="E31" s="742" t="s">
        <v>361</v>
      </c>
      <c r="F31" s="742"/>
      <c r="G31" s="572">
        <v>0</v>
      </c>
      <c r="H31" s="572"/>
      <c r="I31" s="572">
        <v>10</v>
      </c>
      <c r="J31" s="572"/>
      <c r="K31" s="125">
        <v>0</v>
      </c>
      <c r="L31" s="126">
        <v>10</v>
      </c>
      <c r="M31" s="126">
        <v>0</v>
      </c>
    </row>
    <row r="32" spans="1:21" x14ac:dyDescent="0.3">
      <c r="A32" s="557" t="s">
        <v>22</v>
      </c>
      <c r="B32" s="558"/>
      <c r="C32" s="572">
        <v>0</v>
      </c>
      <c r="D32" s="572"/>
      <c r="E32" s="742" t="s">
        <v>35</v>
      </c>
      <c r="F32" s="742"/>
      <c r="G32" s="572">
        <v>0</v>
      </c>
      <c r="H32" s="572"/>
      <c r="I32" s="572">
        <v>0</v>
      </c>
      <c r="J32" s="572"/>
      <c r="K32" s="125">
        <v>0</v>
      </c>
      <c r="L32" s="126">
        <v>0</v>
      </c>
      <c r="M32" s="126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427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9" t="s">
        <v>15</v>
      </c>
      <c r="B38" s="550"/>
      <c r="C38" s="439" t="s">
        <v>165</v>
      </c>
      <c r="D38" s="440"/>
      <c r="E38" s="551" t="s">
        <v>432</v>
      </c>
      <c r="F38" s="552"/>
      <c r="G38" s="439" t="s">
        <v>40</v>
      </c>
      <c r="H38" s="440"/>
      <c r="I38" s="439">
        <v>0</v>
      </c>
      <c r="J38" s="440"/>
      <c r="K38" s="123">
        <v>0</v>
      </c>
      <c r="L38" s="124" t="s">
        <v>332</v>
      </c>
      <c r="M38" s="124" t="s">
        <v>321</v>
      </c>
    </row>
    <row r="39" spans="1:13" x14ac:dyDescent="0.3">
      <c r="A39" s="549" t="s">
        <v>16</v>
      </c>
      <c r="B39" s="550"/>
      <c r="C39" s="439">
        <v>0</v>
      </c>
      <c r="D39" s="440"/>
      <c r="E39" s="551" t="s">
        <v>430</v>
      </c>
      <c r="F39" s="552"/>
      <c r="G39" s="439" t="s">
        <v>43</v>
      </c>
      <c r="H39" s="440"/>
      <c r="I39" s="439">
        <v>0</v>
      </c>
      <c r="J39" s="440"/>
      <c r="K39" s="125">
        <v>0</v>
      </c>
      <c r="L39" s="126">
        <v>0</v>
      </c>
      <c r="M39" s="126">
        <v>0</v>
      </c>
    </row>
    <row r="40" spans="1:13" x14ac:dyDescent="0.3">
      <c r="A40" s="549" t="s">
        <v>17</v>
      </c>
      <c r="B40" s="550"/>
      <c r="C40" s="439" t="s">
        <v>429</v>
      </c>
      <c r="D40" s="440"/>
      <c r="E40" s="551" t="s">
        <v>428</v>
      </c>
      <c r="F40" s="552"/>
      <c r="G40" s="439" t="s">
        <v>44</v>
      </c>
      <c r="H40" s="440"/>
      <c r="I40" s="439" t="s">
        <v>38</v>
      </c>
      <c r="J40" s="440"/>
      <c r="K40" s="125" t="s">
        <v>45</v>
      </c>
      <c r="L40" s="126" t="s">
        <v>42</v>
      </c>
      <c r="M40" s="126" t="s">
        <v>204</v>
      </c>
    </row>
    <row r="41" spans="1:13" x14ac:dyDescent="0.3">
      <c r="A41" s="549" t="s">
        <v>18</v>
      </c>
      <c r="B41" s="550"/>
      <c r="C41" s="439">
        <v>0</v>
      </c>
      <c r="D41" s="440"/>
      <c r="E41" s="551" t="s">
        <v>408</v>
      </c>
      <c r="F41" s="552"/>
      <c r="G41" s="439" t="s">
        <v>139</v>
      </c>
      <c r="H41" s="440"/>
      <c r="I41" s="439">
        <v>0</v>
      </c>
      <c r="J41" s="440"/>
      <c r="K41" s="125">
        <v>0</v>
      </c>
      <c r="L41" s="126">
        <v>0</v>
      </c>
      <c r="M41" s="126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340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426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39">
        <v>0</v>
      </c>
      <c r="D44" s="440"/>
      <c r="E44" s="439" t="s">
        <v>433</v>
      </c>
      <c r="F44" s="440"/>
      <c r="G44" s="439" t="s">
        <v>318</v>
      </c>
      <c r="H44" s="440"/>
      <c r="I44" s="439">
        <v>0</v>
      </c>
      <c r="J44" s="440"/>
      <c r="K44" s="125">
        <v>0</v>
      </c>
      <c r="L44" s="126">
        <v>0</v>
      </c>
      <c r="M44" s="126">
        <v>0</v>
      </c>
    </row>
    <row r="45" spans="1:13" x14ac:dyDescent="0.3">
      <c r="A45" s="549" t="s">
        <v>21</v>
      </c>
      <c r="B45" s="550"/>
      <c r="C45" s="439" t="s">
        <v>99</v>
      </c>
      <c r="D45" s="440"/>
      <c r="E45" s="572" t="s">
        <v>242</v>
      </c>
      <c r="F45" s="572"/>
      <c r="G45" s="572">
        <v>0</v>
      </c>
      <c r="H45" s="572"/>
      <c r="I45" s="572">
        <v>0</v>
      </c>
      <c r="J45" s="572"/>
      <c r="K45" s="125">
        <v>0</v>
      </c>
      <c r="L45" s="126" t="s">
        <v>280</v>
      </c>
      <c r="M45" s="126" t="s">
        <v>40</v>
      </c>
    </row>
    <row r="46" spans="1:13" x14ac:dyDescent="0.3">
      <c r="A46" s="549" t="s">
        <v>22</v>
      </c>
      <c r="B46" s="550"/>
      <c r="C46" s="439">
        <v>0</v>
      </c>
      <c r="D46" s="440"/>
      <c r="E46" s="551" t="s">
        <v>113</v>
      </c>
      <c r="F46" s="552"/>
      <c r="G46" s="439">
        <v>0</v>
      </c>
      <c r="H46" s="440"/>
      <c r="I46" s="439" t="s">
        <v>99</v>
      </c>
      <c r="J46" s="440"/>
      <c r="K46" s="125" t="s">
        <v>100</v>
      </c>
      <c r="L46" s="126">
        <v>0</v>
      </c>
      <c r="M46" s="126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403</v>
      </c>
      <c r="D51" s="320"/>
      <c r="E51" s="319" t="s">
        <v>407</v>
      </c>
      <c r="F51" s="320"/>
      <c r="G51" s="319" t="s">
        <v>418</v>
      </c>
      <c r="H51" s="320"/>
      <c r="I51" s="319" t="s">
        <v>427</v>
      </c>
      <c r="J51" s="320"/>
    </row>
    <row r="52" spans="1:10" x14ac:dyDescent="0.3">
      <c r="A52" s="331" t="s">
        <v>59</v>
      </c>
      <c r="B52" s="383"/>
      <c r="C52" s="487">
        <v>8477</v>
      </c>
      <c r="D52" s="487"/>
      <c r="E52" s="487">
        <v>8420</v>
      </c>
      <c r="F52" s="487"/>
      <c r="G52" s="743">
        <v>8380</v>
      </c>
      <c r="H52" s="743"/>
      <c r="I52" s="743">
        <v>8346</v>
      </c>
      <c r="J52" s="743"/>
    </row>
    <row r="53" spans="1:10" ht="15" customHeight="1" x14ac:dyDescent="0.3">
      <c r="A53" s="331" t="s">
        <v>60</v>
      </c>
      <c r="B53" s="383"/>
      <c r="C53" s="311">
        <v>13517</v>
      </c>
      <c r="D53" s="312"/>
      <c r="E53" s="311">
        <v>13539</v>
      </c>
      <c r="F53" s="312"/>
      <c r="G53" s="744">
        <v>13519</v>
      </c>
      <c r="H53" s="745"/>
      <c r="I53" s="744">
        <v>13502</v>
      </c>
      <c r="J53" s="745"/>
    </row>
    <row r="54" spans="1:10" x14ac:dyDescent="0.3">
      <c r="A54" s="331" t="s">
        <v>61</v>
      </c>
      <c r="B54" s="383"/>
      <c r="C54" s="487">
        <v>108362</v>
      </c>
      <c r="D54" s="487"/>
      <c r="E54" s="487">
        <v>108275</v>
      </c>
      <c r="F54" s="487"/>
      <c r="G54" s="743">
        <v>108199</v>
      </c>
      <c r="H54" s="743"/>
      <c r="I54" s="743">
        <v>108094</v>
      </c>
      <c r="J54" s="743"/>
    </row>
    <row r="55" spans="1:10" x14ac:dyDescent="0.3">
      <c r="A55" s="331" t="s">
        <v>62</v>
      </c>
      <c r="B55" s="383"/>
      <c r="C55" s="487">
        <v>208</v>
      </c>
      <c r="D55" s="487"/>
      <c r="E55" s="487">
        <v>208</v>
      </c>
      <c r="F55" s="487"/>
      <c r="G55" s="743">
        <v>208</v>
      </c>
      <c r="H55" s="743"/>
      <c r="I55" s="743">
        <v>208</v>
      </c>
      <c r="J55" s="743"/>
    </row>
    <row r="56" spans="1:10" x14ac:dyDescent="0.3">
      <c r="A56" s="331" t="s">
        <v>63</v>
      </c>
      <c r="B56" s="383"/>
      <c r="C56" s="486">
        <v>48587</v>
      </c>
      <c r="D56" s="486"/>
      <c r="E56" s="486">
        <v>48552</v>
      </c>
      <c r="F56" s="486"/>
      <c r="G56" s="746">
        <v>48509</v>
      </c>
      <c r="H56" s="746"/>
      <c r="I56" s="746">
        <v>48499</v>
      </c>
      <c r="J56" s="746"/>
    </row>
    <row r="57" spans="1:10" x14ac:dyDescent="0.3">
      <c r="A57" s="331" t="s">
        <v>64</v>
      </c>
      <c r="B57" s="383"/>
      <c r="C57" s="303">
        <v>5930</v>
      </c>
      <c r="D57" s="283"/>
      <c r="E57" s="303">
        <v>5928</v>
      </c>
      <c r="F57" s="283"/>
      <c r="G57" s="747">
        <v>5918</v>
      </c>
      <c r="H57" s="748"/>
      <c r="I57" s="747">
        <v>5901</v>
      </c>
      <c r="J57" s="748"/>
    </row>
    <row r="58" spans="1:10" x14ac:dyDescent="0.3">
      <c r="A58" s="331" t="s">
        <v>65</v>
      </c>
      <c r="B58" s="383"/>
      <c r="C58" s="486">
        <v>26311</v>
      </c>
      <c r="D58" s="486"/>
      <c r="E58" s="486">
        <v>26309</v>
      </c>
      <c r="F58" s="486"/>
      <c r="G58" s="746">
        <v>26274</v>
      </c>
      <c r="H58" s="746"/>
      <c r="I58" s="746">
        <v>26220</v>
      </c>
      <c r="J58" s="746"/>
    </row>
    <row r="59" spans="1:10" x14ac:dyDescent="0.3">
      <c r="A59" s="331" t="s">
        <v>66</v>
      </c>
      <c r="B59" s="383"/>
      <c r="C59" s="486">
        <v>4509</v>
      </c>
      <c r="D59" s="486"/>
      <c r="E59" s="486">
        <v>4507</v>
      </c>
      <c r="F59" s="486"/>
      <c r="G59" s="746">
        <v>4505</v>
      </c>
      <c r="H59" s="746"/>
      <c r="I59" s="746">
        <v>4505</v>
      </c>
      <c r="J59" s="746"/>
    </row>
    <row r="60" spans="1:10" x14ac:dyDescent="0.3">
      <c r="A60" s="165"/>
      <c r="B60" s="166" t="s">
        <v>251</v>
      </c>
      <c r="C60" s="486">
        <v>2746</v>
      </c>
      <c r="D60" s="486"/>
      <c r="E60" s="486">
        <v>3296</v>
      </c>
      <c r="F60" s="486"/>
      <c r="G60" s="746">
        <v>3556</v>
      </c>
      <c r="H60" s="746"/>
      <c r="I60" s="746">
        <v>3769</v>
      </c>
      <c r="J60" s="746"/>
    </row>
    <row r="61" spans="1:10" x14ac:dyDescent="0.3">
      <c r="A61" s="331" t="s">
        <v>67</v>
      </c>
      <c r="B61" s="332"/>
      <c r="C61" s="307">
        <f>SUM(C52:C60)</f>
        <v>218647</v>
      </c>
      <c r="D61" s="307"/>
      <c r="E61" s="307">
        <v>219034</v>
      </c>
      <c r="F61" s="307"/>
      <c r="G61" s="749">
        <v>219068</v>
      </c>
      <c r="H61" s="749"/>
      <c r="I61" s="749">
        <v>219068</v>
      </c>
      <c r="J61" s="749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229"/>
      <c r="J62" s="229"/>
    </row>
    <row r="63" spans="1:10" ht="15" customHeight="1" x14ac:dyDescent="0.3">
      <c r="A63" s="285" t="s">
        <v>68</v>
      </c>
      <c r="B63" s="286"/>
      <c r="C63" s="319" t="s">
        <v>403</v>
      </c>
      <c r="D63" s="320"/>
      <c r="E63" s="319" t="s">
        <v>407</v>
      </c>
      <c r="F63" s="320"/>
      <c r="G63" s="750" t="s">
        <v>418</v>
      </c>
      <c r="H63" s="751"/>
      <c r="I63" s="750" t="s">
        <v>427</v>
      </c>
      <c r="J63" s="751"/>
    </row>
    <row r="64" spans="1:10" x14ac:dyDescent="0.3">
      <c r="A64" s="287"/>
      <c r="B64" s="288"/>
      <c r="C64" s="297">
        <v>144391</v>
      </c>
      <c r="D64" s="298"/>
      <c r="E64" s="297">
        <v>144589</v>
      </c>
      <c r="F64" s="298"/>
      <c r="G64" s="752">
        <v>144620</v>
      </c>
      <c r="H64" s="753"/>
      <c r="I64" s="752">
        <v>144737</v>
      </c>
      <c r="J64" s="753"/>
    </row>
    <row r="65" spans="1:10" x14ac:dyDescent="0.3">
      <c r="A65" s="289"/>
      <c r="B65" s="290"/>
      <c r="C65" s="299"/>
      <c r="D65" s="300"/>
      <c r="E65" s="299"/>
      <c r="F65" s="300"/>
      <c r="G65" s="754"/>
      <c r="H65" s="755"/>
      <c r="I65" s="754"/>
      <c r="J65" s="755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82" t="s">
        <v>250</v>
      </c>
      <c r="D69" s="83"/>
      <c r="E69" s="282" t="s">
        <v>333</v>
      </c>
      <c r="F69" s="283"/>
      <c r="G69" s="282" t="s">
        <v>352</v>
      </c>
      <c r="H69" s="284"/>
      <c r="I69" s="282" t="s">
        <v>409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36368</v>
      </c>
      <c r="D72" s="215"/>
      <c r="E72" s="214">
        <v>36751</v>
      </c>
      <c r="F72" s="215"/>
      <c r="G72" s="265">
        <v>37120</v>
      </c>
      <c r="H72" s="266"/>
      <c r="I72" s="265">
        <v>37446</v>
      </c>
      <c r="J72" s="266"/>
    </row>
    <row r="73" spans="1:10" x14ac:dyDescent="0.3">
      <c r="A73" s="269" t="s">
        <v>16</v>
      </c>
      <c r="B73" s="270"/>
      <c r="C73" s="214">
        <v>8201</v>
      </c>
      <c r="D73" s="215"/>
      <c r="E73" s="214">
        <v>8267</v>
      </c>
      <c r="F73" s="215"/>
      <c r="G73" s="265">
        <v>8384</v>
      </c>
      <c r="H73" s="266"/>
      <c r="I73" s="265">
        <v>8441</v>
      </c>
      <c r="J73" s="266"/>
    </row>
    <row r="74" spans="1:10" x14ac:dyDescent="0.3">
      <c r="A74" s="267" t="s">
        <v>17</v>
      </c>
      <c r="B74" s="268"/>
      <c r="C74" s="214">
        <v>7219</v>
      </c>
      <c r="D74" s="215"/>
      <c r="E74" s="214">
        <v>7311</v>
      </c>
      <c r="F74" s="215"/>
      <c r="G74" s="265">
        <v>7423</v>
      </c>
      <c r="H74" s="266"/>
      <c r="I74" s="265">
        <v>7498</v>
      </c>
      <c r="J74" s="266"/>
    </row>
    <row r="75" spans="1:10" x14ac:dyDescent="0.3">
      <c r="A75" s="267" t="s">
        <v>75</v>
      </c>
      <c r="B75" s="268"/>
      <c r="C75" s="214">
        <v>2508</v>
      </c>
      <c r="D75" s="215"/>
      <c r="E75" s="214">
        <v>2547</v>
      </c>
      <c r="F75" s="215"/>
      <c r="G75" s="265">
        <v>2597</v>
      </c>
      <c r="H75" s="266"/>
      <c r="I75" s="265">
        <v>2631</v>
      </c>
      <c r="J75" s="266"/>
    </row>
    <row r="76" spans="1:10" x14ac:dyDescent="0.3">
      <c r="A76" s="269" t="s">
        <v>18</v>
      </c>
      <c r="B76" s="270"/>
      <c r="C76" s="214">
        <v>6196</v>
      </c>
      <c r="D76" s="215"/>
      <c r="E76" s="214">
        <v>6380</v>
      </c>
      <c r="F76" s="215"/>
      <c r="G76" s="265">
        <v>6522</v>
      </c>
      <c r="H76" s="266"/>
      <c r="I76" s="265">
        <v>6618</v>
      </c>
      <c r="J76" s="266"/>
    </row>
    <row r="77" spans="1:10" x14ac:dyDescent="0.3">
      <c r="A77" s="267" t="s">
        <v>19</v>
      </c>
      <c r="B77" s="268"/>
      <c r="C77" s="214">
        <v>5419</v>
      </c>
      <c r="D77" s="215"/>
      <c r="E77" s="214">
        <v>5434</v>
      </c>
      <c r="F77" s="215"/>
      <c r="G77" s="265">
        <v>5465</v>
      </c>
      <c r="H77" s="266"/>
      <c r="I77" s="265">
        <v>5474</v>
      </c>
      <c r="J77" s="266"/>
    </row>
    <row r="78" spans="1:10" x14ac:dyDescent="0.3">
      <c r="A78" s="269" t="s">
        <v>20</v>
      </c>
      <c r="B78" s="270"/>
      <c r="C78" s="214">
        <v>9569</v>
      </c>
      <c r="D78" s="215"/>
      <c r="E78" s="214">
        <v>9704</v>
      </c>
      <c r="F78" s="215"/>
      <c r="G78" s="265">
        <v>9856</v>
      </c>
      <c r="H78" s="266"/>
      <c r="I78" s="265">
        <v>10014</v>
      </c>
      <c r="J78" s="266"/>
    </row>
    <row r="79" spans="1:10" x14ac:dyDescent="0.3">
      <c r="A79" s="267" t="s">
        <v>21</v>
      </c>
      <c r="B79" s="268"/>
      <c r="C79" s="214">
        <v>1853</v>
      </c>
      <c r="D79" s="215"/>
      <c r="E79" s="214">
        <v>1858</v>
      </c>
      <c r="F79" s="215"/>
      <c r="G79" s="265">
        <v>1876</v>
      </c>
      <c r="H79" s="266"/>
      <c r="I79" s="265">
        <v>1879</v>
      </c>
      <c r="J79" s="266"/>
    </row>
    <row r="80" spans="1:10" x14ac:dyDescent="0.3">
      <c r="A80" s="269" t="s">
        <v>22</v>
      </c>
      <c r="B80" s="270"/>
      <c r="C80" s="214">
        <v>7327</v>
      </c>
      <c r="D80" s="215"/>
      <c r="E80" s="214">
        <v>7442</v>
      </c>
      <c r="F80" s="215"/>
      <c r="G80" s="265">
        <v>7584</v>
      </c>
      <c r="H80" s="266"/>
      <c r="I80" s="265">
        <v>7657</v>
      </c>
      <c r="J80" s="266"/>
    </row>
    <row r="81" spans="1:10" x14ac:dyDescent="0.3">
      <c r="A81" s="263" t="s">
        <v>76</v>
      </c>
      <c r="B81" s="264"/>
      <c r="C81" s="214">
        <v>84660</v>
      </c>
      <c r="D81" s="215"/>
      <c r="E81" s="214">
        <f>SUM(E72:E80)</f>
        <v>85694</v>
      </c>
      <c r="F81" s="215"/>
      <c r="G81" s="265">
        <f>SUM(G72:G80)</f>
        <v>86827</v>
      </c>
      <c r="H81" s="266"/>
      <c r="I81" s="265">
        <v>87658</v>
      </c>
      <c r="J81" s="266"/>
    </row>
  </sheetData>
  <mergeCells count="310"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2:B72"/>
    <mergeCell ref="G72:H72"/>
    <mergeCell ref="I72:J72"/>
    <mergeCell ref="A73:B73"/>
    <mergeCell ref="G73:H73"/>
    <mergeCell ref="I73:J73"/>
    <mergeCell ref="A68:J68"/>
    <mergeCell ref="A69:B69"/>
    <mergeCell ref="E69:F69"/>
    <mergeCell ref="G69:H69"/>
    <mergeCell ref="I69:J69"/>
    <mergeCell ref="A70:B71"/>
    <mergeCell ref="G70:H71"/>
    <mergeCell ref="I70:J71"/>
    <mergeCell ref="A76:B76"/>
    <mergeCell ref="G76:H76"/>
    <mergeCell ref="I76:J76"/>
    <mergeCell ref="A77:B77"/>
    <mergeCell ref="G77:H77"/>
    <mergeCell ref="I77:J77"/>
    <mergeCell ref="A74:B74"/>
    <mergeCell ref="G74:H74"/>
    <mergeCell ref="I74:J74"/>
    <mergeCell ref="A75:B75"/>
    <mergeCell ref="G75:H75"/>
    <mergeCell ref="I75:J75"/>
    <mergeCell ref="A80:B80"/>
    <mergeCell ref="G80:H80"/>
    <mergeCell ref="I80:J80"/>
    <mergeCell ref="A81:B81"/>
    <mergeCell ref="G81:H81"/>
    <mergeCell ref="I81:J81"/>
    <mergeCell ref="A78:B78"/>
    <mergeCell ref="G78:H78"/>
    <mergeCell ref="I78:J78"/>
    <mergeCell ref="A79:B79"/>
    <mergeCell ref="G79:H79"/>
    <mergeCell ref="I79:J7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2C11-0AE2-4E6F-9B7E-2F57D9E7E993}">
  <dimension ref="A1:AA81"/>
  <sheetViews>
    <sheetView workbookViewId="0">
      <selection activeCell="R21" sqref="R21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88671875" customWidth="1"/>
    <col min="20" max="20" width="14.44140625" customWidth="1"/>
  </cols>
  <sheetData>
    <row r="1" spans="1:27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  <c r="S1" t="s">
        <v>480</v>
      </c>
    </row>
    <row r="2" spans="1:27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  <c r="S2" s="62"/>
    </row>
    <row r="3" spans="1:27" x14ac:dyDescent="0.3">
      <c r="A3" s="331" t="s">
        <v>11</v>
      </c>
      <c r="B3" s="383"/>
      <c r="C3" s="384" t="s">
        <v>434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2"/>
      <c r="U3" s="64"/>
    </row>
    <row r="4" spans="1:27" x14ac:dyDescent="0.3">
      <c r="A4" s="381" t="s">
        <v>13</v>
      </c>
      <c r="B4" s="381"/>
      <c r="C4" s="386">
        <v>7970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5589</v>
      </c>
      <c r="N4" s="6">
        <v>2390</v>
      </c>
      <c r="O4" s="6">
        <v>20</v>
      </c>
      <c r="P4" s="7">
        <v>9782</v>
      </c>
      <c r="Q4" s="7">
        <v>8616</v>
      </c>
      <c r="R4" s="7">
        <v>5739</v>
      </c>
      <c r="S4" s="64" t="s">
        <v>481</v>
      </c>
      <c r="T4" s="64"/>
      <c r="U4" s="64"/>
    </row>
    <row r="5" spans="1:27" ht="15.75" customHeight="1" x14ac:dyDescent="0.3">
      <c r="A5" s="740" t="s">
        <v>14</v>
      </c>
      <c r="B5" s="740"/>
      <c r="C5" s="741">
        <v>220</v>
      </c>
      <c r="D5" s="741"/>
      <c r="E5" s="741">
        <v>0</v>
      </c>
      <c r="F5" s="741"/>
      <c r="G5" s="741">
        <v>0</v>
      </c>
      <c r="H5" s="741"/>
      <c r="I5" s="741">
        <v>0</v>
      </c>
      <c r="J5" s="741"/>
      <c r="K5" s="741">
        <v>0</v>
      </c>
      <c r="L5" s="741"/>
      <c r="M5" s="88">
        <v>0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64" t="s">
        <v>481</v>
      </c>
      <c r="T5" s="64"/>
      <c r="U5" s="64"/>
    </row>
    <row r="6" spans="1:27" x14ac:dyDescent="0.3">
      <c r="A6" s="571" t="s">
        <v>15</v>
      </c>
      <c r="B6" s="571"/>
      <c r="C6" s="572">
        <v>351</v>
      </c>
      <c r="D6" s="572"/>
      <c r="E6" s="572">
        <v>402</v>
      </c>
      <c r="F6" s="572"/>
      <c r="G6" s="572">
        <v>27</v>
      </c>
      <c r="H6" s="572"/>
      <c r="I6" s="572">
        <v>22</v>
      </c>
      <c r="J6" s="572"/>
      <c r="K6" s="572">
        <v>0</v>
      </c>
      <c r="L6" s="572"/>
      <c r="M6" s="84">
        <v>203</v>
      </c>
      <c r="N6" s="125">
        <v>364</v>
      </c>
      <c r="O6" s="125">
        <v>251</v>
      </c>
      <c r="P6" s="125">
        <v>27</v>
      </c>
      <c r="Q6" s="125">
        <v>0</v>
      </c>
      <c r="R6" s="125">
        <v>0</v>
      </c>
      <c r="S6" s="64" t="s">
        <v>481</v>
      </c>
      <c r="T6" s="64"/>
      <c r="U6" s="64"/>
    </row>
    <row r="7" spans="1:27" x14ac:dyDescent="0.3">
      <c r="A7" s="571" t="s">
        <v>16</v>
      </c>
      <c r="B7" s="571"/>
      <c r="C7" s="572">
        <v>463</v>
      </c>
      <c r="D7" s="572"/>
      <c r="E7" s="572">
        <v>0</v>
      </c>
      <c r="F7" s="572"/>
      <c r="G7" s="572">
        <v>0</v>
      </c>
      <c r="H7" s="572"/>
      <c r="I7" s="572">
        <v>0</v>
      </c>
      <c r="J7" s="572"/>
      <c r="K7" s="572">
        <v>0</v>
      </c>
      <c r="L7" s="572"/>
      <c r="M7" s="84">
        <v>199</v>
      </c>
      <c r="N7" s="125">
        <v>161</v>
      </c>
      <c r="O7" s="125">
        <v>25</v>
      </c>
      <c r="P7" s="125">
        <v>0</v>
      </c>
      <c r="Q7" s="125">
        <v>0</v>
      </c>
      <c r="R7" s="125">
        <v>2</v>
      </c>
      <c r="S7" s="64" t="s">
        <v>481</v>
      </c>
      <c r="T7" s="64"/>
      <c r="U7" s="64"/>
    </row>
    <row r="8" spans="1:27" x14ac:dyDescent="0.3">
      <c r="A8" s="571" t="s">
        <v>17</v>
      </c>
      <c r="B8" s="571"/>
      <c r="C8" s="572">
        <v>59</v>
      </c>
      <c r="D8" s="572"/>
      <c r="E8" s="572">
        <v>287</v>
      </c>
      <c r="F8" s="572"/>
      <c r="G8" s="572">
        <v>0</v>
      </c>
      <c r="H8" s="572"/>
      <c r="I8" s="572">
        <v>0</v>
      </c>
      <c r="J8" s="572"/>
      <c r="K8" s="572">
        <v>0</v>
      </c>
      <c r="L8" s="572"/>
      <c r="M8" s="84">
        <v>242</v>
      </c>
      <c r="N8" s="125">
        <v>214</v>
      </c>
      <c r="O8" s="125">
        <v>0</v>
      </c>
      <c r="P8" s="125">
        <v>2</v>
      </c>
      <c r="Q8" s="125">
        <v>12</v>
      </c>
      <c r="R8" s="125">
        <v>1</v>
      </c>
      <c r="S8" s="64" t="s">
        <v>481</v>
      </c>
      <c r="T8" s="64"/>
      <c r="U8" s="64"/>
    </row>
    <row r="9" spans="1:27" x14ac:dyDescent="0.3">
      <c r="A9" s="571" t="s">
        <v>18</v>
      </c>
      <c r="B9" s="571"/>
      <c r="C9" s="572">
        <v>175</v>
      </c>
      <c r="D9" s="572"/>
      <c r="E9" s="572">
        <v>0</v>
      </c>
      <c r="F9" s="572"/>
      <c r="G9" s="572">
        <v>0</v>
      </c>
      <c r="H9" s="572"/>
      <c r="I9" s="572">
        <v>0</v>
      </c>
      <c r="J9" s="572"/>
      <c r="K9" s="572">
        <v>0</v>
      </c>
      <c r="L9" s="572"/>
      <c r="M9" s="84">
        <v>150</v>
      </c>
      <c r="N9" s="125">
        <v>110</v>
      </c>
      <c r="O9" s="125">
        <v>102</v>
      </c>
      <c r="P9" s="125">
        <v>0</v>
      </c>
      <c r="Q9" s="125">
        <v>0</v>
      </c>
      <c r="R9" s="125">
        <v>0</v>
      </c>
      <c r="S9" s="64" t="s">
        <v>481</v>
      </c>
      <c r="T9" s="64"/>
      <c r="U9" s="64"/>
    </row>
    <row r="10" spans="1:27" ht="15" thickBot="1" x14ac:dyDescent="0.35">
      <c r="A10" s="378" t="s">
        <v>262</v>
      </c>
      <c r="B10" s="379"/>
      <c r="C10" s="377">
        <v>105</v>
      </c>
      <c r="D10" s="380"/>
      <c r="E10" s="377">
        <v>100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137</v>
      </c>
      <c r="N10" s="172">
        <v>98</v>
      </c>
      <c r="O10" s="172">
        <v>51</v>
      </c>
      <c r="P10" s="9">
        <v>0</v>
      </c>
      <c r="Q10" s="9">
        <v>0</v>
      </c>
      <c r="R10" s="9">
        <v>0</v>
      </c>
      <c r="S10" s="64" t="s">
        <v>481</v>
      </c>
      <c r="T10" s="64"/>
      <c r="U10" s="64"/>
      <c r="V10" s="64"/>
      <c r="Z10" s="40"/>
      <c r="AA10" s="40"/>
    </row>
    <row r="11" spans="1:27" ht="15" thickBot="1" x14ac:dyDescent="0.35">
      <c r="A11" s="376" t="s">
        <v>19</v>
      </c>
      <c r="B11" s="376"/>
      <c r="C11" s="377">
        <v>298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9</v>
      </c>
      <c r="N11" s="9">
        <v>51</v>
      </c>
      <c r="O11" s="9">
        <v>130</v>
      </c>
      <c r="P11" s="9">
        <v>82</v>
      </c>
      <c r="Q11" s="9">
        <v>14</v>
      </c>
      <c r="R11" s="9">
        <v>0</v>
      </c>
      <c r="S11" s="64" t="s">
        <v>481</v>
      </c>
      <c r="U11" s="64"/>
      <c r="V11" s="64"/>
      <c r="Z11" s="40"/>
      <c r="AA11" s="40"/>
    </row>
    <row r="12" spans="1:27" x14ac:dyDescent="0.3">
      <c r="A12" s="571" t="s">
        <v>20</v>
      </c>
      <c r="B12" s="571"/>
      <c r="C12" s="572">
        <v>195</v>
      </c>
      <c r="D12" s="572"/>
      <c r="E12" s="572">
        <v>0</v>
      </c>
      <c r="F12" s="572"/>
      <c r="G12" s="572">
        <v>0</v>
      </c>
      <c r="H12" s="572"/>
      <c r="I12" s="572">
        <v>0</v>
      </c>
      <c r="J12" s="572"/>
      <c r="K12" s="572">
        <v>0</v>
      </c>
      <c r="L12" s="572"/>
      <c r="M12" s="84">
        <v>270</v>
      </c>
      <c r="N12" s="125">
        <v>372</v>
      </c>
      <c r="O12" s="125">
        <v>10</v>
      </c>
      <c r="P12" s="125">
        <v>0</v>
      </c>
      <c r="Q12" s="125">
        <v>16</v>
      </c>
      <c r="R12" s="125">
        <v>5</v>
      </c>
      <c r="S12" s="64" t="s">
        <v>481</v>
      </c>
    </row>
    <row r="13" spans="1:27" x14ac:dyDescent="0.3">
      <c r="A13" s="571" t="s">
        <v>21</v>
      </c>
      <c r="B13" s="571"/>
      <c r="C13" s="572">
        <v>228</v>
      </c>
      <c r="D13" s="572"/>
      <c r="E13" s="572">
        <v>5</v>
      </c>
      <c r="F13" s="572"/>
      <c r="G13" s="572">
        <v>1</v>
      </c>
      <c r="H13" s="572"/>
      <c r="I13" s="572">
        <v>7</v>
      </c>
      <c r="J13" s="572"/>
      <c r="K13" s="572">
        <v>1</v>
      </c>
      <c r="L13" s="572"/>
      <c r="M13" s="84">
        <v>101</v>
      </c>
      <c r="N13" s="125">
        <v>88</v>
      </c>
      <c r="O13" s="125">
        <v>44</v>
      </c>
      <c r="P13" s="125">
        <v>0</v>
      </c>
      <c r="Q13" s="125">
        <v>0</v>
      </c>
      <c r="R13" s="125">
        <v>0</v>
      </c>
      <c r="S13" s="64" t="s">
        <v>481</v>
      </c>
    </row>
    <row r="14" spans="1:27" x14ac:dyDescent="0.3">
      <c r="A14" s="376" t="s">
        <v>22</v>
      </c>
      <c r="B14" s="376"/>
      <c r="C14" s="377">
        <v>153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185</v>
      </c>
      <c r="N14" s="9">
        <v>290</v>
      </c>
      <c r="O14" s="9">
        <v>14</v>
      </c>
      <c r="P14" s="9">
        <v>0</v>
      </c>
      <c r="Q14" s="9">
        <v>0</v>
      </c>
      <c r="R14" s="9">
        <v>0</v>
      </c>
      <c r="S14" s="64" t="s">
        <v>481</v>
      </c>
      <c r="W14" s="64"/>
      <c r="X14" s="64"/>
    </row>
    <row r="15" spans="1:27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4371</v>
      </c>
      <c r="Q15" s="73">
        <v>2554</v>
      </c>
      <c r="R15" s="94">
        <v>3564</v>
      </c>
      <c r="S15" s="64" t="s">
        <v>481</v>
      </c>
    </row>
    <row r="16" spans="1:27" ht="15" thickBot="1" x14ac:dyDescent="0.35">
      <c r="A16" s="370" t="s">
        <v>24</v>
      </c>
      <c r="B16" s="371"/>
      <c r="C16" s="372">
        <f>SUM(C4:D15)</f>
        <v>10217</v>
      </c>
      <c r="D16" s="373"/>
      <c r="E16" s="373">
        <f>SUM(E4:F15)</f>
        <v>952</v>
      </c>
      <c r="F16" s="373"/>
      <c r="G16" s="373">
        <f>SUM(G4:H15)</f>
        <v>28</v>
      </c>
      <c r="H16" s="373"/>
      <c r="I16" s="373">
        <f>SUM(I4:J15)</f>
        <v>29</v>
      </c>
      <c r="J16" s="373"/>
      <c r="K16" s="373">
        <f>SUM(K4:L15)</f>
        <v>1</v>
      </c>
      <c r="L16" s="373"/>
      <c r="M16" s="139">
        <f t="shared" ref="M16:R16" si="0">SUM(M4:M15)</f>
        <v>7085</v>
      </c>
      <c r="N16" s="13">
        <f t="shared" si="0"/>
        <v>4138</v>
      </c>
      <c r="O16" s="13">
        <f t="shared" si="0"/>
        <v>647</v>
      </c>
      <c r="P16" s="16">
        <f t="shared" si="0"/>
        <v>14264</v>
      </c>
      <c r="Q16" s="142">
        <f t="shared" si="0"/>
        <v>11212</v>
      </c>
      <c r="R16" s="143">
        <f t="shared" si="0"/>
        <v>9311</v>
      </c>
      <c r="S16" s="64" t="s">
        <v>481</v>
      </c>
    </row>
    <row r="17" spans="1:21" x14ac:dyDescent="0.3">
      <c r="A17" s="368" t="s">
        <v>25</v>
      </c>
      <c r="B17" s="368"/>
      <c r="C17" s="369">
        <v>7970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5519</v>
      </c>
      <c r="N17" s="131">
        <v>2390</v>
      </c>
      <c r="O17" s="91">
        <v>20</v>
      </c>
      <c r="P17" s="7">
        <v>9782</v>
      </c>
      <c r="Q17" s="7">
        <v>8616</v>
      </c>
      <c r="R17" s="7">
        <v>5739</v>
      </c>
      <c r="S17" s="602" t="s">
        <v>481</v>
      </c>
      <c r="T17" s="602"/>
      <c r="U17" s="602"/>
    </row>
    <row r="18" spans="1:21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S18" s="64"/>
      <c r="T18" s="64"/>
      <c r="U18" s="141"/>
    </row>
    <row r="19" spans="1:21" ht="15" thickBot="1" x14ac:dyDescent="0.35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S19" s="64"/>
      <c r="T19" s="64"/>
      <c r="U19" s="231"/>
    </row>
    <row r="20" spans="1:21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64"/>
      <c r="T20" s="64"/>
      <c r="U20" s="231"/>
    </row>
    <row r="21" spans="1:21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  <c r="S21" s="64"/>
      <c r="T21" s="64"/>
      <c r="U21" s="141"/>
    </row>
    <row r="22" spans="1:21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S22" s="64"/>
      <c r="T22" s="64"/>
      <c r="U22" s="141"/>
    </row>
    <row r="23" spans="1:21" x14ac:dyDescent="0.3">
      <c r="A23" s="331" t="s">
        <v>11</v>
      </c>
      <c r="B23" s="332"/>
      <c r="C23" s="333" t="s">
        <v>434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S23" s="64"/>
      <c r="T23" s="141"/>
    </row>
    <row r="24" spans="1:21" x14ac:dyDescent="0.3">
      <c r="A24" s="557" t="s">
        <v>15</v>
      </c>
      <c r="B24" s="558"/>
      <c r="C24" s="572">
        <v>674</v>
      </c>
      <c r="D24" s="572"/>
      <c r="E24" s="742" t="s">
        <v>435</v>
      </c>
      <c r="F24" s="742"/>
      <c r="G24" s="572">
        <v>0</v>
      </c>
      <c r="H24" s="572"/>
      <c r="I24" s="572">
        <v>1</v>
      </c>
      <c r="J24" s="572"/>
      <c r="K24" s="125">
        <v>0</v>
      </c>
      <c r="L24" s="126">
        <v>70</v>
      </c>
      <c r="M24" s="126">
        <v>32</v>
      </c>
      <c r="P24" s="64"/>
      <c r="Q24" s="64"/>
      <c r="R24" s="141"/>
    </row>
    <row r="25" spans="1:21" x14ac:dyDescent="0.3">
      <c r="A25" s="557" t="s">
        <v>16</v>
      </c>
      <c r="B25" s="558"/>
      <c r="C25" s="572">
        <v>80</v>
      </c>
      <c r="D25" s="572"/>
      <c r="E25" s="742" t="s">
        <v>438</v>
      </c>
      <c r="F25" s="742"/>
      <c r="G25" s="572">
        <v>0</v>
      </c>
      <c r="H25" s="572"/>
      <c r="I25" s="572">
        <v>56</v>
      </c>
      <c r="J25" s="572"/>
      <c r="K25" s="125">
        <v>0</v>
      </c>
      <c r="L25" s="126">
        <v>0</v>
      </c>
      <c r="M25" s="126">
        <v>0</v>
      </c>
      <c r="P25" s="64"/>
      <c r="Q25" s="64"/>
      <c r="R25" s="141"/>
    </row>
    <row r="26" spans="1:21" x14ac:dyDescent="0.3">
      <c r="A26" s="557" t="s">
        <v>17</v>
      </c>
      <c r="B26" s="558"/>
      <c r="C26" s="572">
        <v>173</v>
      </c>
      <c r="D26" s="572"/>
      <c r="E26" s="742" t="s">
        <v>268</v>
      </c>
      <c r="F26" s="742"/>
      <c r="G26" s="572">
        <v>9</v>
      </c>
      <c r="H26" s="572"/>
      <c r="I26" s="572">
        <v>40</v>
      </c>
      <c r="J26" s="572"/>
      <c r="K26" s="125">
        <v>0</v>
      </c>
      <c r="L26" s="126">
        <v>7</v>
      </c>
      <c r="M26" s="126">
        <v>2</v>
      </c>
    </row>
    <row r="27" spans="1:21" x14ac:dyDescent="0.3">
      <c r="A27" s="557" t="s">
        <v>18</v>
      </c>
      <c r="B27" s="558"/>
      <c r="C27" s="742" t="s">
        <v>431</v>
      </c>
      <c r="D27" s="742"/>
      <c r="E27" s="742" t="s">
        <v>253</v>
      </c>
      <c r="F27" s="742"/>
      <c r="G27" s="572">
        <v>0</v>
      </c>
      <c r="H27" s="572"/>
      <c r="I27" s="572">
        <v>15</v>
      </c>
      <c r="J27" s="572"/>
      <c r="K27" s="125">
        <v>4</v>
      </c>
      <c r="L27" s="126">
        <v>7</v>
      </c>
      <c r="M27" s="126">
        <v>0</v>
      </c>
      <c r="P27" s="64"/>
      <c r="Q27" s="64"/>
    </row>
    <row r="28" spans="1:21" x14ac:dyDescent="0.3">
      <c r="A28" s="378" t="s">
        <v>262</v>
      </c>
      <c r="B28" s="379"/>
      <c r="C28" s="609" t="s">
        <v>439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21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26</v>
      </c>
      <c r="J29" s="377"/>
      <c r="K29" s="9">
        <v>2</v>
      </c>
      <c r="L29" s="28">
        <v>6</v>
      </c>
      <c r="M29" s="28">
        <v>9</v>
      </c>
    </row>
    <row r="30" spans="1:21" x14ac:dyDescent="0.3">
      <c r="A30" s="557" t="s">
        <v>20</v>
      </c>
      <c r="B30" s="558"/>
      <c r="C30" s="572">
        <v>180</v>
      </c>
      <c r="D30" s="572"/>
      <c r="E30" s="742" t="s">
        <v>35</v>
      </c>
      <c r="F30" s="742"/>
      <c r="G30" s="572">
        <v>0</v>
      </c>
      <c r="H30" s="572"/>
      <c r="I30" s="572">
        <v>0</v>
      </c>
      <c r="J30" s="572"/>
      <c r="K30" s="125">
        <v>0</v>
      </c>
      <c r="L30" s="126">
        <v>0</v>
      </c>
      <c r="M30" s="126">
        <v>0</v>
      </c>
    </row>
    <row r="31" spans="1:21" x14ac:dyDescent="0.3">
      <c r="A31" s="557" t="s">
        <v>21</v>
      </c>
      <c r="B31" s="558"/>
      <c r="C31" s="742" t="s">
        <v>260</v>
      </c>
      <c r="D31" s="742"/>
      <c r="E31" s="742" t="s">
        <v>361</v>
      </c>
      <c r="F31" s="742"/>
      <c r="G31" s="572">
        <v>0</v>
      </c>
      <c r="H31" s="572"/>
      <c r="I31" s="572">
        <v>10</v>
      </c>
      <c r="J31" s="572"/>
      <c r="K31" s="125">
        <v>0</v>
      </c>
      <c r="L31" s="126">
        <v>10</v>
      </c>
      <c r="M31" s="126">
        <v>0</v>
      </c>
    </row>
    <row r="32" spans="1:21" x14ac:dyDescent="0.3">
      <c r="A32" s="557" t="s">
        <v>22</v>
      </c>
      <c r="B32" s="558"/>
      <c r="C32" s="572">
        <v>0</v>
      </c>
      <c r="D32" s="572"/>
      <c r="E32" s="742" t="s">
        <v>35</v>
      </c>
      <c r="F32" s="742"/>
      <c r="G32" s="572">
        <v>0</v>
      </c>
      <c r="H32" s="572"/>
      <c r="I32" s="572">
        <v>0</v>
      </c>
      <c r="J32" s="572"/>
      <c r="K32" s="125">
        <v>0</v>
      </c>
      <c r="L32" s="126">
        <v>0</v>
      </c>
      <c r="M32" s="126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434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9" t="s">
        <v>15</v>
      </c>
      <c r="B38" s="550"/>
      <c r="C38" s="439" t="s">
        <v>165</v>
      </c>
      <c r="D38" s="440"/>
      <c r="E38" s="551" t="s">
        <v>436</v>
      </c>
      <c r="F38" s="552"/>
      <c r="G38" s="439" t="s">
        <v>40</v>
      </c>
      <c r="H38" s="440"/>
      <c r="I38" s="439">
        <v>0</v>
      </c>
      <c r="J38" s="440"/>
      <c r="K38" s="123">
        <v>1</v>
      </c>
      <c r="L38" s="124" t="s">
        <v>356</v>
      </c>
      <c r="M38" s="124" t="s">
        <v>321</v>
      </c>
    </row>
    <row r="39" spans="1:13" x14ac:dyDescent="0.3">
      <c r="A39" s="549" t="s">
        <v>16</v>
      </c>
      <c r="B39" s="550"/>
      <c r="C39" s="439">
        <v>0</v>
      </c>
      <c r="D39" s="440"/>
      <c r="E39" s="551" t="s">
        <v>362</v>
      </c>
      <c r="F39" s="552"/>
      <c r="G39" s="439" t="s">
        <v>43</v>
      </c>
      <c r="H39" s="440"/>
      <c r="I39" s="439">
        <v>0</v>
      </c>
      <c r="J39" s="440"/>
      <c r="K39" s="125">
        <v>0</v>
      </c>
      <c r="L39" s="126">
        <v>0</v>
      </c>
      <c r="M39" s="126">
        <v>0</v>
      </c>
    </row>
    <row r="40" spans="1:13" x14ac:dyDescent="0.3">
      <c r="A40" s="549" t="s">
        <v>17</v>
      </c>
      <c r="B40" s="550"/>
      <c r="C40" s="439" t="s">
        <v>429</v>
      </c>
      <c r="D40" s="440"/>
      <c r="E40" s="551" t="s">
        <v>428</v>
      </c>
      <c r="F40" s="552"/>
      <c r="G40" s="439" t="s">
        <v>44</v>
      </c>
      <c r="H40" s="440"/>
      <c r="I40" s="439" t="s">
        <v>38</v>
      </c>
      <c r="J40" s="440"/>
      <c r="K40" s="125" t="s">
        <v>45</v>
      </c>
      <c r="L40" s="126" t="s">
        <v>42</v>
      </c>
      <c r="M40" s="126" t="s">
        <v>204</v>
      </c>
    </row>
    <row r="41" spans="1:13" x14ac:dyDescent="0.3">
      <c r="A41" s="549" t="s">
        <v>18</v>
      </c>
      <c r="B41" s="550"/>
      <c r="C41" s="439">
        <v>0</v>
      </c>
      <c r="D41" s="440"/>
      <c r="E41" s="551" t="s">
        <v>408</v>
      </c>
      <c r="F41" s="552"/>
      <c r="G41" s="439" t="s">
        <v>139</v>
      </c>
      <c r="H41" s="440"/>
      <c r="I41" s="439">
        <v>0</v>
      </c>
      <c r="J41" s="440"/>
      <c r="K41" s="125">
        <v>0</v>
      </c>
      <c r="L41" s="126">
        <v>0</v>
      </c>
      <c r="M41" s="126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426</v>
      </c>
      <c r="D43" s="410"/>
      <c r="E43" s="437" t="s">
        <v>343</v>
      </c>
      <c r="F43" s="438"/>
      <c r="G43" s="409">
        <v>0</v>
      </c>
      <c r="H43" s="410"/>
      <c r="I43" s="409" t="s">
        <v>293</v>
      </c>
      <c r="J43" s="410"/>
      <c r="K43" s="9" t="s">
        <v>96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39">
        <v>0</v>
      </c>
      <c r="D44" s="440"/>
      <c r="E44" s="439" t="s">
        <v>437</v>
      </c>
      <c r="F44" s="440"/>
      <c r="G44" s="439" t="s">
        <v>417</v>
      </c>
      <c r="H44" s="440"/>
      <c r="I44" s="439">
        <v>0</v>
      </c>
      <c r="J44" s="440"/>
      <c r="K44" s="125">
        <v>0</v>
      </c>
      <c r="L44" s="126">
        <v>0</v>
      </c>
      <c r="M44" s="126">
        <v>0</v>
      </c>
    </row>
    <row r="45" spans="1:13" x14ac:dyDescent="0.3">
      <c r="A45" s="549" t="s">
        <v>21</v>
      </c>
      <c r="B45" s="550"/>
      <c r="C45" s="439" t="s">
        <v>99</v>
      </c>
      <c r="D45" s="440"/>
      <c r="E45" s="572" t="s">
        <v>242</v>
      </c>
      <c r="F45" s="572"/>
      <c r="G45" s="572">
        <v>0</v>
      </c>
      <c r="H45" s="572"/>
      <c r="I45" s="572">
        <v>0</v>
      </c>
      <c r="J45" s="572"/>
      <c r="K45" s="125">
        <v>0</v>
      </c>
      <c r="L45" s="126" t="s">
        <v>280</v>
      </c>
      <c r="M45" s="126" t="s">
        <v>40</v>
      </c>
    </row>
    <row r="46" spans="1:13" x14ac:dyDescent="0.3">
      <c r="A46" s="549" t="s">
        <v>22</v>
      </c>
      <c r="B46" s="550"/>
      <c r="C46" s="439">
        <v>0</v>
      </c>
      <c r="D46" s="440"/>
      <c r="E46" s="551" t="s">
        <v>113</v>
      </c>
      <c r="F46" s="552"/>
      <c r="G46" s="439">
        <v>0</v>
      </c>
      <c r="H46" s="440"/>
      <c r="I46" s="439" t="s">
        <v>99</v>
      </c>
      <c r="J46" s="440"/>
      <c r="K46" s="125" t="s">
        <v>100</v>
      </c>
      <c r="L46" s="126">
        <v>0</v>
      </c>
      <c r="M46" s="126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407</v>
      </c>
      <c r="D51" s="320"/>
      <c r="E51" s="319" t="s">
        <v>418</v>
      </c>
      <c r="F51" s="320"/>
      <c r="G51" s="319" t="s">
        <v>427</v>
      </c>
      <c r="H51" s="320"/>
      <c r="I51" s="319" t="s">
        <v>434</v>
      </c>
      <c r="J51" s="320"/>
    </row>
    <row r="52" spans="1:10" x14ac:dyDescent="0.3">
      <c r="A52" s="331" t="s">
        <v>59</v>
      </c>
      <c r="B52" s="383"/>
      <c r="C52" s="487">
        <v>8420</v>
      </c>
      <c r="D52" s="487"/>
      <c r="E52" s="743">
        <v>8380</v>
      </c>
      <c r="F52" s="743"/>
      <c r="G52" s="743">
        <v>8346</v>
      </c>
      <c r="H52" s="743"/>
      <c r="I52" s="743">
        <v>8316</v>
      </c>
      <c r="J52" s="743"/>
    </row>
    <row r="53" spans="1:10" ht="15" customHeight="1" x14ac:dyDescent="0.3">
      <c r="A53" s="331" t="s">
        <v>60</v>
      </c>
      <c r="B53" s="383"/>
      <c r="C53" s="311">
        <v>13539</v>
      </c>
      <c r="D53" s="312"/>
      <c r="E53" s="744">
        <v>13519</v>
      </c>
      <c r="F53" s="745"/>
      <c r="G53" s="744">
        <v>13502</v>
      </c>
      <c r="H53" s="745"/>
      <c r="I53" s="744">
        <v>13492</v>
      </c>
      <c r="J53" s="745"/>
    </row>
    <row r="54" spans="1:10" x14ac:dyDescent="0.3">
      <c r="A54" s="331" t="s">
        <v>61</v>
      </c>
      <c r="B54" s="383"/>
      <c r="C54" s="487">
        <v>108275</v>
      </c>
      <c r="D54" s="487"/>
      <c r="E54" s="743">
        <v>108199</v>
      </c>
      <c r="F54" s="743"/>
      <c r="G54" s="743">
        <v>108094</v>
      </c>
      <c r="H54" s="743"/>
      <c r="I54" s="743">
        <v>108032</v>
      </c>
      <c r="J54" s="743"/>
    </row>
    <row r="55" spans="1:10" x14ac:dyDescent="0.3">
      <c r="A55" s="331" t="s">
        <v>62</v>
      </c>
      <c r="B55" s="383"/>
      <c r="C55" s="487">
        <v>208</v>
      </c>
      <c r="D55" s="487"/>
      <c r="E55" s="743">
        <v>208</v>
      </c>
      <c r="F55" s="743"/>
      <c r="G55" s="743">
        <v>208</v>
      </c>
      <c r="H55" s="743"/>
      <c r="I55" s="743">
        <v>208</v>
      </c>
      <c r="J55" s="743"/>
    </row>
    <row r="56" spans="1:10" x14ac:dyDescent="0.3">
      <c r="A56" s="331" t="s">
        <v>63</v>
      </c>
      <c r="B56" s="383"/>
      <c r="C56" s="486">
        <v>48552</v>
      </c>
      <c r="D56" s="486"/>
      <c r="E56" s="746">
        <v>48509</v>
      </c>
      <c r="F56" s="746"/>
      <c r="G56" s="746">
        <v>48499</v>
      </c>
      <c r="H56" s="746"/>
      <c r="I56" s="746">
        <v>48473</v>
      </c>
      <c r="J56" s="746"/>
    </row>
    <row r="57" spans="1:10" x14ac:dyDescent="0.3">
      <c r="A57" s="331" t="s">
        <v>64</v>
      </c>
      <c r="B57" s="383"/>
      <c r="C57" s="303">
        <v>5928</v>
      </c>
      <c r="D57" s="283"/>
      <c r="E57" s="747">
        <v>5918</v>
      </c>
      <c r="F57" s="748"/>
      <c r="G57" s="747">
        <v>5901</v>
      </c>
      <c r="H57" s="748"/>
      <c r="I57" s="747">
        <v>5897</v>
      </c>
      <c r="J57" s="748"/>
    </row>
    <row r="58" spans="1:10" x14ac:dyDescent="0.3">
      <c r="A58" s="331" t="s">
        <v>65</v>
      </c>
      <c r="B58" s="383"/>
      <c r="C58" s="486">
        <v>26309</v>
      </c>
      <c r="D58" s="486"/>
      <c r="E58" s="746">
        <v>26274</v>
      </c>
      <c r="F58" s="746"/>
      <c r="G58" s="746">
        <v>26220</v>
      </c>
      <c r="H58" s="746"/>
      <c r="I58" s="746">
        <v>26197</v>
      </c>
      <c r="J58" s="746"/>
    </row>
    <row r="59" spans="1:10" x14ac:dyDescent="0.3">
      <c r="A59" s="331" t="s">
        <v>66</v>
      </c>
      <c r="B59" s="383"/>
      <c r="C59" s="486">
        <v>4507</v>
      </c>
      <c r="D59" s="486"/>
      <c r="E59" s="746">
        <v>4505</v>
      </c>
      <c r="F59" s="746"/>
      <c r="G59" s="746">
        <v>4505</v>
      </c>
      <c r="H59" s="746"/>
      <c r="I59" s="746">
        <v>4508</v>
      </c>
      <c r="J59" s="746"/>
    </row>
    <row r="60" spans="1:10" x14ac:dyDescent="0.3">
      <c r="A60" s="165"/>
      <c r="B60" s="166" t="s">
        <v>251</v>
      </c>
      <c r="C60" s="486">
        <v>3296</v>
      </c>
      <c r="D60" s="486"/>
      <c r="E60" s="746">
        <v>3556</v>
      </c>
      <c r="F60" s="746"/>
      <c r="G60" s="746">
        <v>3769</v>
      </c>
      <c r="H60" s="746"/>
      <c r="I60" s="746">
        <v>4056</v>
      </c>
      <c r="J60" s="746"/>
    </row>
    <row r="61" spans="1:10" x14ac:dyDescent="0.3">
      <c r="A61" s="331" t="s">
        <v>67</v>
      </c>
      <c r="B61" s="332"/>
      <c r="C61" s="307">
        <v>219034</v>
      </c>
      <c r="D61" s="307"/>
      <c r="E61" s="749">
        <v>219068</v>
      </c>
      <c r="F61" s="749"/>
      <c r="G61" s="749">
        <v>219068</v>
      </c>
      <c r="H61" s="749"/>
      <c r="I61" s="749">
        <f>SUM(I52:I60)</f>
        <v>219179</v>
      </c>
      <c r="J61" s="749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229"/>
      <c r="J62" s="229"/>
    </row>
    <row r="63" spans="1:10" ht="15" customHeight="1" x14ac:dyDescent="0.3">
      <c r="A63" s="285" t="s">
        <v>68</v>
      </c>
      <c r="B63" s="286"/>
      <c r="C63" s="319" t="s">
        <v>407</v>
      </c>
      <c r="D63" s="320"/>
      <c r="E63" s="750" t="s">
        <v>418</v>
      </c>
      <c r="F63" s="751"/>
      <c r="G63" s="750" t="s">
        <v>427</v>
      </c>
      <c r="H63" s="751"/>
      <c r="I63" s="750" t="s">
        <v>434</v>
      </c>
      <c r="J63" s="751"/>
    </row>
    <row r="64" spans="1:10" x14ac:dyDescent="0.3">
      <c r="A64" s="287"/>
      <c r="B64" s="288"/>
      <c r="C64" s="297">
        <v>144589</v>
      </c>
      <c r="D64" s="298"/>
      <c r="E64" s="752">
        <v>144620</v>
      </c>
      <c r="F64" s="753"/>
      <c r="G64" s="752">
        <v>144737</v>
      </c>
      <c r="H64" s="753"/>
      <c r="I64" s="752">
        <v>144826</v>
      </c>
      <c r="J64" s="753"/>
    </row>
    <row r="65" spans="1:10" x14ac:dyDescent="0.3">
      <c r="A65" s="289"/>
      <c r="B65" s="290"/>
      <c r="C65" s="299"/>
      <c r="D65" s="300"/>
      <c r="E65" s="754"/>
      <c r="F65" s="755"/>
      <c r="G65" s="754"/>
      <c r="H65" s="755"/>
      <c r="I65" s="754"/>
      <c r="J65" s="755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82" t="s">
        <v>250</v>
      </c>
      <c r="D69" s="83"/>
      <c r="E69" s="282" t="s">
        <v>333</v>
      </c>
      <c r="F69" s="283"/>
      <c r="G69" s="282" t="s">
        <v>352</v>
      </c>
      <c r="H69" s="284"/>
      <c r="I69" s="282" t="s">
        <v>409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36368</v>
      </c>
      <c r="D72" s="215"/>
      <c r="E72" s="214">
        <v>36751</v>
      </c>
      <c r="F72" s="215"/>
      <c r="G72" s="265">
        <v>37120</v>
      </c>
      <c r="H72" s="266"/>
      <c r="I72" s="265">
        <v>37446</v>
      </c>
      <c r="J72" s="266"/>
    </row>
    <row r="73" spans="1:10" x14ac:dyDescent="0.3">
      <c r="A73" s="269" t="s">
        <v>16</v>
      </c>
      <c r="B73" s="270"/>
      <c r="C73" s="214">
        <v>8201</v>
      </c>
      <c r="D73" s="215"/>
      <c r="E73" s="214">
        <v>8267</v>
      </c>
      <c r="F73" s="215"/>
      <c r="G73" s="265">
        <v>8384</v>
      </c>
      <c r="H73" s="266"/>
      <c r="I73" s="265">
        <v>8441</v>
      </c>
      <c r="J73" s="266"/>
    </row>
    <row r="74" spans="1:10" x14ac:dyDescent="0.3">
      <c r="A74" s="267" t="s">
        <v>17</v>
      </c>
      <c r="B74" s="268"/>
      <c r="C74" s="214">
        <v>7219</v>
      </c>
      <c r="D74" s="215"/>
      <c r="E74" s="214">
        <v>7311</v>
      </c>
      <c r="F74" s="215"/>
      <c r="G74" s="265">
        <v>7423</v>
      </c>
      <c r="H74" s="266"/>
      <c r="I74" s="265">
        <v>7498</v>
      </c>
      <c r="J74" s="266"/>
    </row>
    <row r="75" spans="1:10" x14ac:dyDescent="0.3">
      <c r="A75" s="267" t="s">
        <v>75</v>
      </c>
      <c r="B75" s="268"/>
      <c r="C75" s="214">
        <v>2508</v>
      </c>
      <c r="D75" s="215"/>
      <c r="E75" s="214">
        <v>2547</v>
      </c>
      <c r="F75" s="215"/>
      <c r="G75" s="265">
        <v>2597</v>
      </c>
      <c r="H75" s="266"/>
      <c r="I75" s="265">
        <v>2631</v>
      </c>
      <c r="J75" s="266"/>
    </row>
    <row r="76" spans="1:10" x14ac:dyDescent="0.3">
      <c r="A76" s="269" t="s">
        <v>18</v>
      </c>
      <c r="B76" s="270"/>
      <c r="C76" s="214">
        <v>6196</v>
      </c>
      <c r="D76" s="215"/>
      <c r="E76" s="214">
        <v>6380</v>
      </c>
      <c r="F76" s="215"/>
      <c r="G76" s="265">
        <v>6522</v>
      </c>
      <c r="H76" s="266"/>
      <c r="I76" s="265">
        <v>6618</v>
      </c>
      <c r="J76" s="266"/>
    </row>
    <row r="77" spans="1:10" x14ac:dyDescent="0.3">
      <c r="A77" s="267" t="s">
        <v>19</v>
      </c>
      <c r="B77" s="268"/>
      <c r="C77" s="214">
        <v>5419</v>
      </c>
      <c r="D77" s="215"/>
      <c r="E77" s="214">
        <v>5434</v>
      </c>
      <c r="F77" s="215"/>
      <c r="G77" s="265">
        <v>5465</v>
      </c>
      <c r="H77" s="266"/>
      <c r="I77" s="265">
        <v>5474</v>
      </c>
      <c r="J77" s="266"/>
    </row>
    <row r="78" spans="1:10" x14ac:dyDescent="0.3">
      <c r="A78" s="269" t="s">
        <v>20</v>
      </c>
      <c r="B78" s="270"/>
      <c r="C78" s="214">
        <v>9569</v>
      </c>
      <c r="D78" s="215"/>
      <c r="E78" s="214">
        <v>9704</v>
      </c>
      <c r="F78" s="215"/>
      <c r="G78" s="265">
        <v>9856</v>
      </c>
      <c r="H78" s="266"/>
      <c r="I78" s="265">
        <v>10014</v>
      </c>
      <c r="J78" s="266"/>
    </row>
    <row r="79" spans="1:10" x14ac:dyDescent="0.3">
      <c r="A79" s="267" t="s">
        <v>21</v>
      </c>
      <c r="B79" s="268"/>
      <c r="C79" s="214">
        <v>1853</v>
      </c>
      <c r="D79" s="215"/>
      <c r="E79" s="214">
        <v>1858</v>
      </c>
      <c r="F79" s="215"/>
      <c r="G79" s="265">
        <v>1876</v>
      </c>
      <c r="H79" s="266"/>
      <c r="I79" s="265">
        <v>1879</v>
      </c>
      <c r="J79" s="266"/>
    </row>
    <row r="80" spans="1:10" x14ac:dyDescent="0.3">
      <c r="A80" s="269" t="s">
        <v>22</v>
      </c>
      <c r="B80" s="270"/>
      <c r="C80" s="214">
        <v>7327</v>
      </c>
      <c r="D80" s="215"/>
      <c r="E80" s="214">
        <v>7442</v>
      </c>
      <c r="F80" s="215"/>
      <c r="G80" s="265">
        <v>7584</v>
      </c>
      <c r="H80" s="266"/>
      <c r="I80" s="265">
        <v>7657</v>
      </c>
      <c r="J80" s="266"/>
    </row>
    <row r="81" spans="1:10" x14ac:dyDescent="0.3">
      <c r="A81" s="263" t="s">
        <v>76</v>
      </c>
      <c r="B81" s="264"/>
      <c r="C81" s="214">
        <v>84660</v>
      </c>
      <c r="D81" s="215"/>
      <c r="E81" s="214">
        <f>SUM(E72:E80)</f>
        <v>85694</v>
      </c>
      <c r="F81" s="215"/>
      <c r="G81" s="265">
        <f>SUM(G72:G80)</f>
        <v>86827</v>
      </c>
      <c r="H81" s="266"/>
      <c r="I81" s="265">
        <v>87658</v>
      </c>
      <c r="J81" s="266"/>
    </row>
  </sheetData>
  <mergeCells count="310">
    <mergeCell ref="A80:B80"/>
    <mergeCell ref="G80:H80"/>
    <mergeCell ref="I80:J80"/>
    <mergeCell ref="A81:B81"/>
    <mergeCell ref="G81:H81"/>
    <mergeCell ref="I81:J81"/>
    <mergeCell ref="A78:B78"/>
    <mergeCell ref="G78:H78"/>
    <mergeCell ref="I78:J78"/>
    <mergeCell ref="A79:B79"/>
    <mergeCell ref="G79:H79"/>
    <mergeCell ref="I79:J79"/>
    <mergeCell ref="A76:B76"/>
    <mergeCell ref="G76:H76"/>
    <mergeCell ref="I76:J76"/>
    <mergeCell ref="A77:B77"/>
    <mergeCell ref="G77:H77"/>
    <mergeCell ref="I77:J77"/>
    <mergeCell ref="A74:B74"/>
    <mergeCell ref="G74:H74"/>
    <mergeCell ref="I74:J74"/>
    <mergeCell ref="A75:B75"/>
    <mergeCell ref="G75:H75"/>
    <mergeCell ref="I75:J75"/>
    <mergeCell ref="A72:B72"/>
    <mergeCell ref="G72:H72"/>
    <mergeCell ref="I72:J72"/>
    <mergeCell ref="A73:B73"/>
    <mergeCell ref="G73:H73"/>
    <mergeCell ref="I73:J73"/>
    <mergeCell ref="A68:J68"/>
    <mergeCell ref="A69:B69"/>
    <mergeCell ref="E69:F69"/>
    <mergeCell ref="G69:H69"/>
    <mergeCell ref="I69:J69"/>
    <mergeCell ref="A70:B71"/>
    <mergeCell ref="G70:H71"/>
    <mergeCell ref="I70:J71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S17:U17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R1:R2"/>
    <mergeCell ref="A1:B2"/>
    <mergeCell ref="C1:D2"/>
    <mergeCell ref="E1:F2"/>
    <mergeCell ref="G1:H2"/>
    <mergeCell ref="I1:J2"/>
    <mergeCell ref="K1:L2"/>
    <mergeCell ref="A3:B3"/>
    <mergeCell ref="C3:Q3"/>
    <mergeCell ref="P1:P2"/>
    <mergeCell ref="Q1:Q2"/>
  </mergeCells>
  <phoneticPr fontId="3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50B5-7AD9-42D1-828C-154E7FFC758B}">
  <dimension ref="A1:Z81"/>
  <sheetViews>
    <sheetView workbookViewId="0">
      <selection activeCell="U15" sqref="U15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4.44140625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441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4"/>
    </row>
    <row r="4" spans="1:26" x14ac:dyDescent="0.3">
      <c r="A4" s="381" t="s">
        <v>13</v>
      </c>
      <c r="B4" s="381"/>
      <c r="C4" s="386">
        <v>7870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4889</v>
      </c>
      <c r="N4" s="6">
        <v>1690</v>
      </c>
      <c r="O4" s="6">
        <v>357</v>
      </c>
      <c r="P4" s="7">
        <v>9237</v>
      </c>
      <c r="Q4" s="7">
        <v>8316</v>
      </c>
      <c r="R4" s="7">
        <v>5332</v>
      </c>
      <c r="S4" s="64"/>
      <c r="T4" s="64"/>
    </row>
    <row r="5" spans="1:26" ht="15.75" customHeight="1" x14ac:dyDescent="0.3">
      <c r="A5" s="740" t="s">
        <v>14</v>
      </c>
      <c r="B5" s="740"/>
      <c r="C5" s="741">
        <v>220</v>
      </c>
      <c r="D5" s="741"/>
      <c r="E5" s="741">
        <v>0</v>
      </c>
      <c r="F5" s="741"/>
      <c r="G5" s="741">
        <v>0</v>
      </c>
      <c r="H5" s="741"/>
      <c r="I5" s="741">
        <v>0</v>
      </c>
      <c r="J5" s="741"/>
      <c r="K5" s="741">
        <v>0</v>
      </c>
      <c r="L5" s="741"/>
      <c r="M5" s="88">
        <v>0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64"/>
      <c r="T5" s="64"/>
    </row>
    <row r="6" spans="1:26" x14ac:dyDescent="0.3">
      <c r="A6" s="571" t="s">
        <v>15</v>
      </c>
      <c r="B6" s="571"/>
      <c r="C6" s="572">
        <v>750</v>
      </c>
      <c r="D6" s="572"/>
      <c r="E6" s="572">
        <v>2</v>
      </c>
      <c r="F6" s="572"/>
      <c r="G6" s="572">
        <v>44</v>
      </c>
      <c r="H6" s="572"/>
      <c r="I6" s="572">
        <v>5</v>
      </c>
      <c r="J6" s="572"/>
      <c r="K6" s="572">
        <v>0</v>
      </c>
      <c r="L6" s="572"/>
      <c r="M6" s="84">
        <v>563</v>
      </c>
      <c r="N6" s="125">
        <v>516</v>
      </c>
      <c r="O6" s="125">
        <v>85</v>
      </c>
      <c r="P6" s="125">
        <v>0</v>
      </c>
      <c r="Q6" s="125">
        <v>0</v>
      </c>
      <c r="R6" s="125">
        <v>0</v>
      </c>
      <c r="S6" s="64"/>
      <c r="T6" s="64"/>
    </row>
    <row r="7" spans="1:26" x14ac:dyDescent="0.3">
      <c r="A7" s="571" t="s">
        <v>16</v>
      </c>
      <c r="B7" s="571"/>
      <c r="C7" s="572">
        <v>228</v>
      </c>
      <c r="D7" s="572"/>
      <c r="E7" s="572">
        <v>0</v>
      </c>
      <c r="F7" s="572"/>
      <c r="G7" s="572">
        <v>0</v>
      </c>
      <c r="H7" s="572"/>
      <c r="I7" s="572">
        <v>0</v>
      </c>
      <c r="J7" s="572"/>
      <c r="K7" s="572">
        <v>0</v>
      </c>
      <c r="L7" s="572"/>
      <c r="M7" s="84">
        <v>122</v>
      </c>
      <c r="N7" s="125">
        <v>79</v>
      </c>
      <c r="O7" s="125">
        <v>25</v>
      </c>
      <c r="P7" s="125">
        <v>0</v>
      </c>
      <c r="Q7" s="125">
        <v>0</v>
      </c>
      <c r="R7" s="125">
        <v>0</v>
      </c>
      <c r="S7" s="64"/>
      <c r="T7" s="64"/>
    </row>
    <row r="8" spans="1:26" x14ac:dyDescent="0.3">
      <c r="A8" s="571" t="s">
        <v>17</v>
      </c>
      <c r="B8" s="571"/>
      <c r="C8" s="572">
        <v>399</v>
      </c>
      <c r="D8" s="572"/>
      <c r="E8" s="572">
        <v>0</v>
      </c>
      <c r="F8" s="572"/>
      <c r="G8" s="572">
        <v>0</v>
      </c>
      <c r="H8" s="572"/>
      <c r="I8" s="572">
        <v>0</v>
      </c>
      <c r="J8" s="572"/>
      <c r="K8" s="572">
        <v>0</v>
      </c>
      <c r="L8" s="572"/>
      <c r="M8" s="84">
        <v>377</v>
      </c>
      <c r="N8" s="125">
        <v>412</v>
      </c>
      <c r="O8" s="125">
        <v>0</v>
      </c>
      <c r="P8" s="125">
        <v>2</v>
      </c>
      <c r="Q8" s="125">
        <v>12</v>
      </c>
      <c r="R8" s="125">
        <v>1</v>
      </c>
      <c r="S8" s="64"/>
      <c r="T8" s="64"/>
    </row>
    <row r="9" spans="1:26" x14ac:dyDescent="0.3">
      <c r="A9" s="571" t="s">
        <v>18</v>
      </c>
      <c r="B9" s="571"/>
      <c r="C9" s="572">
        <v>142</v>
      </c>
      <c r="D9" s="572"/>
      <c r="E9" s="572">
        <v>0</v>
      </c>
      <c r="F9" s="572"/>
      <c r="G9" s="572">
        <v>0</v>
      </c>
      <c r="H9" s="572"/>
      <c r="I9" s="572">
        <v>0</v>
      </c>
      <c r="J9" s="572"/>
      <c r="K9" s="572">
        <v>0</v>
      </c>
      <c r="L9" s="572"/>
      <c r="M9" s="84">
        <v>80</v>
      </c>
      <c r="N9" s="125">
        <v>42</v>
      </c>
      <c r="O9" s="125">
        <v>57</v>
      </c>
      <c r="P9" s="125">
        <v>0</v>
      </c>
      <c r="Q9" s="125">
        <v>0</v>
      </c>
      <c r="R9" s="125">
        <v>0</v>
      </c>
      <c r="S9" s="64"/>
      <c r="T9" s="64"/>
    </row>
    <row r="10" spans="1:26" ht="15" thickBot="1" x14ac:dyDescent="0.35">
      <c r="A10" s="378" t="s">
        <v>262</v>
      </c>
      <c r="B10" s="379"/>
      <c r="C10" s="377">
        <v>92</v>
      </c>
      <c r="D10" s="380"/>
      <c r="E10" s="377">
        <v>100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109</v>
      </c>
      <c r="N10" s="172">
        <v>65</v>
      </c>
      <c r="O10" s="172">
        <v>47</v>
      </c>
      <c r="P10" s="9">
        <v>0</v>
      </c>
      <c r="Q10" s="9">
        <v>0</v>
      </c>
      <c r="R10" s="9">
        <v>0</v>
      </c>
      <c r="S10" s="64"/>
      <c r="T10" s="64"/>
      <c r="U10" s="64"/>
      <c r="Y10" s="40"/>
      <c r="Z10" s="40"/>
    </row>
    <row r="11" spans="1:26" ht="15" thickBot="1" x14ac:dyDescent="0.35">
      <c r="A11" s="376" t="s">
        <v>19</v>
      </c>
      <c r="B11" s="376"/>
      <c r="C11" s="377">
        <v>283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193</v>
      </c>
      <c r="N11" s="9">
        <v>207</v>
      </c>
      <c r="O11" s="9">
        <v>250</v>
      </c>
      <c r="P11" s="9">
        <v>82</v>
      </c>
      <c r="Q11" s="9">
        <v>14</v>
      </c>
      <c r="R11" s="9">
        <v>0</v>
      </c>
      <c r="T11" s="64"/>
      <c r="U11" s="64"/>
      <c r="Y11" s="40"/>
      <c r="Z11" s="40"/>
    </row>
    <row r="12" spans="1:26" x14ac:dyDescent="0.3">
      <c r="A12" s="571" t="s">
        <v>20</v>
      </c>
      <c r="B12" s="571"/>
      <c r="C12" s="572">
        <v>187</v>
      </c>
      <c r="D12" s="572"/>
      <c r="E12" s="572">
        <v>0</v>
      </c>
      <c r="F12" s="572"/>
      <c r="G12" s="572">
        <v>0</v>
      </c>
      <c r="H12" s="572"/>
      <c r="I12" s="572">
        <v>0</v>
      </c>
      <c r="J12" s="572"/>
      <c r="K12" s="572">
        <v>0</v>
      </c>
      <c r="L12" s="572"/>
      <c r="M12" s="84">
        <v>191</v>
      </c>
      <c r="N12" s="125">
        <v>303</v>
      </c>
      <c r="O12" s="125">
        <v>10</v>
      </c>
      <c r="P12" s="125">
        <v>0</v>
      </c>
      <c r="Q12" s="125">
        <v>16</v>
      </c>
      <c r="R12" s="125">
        <v>5</v>
      </c>
    </row>
    <row r="13" spans="1:26" x14ac:dyDescent="0.3">
      <c r="A13" s="571" t="s">
        <v>21</v>
      </c>
      <c r="B13" s="571"/>
      <c r="C13" s="572">
        <v>188</v>
      </c>
      <c r="D13" s="572"/>
      <c r="E13" s="572">
        <v>4</v>
      </c>
      <c r="F13" s="572"/>
      <c r="G13" s="572">
        <v>1</v>
      </c>
      <c r="H13" s="572"/>
      <c r="I13" s="572">
        <v>7</v>
      </c>
      <c r="J13" s="572"/>
      <c r="K13" s="572">
        <v>1</v>
      </c>
      <c r="L13" s="572"/>
      <c r="M13" s="84">
        <v>78</v>
      </c>
      <c r="N13" s="125">
        <v>61</v>
      </c>
      <c r="O13" s="125">
        <v>38</v>
      </c>
      <c r="P13" s="125">
        <v>0</v>
      </c>
      <c r="Q13" s="125">
        <v>0</v>
      </c>
      <c r="R13" s="125">
        <v>0</v>
      </c>
    </row>
    <row r="14" spans="1:26" x14ac:dyDescent="0.3">
      <c r="A14" s="376" t="s">
        <v>22</v>
      </c>
      <c r="B14" s="376"/>
      <c r="C14" s="377">
        <v>325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255</v>
      </c>
      <c r="N14" s="9">
        <v>331</v>
      </c>
      <c r="O14" s="9">
        <v>28</v>
      </c>
      <c r="P14" s="9">
        <v>0</v>
      </c>
      <c r="Q14" s="9">
        <v>0</v>
      </c>
      <c r="R14" s="9">
        <v>0</v>
      </c>
      <c r="V14" s="64"/>
      <c r="W14" s="64"/>
    </row>
    <row r="15" spans="1:26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4193</v>
      </c>
      <c r="Q15" s="73">
        <v>2436</v>
      </c>
      <c r="R15" s="94">
        <v>3435</v>
      </c>
    </row>
    <row r="16" spans="1:26" ht="15" thickBot="1" x14ac:dyDescent="0.35">
      <c r="A16" s="370" t="s">
        <v>24</v>
      </c>
      <c r="B16" s="371"/>
      <c r="C16" s="372">
        <f>SUM(C4:D15)</f>
        <v>10684</v>
      </c>
      <c r="D16" s="373"/>
      <c r="E16" s="373">
        <f>SUM(E4:F15)</f>
        <v>264</v>
      </c>
      <c r="F16" s="373"/>
      <c r="G16" s="373">
        <f>SUM(G4:H15)</f>
        <v>45</v>
      </c>
      <c r="H16" s="373"/>
      <c r="I16" s="373">
        <f>SUM(I4:J15)</f>
        <v>12</v>
      </c>
      <c r="J16" s="373"/>
      <c r="K16" s="373">
        <f>SUM(K4:L15)</f>
        <v>1</v>
      </c>
      <c r="L16" s="373"/>
      <c r="M16" s="139">
        <f t="shared" ref="M16:R16" si="0">SUM(M4:M15)</f>
        <v>6857</v>
      </c>
      <c r="N16" s="13">
        <f t="shared" si="0"/>
        <v>3706</v>
      </c>
      <c r="O16" s="13">
        <f t="shared" si="0"/>
        <v>897</v>
      </c>
      <c r="P16" s="16">
        <f t="shared" si="0"/>
        <v>13514</v>
      </c>
      <c r="Q16" s="142">
        <f t="shared" si="0"/>
        <v>10794</v>
      </c>
      <c r="R16" s="143">
        <f t="shared" si="0"/>
        <v>8773</v>
      </c>
    </row>
    <row r="17" spans="1:18" x14ac:dyDescent="0.3">
      <c r="A17" s="368" t="s">
        <v>25</v>
      </c>
      <c r="B17" s="368"/>
      <c r="C17" s="369">
        <v>7850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4819</v>
      </c>
      <c r="N17" s="131">
        <v>1690</v>
      </c>
      <c r="O17" s="91">
        <v>357</v>
      </c>
      <c r="P17" s="7">
        <v>9237</v>
      </c>
      <c r="Q17" s="7">
        <v>8316</v>
      </c>
      <c r="R17" s="7">
        <v>5332</v>
      </c>
    </row>
    <row r="18" spans="1:18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</row>
    <row r="19" spans="1:18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8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</row>
    <row r="22" spans="1:18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</row>
    <row r="23" spans="1:18" x14ac:dyDescent="0.3">
      <c r="A23" s="331" t="s">
        <v>11</v>
      </c>
      <c r="B23" s="332"/>
      <c r="C23" s="333" t="s">
        <v>441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Q23" s="64"/>
      <c r="R23" s="141"/>
    </row>
    <row r="24" spans="1:18" x14ac:dyDescent="0.3">
      <c r="A24" s="557" t="s">
        <v>15</v>
      </c>
      <c r="B24" s="558"/>
      <c r="C24" s="572">
        <v>673</v>
      </c>
      <c r="D24" s="572"/>
      <c r="E24" s="742" t="s">
        <v>448</v>
      </c>
      <c r="F24" s="742"/>
      <c r="G24" s="572">
        <v>0</v>
      </c>
      <c r="H24" s="572"/>
      <c r="I24" s="572">
        <v>12</v>
      </c>
      <c r="J24" s="572"/>
      <c r="K24" s="125">
        <v>0</v>
      </c>
      <c r="L24" s="126">
        <v>6</v>
      </c>
      <c r="M24" s="126">
        <v>2</v>
      </c>
      <c r="O24" s="64"/>
      <c r="P24" s="141"/>
    </row>
    <row r="25" spans="1:18" x14ac:dyDescent="0.3">
      <c r="A25" s="557" t="s">
        <v>16</v>
      </c>
      <c r="B25" s="558"/>
      <c r="C25" s="572">
        <v>317</v>
      </c>
      <c r="D25" s="572"/>
      <c r="E25" s="742" t="s">
        <v>173</v>
      </c>
      <c r="F25" s="742"/>
      <c r="G25" s="572">
        <v>0</v>
      </c>
      <c r="H25" s="572"/>
      <c r="I25" s="572">
        <v>53</v>
      </c>
      <c r="J25" s="572"/>
      <c r="K25" s="125">
        <v>0</v>
      </c>
      <c r="L25" s="126">
        <v>0</v>
      </c>
      <c r="M25" s="126">
        <v>0</v>
      </c>
      <c r="O25" s="64"/>
      <c r="P25" s="141"/>
    </row>
    <row r="26" spans="1:18" x14ac:dyDescent="0.3">
      <c r="A26" s="557" t="s">
        <v>17</v>
      </c>
      <c r="B26" s="558"/>
      <c r="C26" s="572">
        <v>144</v>
      </c>
      <c r="D26" s="572"/>
      <c r="E26" s="742" t="s">
        <v>268</v>
      </c>
      <c r="F26" s="742"/>
      <c r="G26" s="572">
        <v>9</v>
      </c>
      <c r="H26" s="572"/>
      <c r="I26" s="572">
        <v>40</v>
      </c>
      <c r="J26" s="572"/>
      <c r="K26" s="125">
        <v>0</v>
      </c>
      <c r="L26" s="126">
        <v>7</v>
      </c>
      <c r="M26" s="126">
        <v>2</v>
      </c>
    </row>
    <row r="27" spans="1:18" x14ac:dyDescent="0.3">
      <c r="A27" s="557" t="s">
        <v>18</v>
      </c>
      <c r="B27" s="558"/>
      <c r="C27" s="742" t="s">
        <v>452</v>
      </c>
      <c r="D27" s="742"/>
      <c r="E27" s="742" t="s">
        <v>253</v>
      </c>
      <c r="F27" s="742"/>
      <c r="G27" s="572">
        <v>0</v>
      </c>
      <c r="H27" s="572"/>
      <c r="I27" s="572">
        <v>17</v>
      </c>
      <c r="J27" s="572"/>
      <c r="K27" s="125">
        <v>2</v>
      </c>
      <c r="L27" s="126">
        <v>7</v>
      </c>
      <c r="M27" s="126">
        <v>0</v>
      </c>
      <c r="P27" s="64"/>
      <c r="Q27" s="64"/>
    </row>
    <row r="28" spans="1:18" x14ac:dyDescent="0.3">
      <c r="A28" s="378" t="s">
        <v>262</v>
      </c>
      <c r="B28" s="379"/>
      <c r="C28" s="609" t="s">
        <v>447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18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21</v>
      </c>
      <c r="J29" s="377"/>
      <c r="K29" s="9">
        <v>3</v>
      </c>
      <c r="L29" s="28">
        <v>6</v>
      </c>
      <c r="M29" s="28">
        <v>9</v>
      </c>
    </row>
    <row r="30" spans="1:18" x14ac:dyDescent="0.3">
      <c r="A30" s="557" t="s">
        <v>20</v>
      </c>
      <c r="B30" s="558"/>
      <c r="C30" s="572">
        <v>194</v>
      </c>
      <c r="D30" s="572"/>
      <c r="E30" s="742" t="s">
        <v>35</v>
      </c>
      <c r="F30" s="742"/>
      <c r="G30" s="572">
        <v>0</v>
      </c>
      <c r="H30" s="572"/>
      <c r="I30" s="572">
        <v>0</v>
      </c>
      <c r="J30" s="572"/>
      <c r="K30" s="125">
        <v>0</v>
      </c>
      <c r="L30" s="126">
        <v>0</v>
      </c>
      <c r="M30" s="126">
        <v>0</v>
      </c>
    </row>
    <row r="31" spans="1:18" x14ac:dyDescent="0.3">
      <c r="A31" s="557" t="s">
        <v>21</v>
      </c>
      <c r="B31" s="558"/>
      <c r="C31" s="742" t="s">
        <v>260</v>
      </c>
      <c r="D31" s="742"/>
      <c r="E31" s="742" t="s">
        <v>361</v>
      </c>
      <c r="F31" s="742"/>
      <c r="G31" s="572">
        <v>0</v>
      </c>
      <c r="H31" s="572"/>
      <c r="I31" s="572">
        <v>10</v>
      </c>
      <c r="J31" s="572"/>
      <c r="K31" s="125">
        <v>0</v>
      </c>
      <c r="L31" s="126">
        <v>10</v>
      </c>
      <c r="M31" s="126">
        <v>0</v>
      </c>
    </row>
    <row r="32" spans="1:18" x14ac:dyDescent="0.3">
      <c r="A32" s="557" t="s">
        <v>22</v>
      </c>
      <c r="B32" s="558"/>
      <c r="C32" s="572">
        <v>0</v>
      </c>
      <c r="D32" s="572"/>
      <c r="E32" s="742" t="s">
        <v>35</v>
      </c>
      <c r="F32" s="742"/>
      <c r="G32" s="572">
        <v>0</v>
      </c>
      <c r="H32" s="572"/>
      <c r="I32" s="572">
        <v>0</v>
      </c>
      <c r="J32" s="572"/>
      <c r="K32" s="125">
        <v>0</v>
      </c>
      <c r="L32" s="126">
        <v>0</v>
      </c>
      <c r="M32" s="126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441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9" t="s">
        <v>15</v>
      </c>
      <c r="B38" s="550"/>
      <c r="C38" s="439" t="s">
        <v>449</v>
      </c>
      <c r="D38" s="440"/>
      <c r="E38" s="551" t="s">
        <v>450</v>
      </c>
      <c r="F38" s="552"/>
      <c r="G38" s="439" t="s">
        <v>40</v>
      </c>
      <c r="H38" s="440"/>
      <c r="I38" s="439">
        <v>0</v>
      </c>
      <c r="J38" s="440"/>
      <c r="K38" s="123">
        <v>1</v>
      </c>
      <c r="L38" s="124" t="s">
        <v>451</v>
      </c>
      <c r="M38" s="124" t="s">
        <v>144</v>
      </c>
    </row>
    <row r="39" spans="1:13" x14ac:dyDescent="0.3">
      <c r="A39" s="549" t="s">
        <v>16</v>
      </c>
      <c r="B39" s="550"/>
      <c r="C39" s="439">
        <v>0</v>
      </c>
      <c r="D39" s="440"/>
      <c r="E39" s="551" t="s">
        <v>446</v>
      </c>
      <c r="F39" s="552"/>
      <c r="G39" s="439" t="s">
        <v>43</v>
      </c>
      <c r="H39" s="440"/>
      <c r="I39" s="439">
        <v>0</v>
      </c>
      <c r="J39" s="440"/>
      <c r="K39" s="125">
        <v>0</v>
      </c>
      <c r="L39" s="126">
        <v>0</v>
      </c>
      <c r="M39" s="126">
        <v>0</v>
      </c>
    </row>
    <row r="40" spans="1:13" x14ac:dyDescent="0.3">
      <c r="A40" s="549" t="s">
        <v>17</v>
      </c>
      <c r="B40" s="550"/>
      <c r="C40" s="439" t="s">
        <v>443</v>
      </c>
      <c r="D40" s="440"/>
      <c r="E40" s="551" t="s">
        <v>444</v>
      </c>
      <c r="F40" s="552"/>
      <c r="G40" s="439" t="s">
        <v>144</v>
      </c>
      <c r="H40" s="440"/>
      <c r="I40" s="439" t="s">
        <v>38</v>
      </c>
      <c r="J40" s="440"/>
      <c r="K40" s="125" t="s">
        <v>45</v>
      </c>
      <c r="L40" s="126" t="s">
        <v>42</v>
      </c>
      <c r="M40" s="126" t="s">
        <v>204</v>
      </c>
    </row>
    <row r="41" spans="1:13" x14ac:dyDescent="0.3">
      <c r="A41" s="549" t="s">
        <v>18</v>
      </c>
      <c r="B41" s="550"/>
      <c r="C41" s="439">
        <v>0</v>
      </c>
      <c r="D41" s="440"/>
      <c r="E41" s="551" t="s">
        <v>408</v>
      </c>
      <c r="F41" s="552"/>
      <c r="G41" s="439" t="s">
        <v>139</v>
      </c>
      <c r="H41" s="440"/>
      <c r="I41" s="439">
        <v>0</v>
      </c>
      <c r="J41" s="440"/>
      <c r="K41" s="125">
        <v>0</v>
      </c>
      <c r="L41" s="126">
        <v>0</v>
      </c>
      <c r="M41" s="126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426</v>
      </c>
      <c r="D43" s="410"/>
      <c r="E43" s="437" t="s">
        <v>445</v>
      </c>
      <c r="F43" s="438"/>
      <c r="G43" s="409">
        <v>0</v>
      </c>
      <c r="H43" s="410"/>
      <c r="I43" s="409" t="s">
        <v>293</v>
      </c>
      <c r="J43" s="410"/>
      <c r="K43" s="9" t="s">
        <v>99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39">
        <v>0</v>
      </c>
      <c r="D44" s="440"/>
      <c r="E44" s="439" t="s">
        <v>453</v>
      </c>
      <c r="F44" s="440"/>
      <c r="G44" s="439" t="s">
        <v>329</v>
      </c>
      <c r="H44" s="440"/>
      <c r="I44" s="439">
        <v>0</v>
      </c>
      <c r="J44" s="440"/>
      <c r="K44" s="125">
        <v>0</v>
      </c>
      <c r="L44" s="126">
        <v>0</v>
      </c>
      <c r="M44" s="126">
        <v>0</v>
      </c>
    </row>
    <row r="45" spans="1:13" x14ac:dyDescent="0.3">
      <c r="A45" s="549" t="s">
        <v>21</v>
      </c>
      <c r="B45" s="550"/>
      <c r="C45" s="439" t="s">
        <v>99</v>
      </c>
      <c r="D45" s="440"/>
      <c r="E45" s="572" t="s">
        <v>242</v>
      </c>
      <c r="F45" s="572"/>
      <c r="G45" s="572">
        <v>0</v>
      </c>
      <c r="H45" s="572"/>
      <c r="I45" s="572">
        <v>0</v>
      </c>
      <c r="J45" s="572"/>
      <c r="K45" s="125">
        <v>0</v>
      </c>
      <c r="L45" s="126" t="s">
        <v>280</v>
      </c>
      <c r="M45" s="126" t="s">
        <v>40</v>
      </c>
    </row>
    <row r="46" spans="1:13" x14ac:dyDescent="0.3">
      <c r="A46" s="549" t="s">
        <v>22</v>
      </c>
      <c r="B46" s="550"/>
      <c r="C46" s="439">
        <v>0</v>
      </c>
      <c r="D46" s="440"/>
      <c r="E46" s="551" t="s">
        <v>454</v>
      </c>
      <c r="F46" s="552"/>
      <c r="G46" s="439">
        <v>0</v>
      </c>
      <c r="H46" s="440"/>
      <c r="I46" s="439" t="s">
        <v>99</v>
      </c>
      <c r="J46" s="440"/>
      <c r="K46" s="125" t="s">
        <v>100</v>
      </c>
      <c r="L46" s="126">
        <v>0</v>
      </c>
      <c r="M46" s="126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427</v>
      </c>
      <c r="D51" s="320"/>
      <c r="E51" s="319" t="s">
        <v>434</v>
      </c>
      <c r="F51" s="320"/>
      <c r="G51" s="319" t="s">
        <v>442</v>
      </c>
      <c r="H51" s="320"/>
      <c r="I51" s="319" t="s">
        <v>441</v>
      </c>
      <c r="J51" s="320"/>
    </row>
    <row r="52" spans="1:10" x14ac:dyDescent="0.3">
      <c r="A52" s="331" t="s">
        <v>59</v>
      </c>
      <c r="B52" s="383"/>
      <c r="C52" s="743">
        <v>8346</v>
      </c>
      <c r="D52" s="743"/>
      <c r="E52" s="743">
        <v>8316</v>
      </c>
      <c r="F52" s="743"/>
      <c r="G52" s="744">
        <v>8289</v>
      </c>
      <c r="H52" s="745"/>
      <c r="I52" s="744">
        <v>8260</v>
      </c>
      <c r="J52" s="745"/>
    </row>
    <row r="53" spans="1:10" ht="15" customHeight="1" x14ac:dyDescent="0.3">
      <c r="A53" s="331" t="s">
        <v>60</v>
      </c>
      <c r="B53" s="383"/>
      <c r="C53" s="744">
        <v>13502</v>
      </c>
      <c r="D53" s="745"/>
      <c r="E53" s="744">
        <v>13492</v>
      </c>
      <c r="F53" s="745"/>
      <c r="G53" s="744">
        <v>13477</v>
      </c>
      <c r="H53" s="745"/>
      <c r="I53" s="744">
        <v>13463</v>
      </c>
      <c r="J53" s="745"/>
    </row>
    <row r="54" spans="1:10" x14ac:dyDescent="0.3">
      <c r="A54" s="331" t="s">
        <v>61</v>
      </c>
      <c r="B54" s="383"/>
      <c r="C54" s="743">
        <v>108094</v>
      </c>
      <c r="D54" s="743"/>
      <c r="E54" s="743">
        <v>108032</v>
      </c>
      <c r="F54" s="743"/>
      <c r="G54" s="744">
        <v>107956</v>
      </c>
      <c r="H54" s="745"/>
      <c r="I54" s="744">
        <v>107896</v>
      </c>
      <c r="J54" s="745"/>
    </row>
    <row r="55" spans="1:10" x14ac:dyDescent="0.3">
      <c r="A55" s="331" t="s">
        <v>62</v>
      </c>
      <c r="B55" s="383"/>
      <c r="C55" s="743">
        <v>208</v>
      </c>
      <c r="D55" s="743"/>
      <c r="E55" s="743">
        <v>208</v>
      </c>
      <c r="F55" s="743"/>
      <c r="G55" s="744">
        <v>208</v>
      </c>
      <c r="H55" s="745"/>
      <c r="I55" s="744">
        <v>208</v>
      </c>
      <c r="J55" s="745"/>
    </row>
    <row r="56" spans="1:10" x14ac:dyDescent="0.3">
      <c r="A56" s="331" t="s">
        <v>63</v>
      </c>
      <c r="B56" s="383"/>
      <c r="C56" s="746">
        <v>48499</v>
      </c>
      <c r="D56" s="746"/>
      <c r="E56" s="746">
        <v>48473</v>
      </c>
      <c r="F56" s="746"/>
      <c r="G56" s="747">
        <v>48430</v>
      </c>
      <c r="H56" s="748"/>
      <c r="I56" s="747">
        <v>48377</v>
      </c>
      <c r="J56" s="748"/>
    </row>
    <row r="57" spans="1:10" x14ac:dyDescent="0.3">
      <c r="A57" s="331" t="s">
        <v>64</v>
      </c>
      <c r="B57" s="383"/>
      <c r="C57" s="747">
        <v>5901</v>
      </c>
      <c r="D57" s="748"/>
      <c r="E57" s="747">
        <v>5897</v>
      </c>
      <c r="F57" s="748"/>
      <c r="G57" s="747">
        <v>5890</v>
      </c>
      <c r="H57" s="748"/>
      <c r="I57" s="747">
        <v>5884</v>
      </c>
      <c r="J57" s="748"/>
    </row>
    <row r="58" spans="1:10" x14ac:dyDescent="0.3">
      <c r="A58" s="331" t="s">
        <v>65</v>
      </c>
      <c r="B58" s="383"/>
      <c r="C58" s="746">
        <v>26220</v>
      </c>
      <c r="D58" s="746"/>
      <c r="E58" s="746">
        <v>26197</v>
      </c>
      <c r="F58" s="746"/>
      <c r="G58" s="747">
        <v>26150</v>
      </c>
      <c r="H58" s="748"/>
      <c r="I58" s="747">
        <v>26099</v>
      </c>
      <c r="J58" s="748"/>
    </row>
    <row r="59" spans="1:10" x14ac:dyDescent="0.3">
      <c r="A59" s="331" t="s">
        <v>66</v>
      </c>
      <c r="B59" s="383"/>
      <c r="C59" s="746">
        <v>4505</v>
      </c>
      <c r="D59" s="746"/>
      <c r="E59" s="746">
        <v>4508</v>
      </c>
      <c r="F59" s="746"/>
      <c r="G59" s="747">
        <v>4507</v>
      </c>
      <c r="H59" s="748"/>
      <c r="I59" s="747">
        <v>4503</v>
      </c>
      <c r="J59" s="748"/>
    </row>
    <row r="60" spans="1:10" x14ac:dyDescent="0.3">
      <c r="A60" s="165"/>
      <c r="B60" s="166" t="s">
        <v>251</v>
      </c>
      <c r="C60" s="746">
        <v>3769</v>
      </c>
      <c r="D60" s="746"/>
      <c r="E60" s="746">
        <v>4056</v>
      </c>
      <c r="F60" s="746"/>
      <c r="G60" s="747">
        <v>4366</v>
      </c>
      <c r="H60" s="748"/>
      <c r="I60" s="747">
        <v>4710</v>
      </c>
      <c r="J60" s="748"/>
    </row>
    <row r="61" spans="1:10" x14ac:dyDescent="0.3">
      <c r="A61" s="331" t="s">
        <v>67</v>
      </c>
      <c r="B61" s="332"/>
      <c r="C61" s="749">
        <v>219068</v>
      </c>
      <c r="D61" s="749"/>
      <c r="E61" s="749">
        <f>SUM(E52:E60)</f>
        <v>219179</v>
      </c>
      <c r="F61" s="749"/>
      <c r="G61" s="749">
        <f>SUM(G52:G60)</f>
        <v>219273</v>
      </c>
      <c r="H61" s="749"/>
      <c r="I61" s="749">
        <f>SUM(I52:I60)</f>
        <v>219400</v>
      </c>
      <c r="J61" s="749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229"/>
      <c r="J62" s="229"/>
    </row>
    <row r="63" spans="1:10" ht="15" customHeight="1" x14ac:dyDescent="0.3">
      <c r="A63" s="285" t="s">
        <v>68</v>
      </c>
      <c r="B63" s="286"/>
      <c r="C63" s="750" t="s">
        <v>427</v>
      </c>
      <c r="D63" s="751"/>
      <c r="E63" s="750" t="s">
        <v>434</v>
      </c>
      <c r="F63" s="751"/>
      <c r="G63" s="750" t="s">
        <v>442</v>
      </c>
      <c r="H63" s="751"/>
      <c r="I63" s="750" t="s">
        <v>441</v>
      </c>
      <c r="J63" s="751"/>
    </row>
    <row r="64" spans="1:10" x14ac:dyDescent="0.3">
      <c r="A64" s="287"/>
      <c r="B64" s="288"/>
      <c r="C64" s="752">
        <v>144737</v>
      </c>
      <c r="D64" s="753"/>
      <c r="E64" s="752">
        <v>144826</v>
      </c>
      <c r="F64" s="753"/>
      <c r="G64" s="752">
        <v>144915</v>
      </c>
      <c r="H64" s="753"/>
      <c r="I64" s="752">
        <v>144936</v>
      </c>
      <c r="J64" s="753"/>
    </row>
    <row r="65" spans="1:10" x14ac:dyDescent="0.3">
      <c r="A65" s="289"/>
      <c r="B65" s="290"/>
      <c r="C65" s="754"/>
      <c r="D65" s="755"/>
      <c r="E65" s="754"/>
      <c r="F65" s="755"/>
      <c r="G65" s="754"/>
      <c r="H65" s="755"/>
      <c r="I65" s="754"/>
      <c r="J65" s="755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333</v>
      </c>
      <c r="D69" s="283"/>
      <c r="E69" s="282" t="s">
        <v>352</v>
      </c>
      <c r="F69" s="284"/>
      <c r="G69" s="282" t="s">
        <v>409</v>
      </c>
      <c r="H69" s="284"/>
      <c r="I69" s="282" t="s">
        <v>455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36751</v>
      </c>
      <c r="D72" s="215"/>
      <c r="E72" s="265">
        <v>37120</v>
      </c>
      <c r="F72" s="266"/>
      <c r="G72" s="265">
        <v>37446</v>
      </c>
      <c r="H72" s="266"/>
      <c r="I72" s="265">
        <v>37809</v>
      </c>
      <c r="J72" s="266"/>
    </row>
    <row r="73" spans="1:10" x14ac:dyDescent="0.3">
      <c r="A73" s="269" t="s">
        <v>16</v>
      </c>
      <c r="B73" s="270"/>
      <c r="C73" s="214">
        <v>8267</v>
      </c>
      <c r="D73" s="215"/>
      <c r="E73" s="265">
        <v>8384</v>
      </c>
      <c r="F73" s="266"/>
      <c r="G73" s="265">
        <v>8441</v>
      </c>
      <c r="H73" s="266"/>
      <c r="I73" s="265">
        <v>8538</v>
      </c>
      <c r="J73" s="266"/>
    </row>
    <row r="74" spans="1:10" x14ac:dyDescent="0.3">
      <c r="A74" s="267" t="s">
        <v>17</v>
      </c>
      <c r="B74" s="268"/>
      <c r="C74" s="214">
        <v>7311</v>
      </c>
      <c r="D74" s="215"/>
      <c r="E74" s="265">
        <v>7423</v>
      </c>
      <c r="F74" s="266"/>
      <c r="G74" s="265">
        <v>7498</v>
      </c>
      <c r="H74" s="266"/>
      <c r="I74" s="265">
        <v>7606</v>
      </c>
      <c r="J74" s="266"/>
    </row>
    <row r="75" spans="1:10" x14ac:dyDescent="0.3">
      <c r="A75" s="267" t="s">
        <v>75</v>
      </c>
      <c r="B75" s="268"/>
      <c r="C75" s="214">
        <v>2547</v>
      </c>
      <c r="D75" s="215"/>
      <c r="E75" s="265">
        <v>2597</v>
      </c>
      <c r="F75" s="266"/>
      <c r="G75" s="265">
        <v>2631</v>
      </c>
      <c r="H75" s="266"/>
      <c r="I75" s="265">
        <v>2680</v>
      </c>
      <c r="J75" s="266"/>
    </row>
    <row r="76" spans="1:10" x14ac:dyDescent="0.3">
      <c r="A76" s="269" t="s">
        <v>18</v>
      </c>
      <c r="B76" s="270"/>
      <c r="C76" s="214">
        <v>6380</v>
      </c>
      <c r="D76" s="215"/>
      <c r="E76" s="265">
        <v>6522</v>
      </c>
      <c r="F76" s="266"/>
      <c r="G76" s="265">
        <v>6618</v>
      </c>
      <c r="H76" s="266"/>
      <c r="I76" s="265">
        <v>6744</v>
      </c>
      <c r="J76" s="266"/>
    </row>
    <row r="77" spans="1:10" x14ac:dyDescent="0.3">
      <c r="A77" s="267" t="s">
        <v>19</v>
      </c>
      <c r="B77" s="268"/>
      <c r="C77" s="214">
        <v>5434</v>
      </c>
      <c r="D77" s="215"/>
      <c r="E77" s="265">
        <v>5465</v>
      </c>
      <c r="F77" s="266"/>
      <c r="G77" s="265">
        <v>5474</v>
      </c>
      <c r="H77" s="266"/>
      <c r="I77" s="265">
        <v>5446</v>
      </c>
      <c r="J77" s="266"/>
    </row>
    <row r="78" spans="1:10" x14ac:dyDescent="0.3">
      <c r="A78" s="269" t="s">
        <v>20</v>
      </c>
      <c r="B78" s="270"/>
      <c r="C78" s="214">
        <v>9704</v>
      </c>
      <c r="D78" s="215"/>
      <c r="E78" s="265">
        <v>9856</v>
      </c>
      <c r="F78" s="266"/>
      <c r="G78" s="265">
        <v>10014</v>
      </c>
      <c r="H78" s="266"/>
      <c r="I78" s="265">
        <v>10139</v>
      </c>
      <c r="J78" s="266"/>
    </row>
    <row r="79" spans="1:10" x14ac:dyDescent="0.3">
      <c r="A79" s="267" t="s">
        <v>21</v>
      </c>
      <c r="B79" s="268"/>
      <c r="C79" s="214">
        <v>1858</v>
      </c>
      <c r="D79" s="215"/>
      <c r="E79" s="265">
        <v>1876</v>
      </c>
      <c r="F79" s="266"/>
      <c r="G79" s="265">
        <v>1879</v>
      </c>
      <c r="H79" s="266"/>
      <c r="I79" s="265">
        <v>1895</v>
      </c>
      <c r="J79" s="266"/>
    </row>
    <row r="80" spans="1:10" x14ac:dyDescent="0.3">
      <c r="A80" s="269" t="s">
        <v>22</v>
      </c>
      <c r="B80" s="270"/>
      <c r="C80" s="214">
        <v>7442</v>
      </c>
      <c r="D80" s="215"/>
      <c r="E80" s="265">
        <v>7584</v>
      </c>
      <c r="F80" s="266"/>
      <c r="G80" s="265">
        <v>7657</v>
      </c>
      <c r="H80" s="266"/>
      <c r="I80" s="265">
        <v>7716</v>
      </c>
      <c r="J80" s="266"/>
    </row>
    <row r="81" spans="1:10" x14ac:dyDescent="0.3">
      <c r="A81" s="263" t="s">
        <v>76</v>
      </c>
      <c r="B81" s="264"/>
      <c r="C81" s="214">
        <f>SUM(C72:C80)</f>
        <v>85694</v>
      </c>
      <c r="D81" s="215"/>
      <c r="E81" s="265">
        <f>SUM(E72:E80)</f>
        <v>86827</v>
      </c>
      <c r="F81" s="266"/>
      <c r="G81" s="265">
        <v>87658</v>
      </c>
      <c r="H81" s="266"/>
      <c r="I81" s="265">
        <f>SUM(I72:I80)</f>
        <v>88573</v>
      </c>
      <c r="J81" s="266"/>
    </row>
  </sheetData>
  <mergeCells count="320"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5:B5"/>
    <mergeCell ref="C5:D5"/>
    <mergeCell ref="E5:F5"/>
    <mergeCell ref="G5:H5"/>
    <mergeCell ref="I5:J5"/>
    <mergeCell ref="K5:L5"/>
    <mergeCell ref="A3:B3"/>
    <mergeCell ref="C3:Q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O21:P21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2:B72"/>
    <mergeCell ref="G72:H72"/>
    <mergeCell ref="I72:J72"/>
    <mergeCell ref="A73:B73"/>
    <mergeCell ref="G73:H73"/>
    <mergeCell ref="I73:J73"/>
    <mergeCell ref="E72:F72"/>
    <mergeCell ref="E73:F73"/>
    <mergeCell ref="A68:J68"/>
    <mergeCell ref="A69:B69"/>
    <mergeCell ref="E69:F69"/>
    <mergeCell ref="G69:H69"/>
    <mergeCell ref="I69:J69"/>
    <mergeCell ref="A70:B71"/>
    <mergeCell ref="G70:H71"/>
    <mergeCell ref="I70:J71"/>
    <mergeCell ref="C69:D69"/>
    <mergeCell ref="E77:F77"/>
    <mergeCell ref="A74:B74"/>
    <mergeCell ref="G74:H74"/>
    <mergeCell ref="I74:J74"/>
    <mergeCell ref="A75:B75"/>
    <mergeCell ref="G75:H75"/>
    <mergeCell ref="I75:J75"/>
    <mergeCell ref="E74:F74"/>
    <mergeCell ref="E75:F75"/>
    <mergeCell ref="A76:B76"/>
    <mergeCell ref="G76:H76"/>
    <mergeCell ref="I76:J76"/>
    <mergeCell ref="A77:B77"/>
    <mergeCell ref="G77:H77"/>
    <mergeCell ref="I77:J77"/>
    <mergeCell ref="E76:F76"/>
    <mergeCell ref="A80:B80"/>
    <mergeCell ref="G80:H80"/>
    <mergeCell ref="I80:J80"/>
    <mergeCell ref="A81:B81"/>
    <mergeCell ref="G81:H81"/>
    <mergeCell ref="I81:J81"/>
    <mergeCell ref="E80:F80"/>
    <mergeCell ref="E81:F81"/>
    <mergeCell ref="A78:B78"/>
    <mergeCell ref="G78:H78"/>
    <mergeCell ref="I78:J78"/>
    <mergeCell ref="A79:B79"/>
    <mergeCell ref="G79:H79"/>
    <mergeCell ref="I79:J79"/>
    <mergeCell ref="E78:F78"/>
    <mergeCell ref="E79:F79"/>
  </mergeCells>
  <phoneticPr fontId="3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FB2B-7F64-4BB5-8A93-B6A2CAA64E58}">
  <dimension ref="A1:Z81"/>
  <sheetViews>
    <sheetView topLeftCell="A24" workbookViewId="0">
      <selection activeCell="S1" sqref="S1:S1048576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4.44140625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456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4"/>
    </row>
    <row r="4" spans="1:26" x14ac:dyDescent="0.3">
      <c r="A4" s="381" t="s">
        <v>13</v>
      </c>
      <c r="B4" s="381"/>
      <c r="C4" s="386">
        <v>7870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4789</v>
      </c>
      <c r="N4" s="6">
        <v>1490</v>
      </c>
      <c r="O4" s="6">
        <v>307</v>
      </c>
      <c r="P4" s="7">
        <v>8837</v>
      </c>
      <c r="Q4" s="7">
        <v>7716</v>
      </c>
      <c r="R4" s="7">
        <v>5176</v>
      </c>
      <c r="S4" s="64"/>
      <c r="T4" s="64"/>
    </row>
    <row r="5" spans="1:26" ht="15.75" customHeight="1" x14ac:dyDescent="0.3">
      <c r="A5" s="740" t="s">
        <v>14</v>
      </c>
      <c r="B5" s="740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</row>
    <row r="6" spans="1:26" x14ac:dyDescent="0.3">
      <c r="A6" s="376" t="s">
        <v>15</v>
      </c>
      <c r="B6" s="376"/>
      <c r="C6" s="377">
        <v>706</v>
      </c>
      <c r="D6" s="377"/>
      <c r="E6" s="377">
        <v>2</v>
      </c>
      <c r="F6" s="377"/>
      <c r="G6" s="377">
        <v>44</v>
      </c>
      <c r="H6" s="377"/>
      <c r="I6" s="377">
        <v>4</v>
      </c>
      <c r="J6" s="377"/>
      <c r="K6" s="377">
        <v>0</v>
      </c>
      <c r="L6" s="377"/>
      <c r="M6" s="95">
        <v>495</v>
      </c>
      <c r="N6" s="9">
        <v>137</v>
      </c>
      <c r="O6" s="9">
        <v>0</v>
      </c>
      <c r="P6" s="9">
        <v>0</v>
      </c>
      <c r="Q6" s="9">
        <v>0</v>
      </c>
      <c r="R6" s="9">
        <v>0</v>
      </c>
      <c r="S6" s="64"/>
      <c r="T6" s="64"/>
    </row>
    <row r="7" spans="1:26" x14ac:dyDescent="0.3">
      <c r="A7" s="376" t="s">
        <v>16</v>
      </c>
      <c r="B7" s="376"/>
      <c r="C7" s="377">
        <v>407</v>
      </c>
      <c r="D7" s="377"/>
      <c r="E7" s="377">
        <v>0</v>
      </c>
      <c r="F7" s="377"/>
      <c r="G7" s="377">
        <v>0</v>
      </c>
      <c r="H7" s="377"/>
      <c r="I7" s="377">
        <v>0</v>
      </c>
      <c r="J7" s="377"/>
      <c r="K7" s="377">
        <v>0</v>
      </c>
      <c r="L7" s="377"/>
      <c r="M7" s="95">
        <v>104</v>
      </c>
      <c r="N7" s="9">
        <v>232</v>
      </c>
      <c r="O7" s="9">
        <v>25</v>
      </c>
      <c r="P7" s="9">
        <v>0</v>
      </c>
      <c r="Q7" s="9">
        <v>0</v>
      </c>
      <c r="R7" s="9">
        <v>2</v>
      </c>
      <c r="S7" s="64"/>
      <c r="T7" s="64"/>
    </row>
    <row r="8" spans="1:26" x14ac:dyDescent="0.3">
      <c r="A8" s="571" t="s">
        <v>17</v>
      </c>
      <c r="B8" s="571"/>
      <c r="C8" s="377">
        <v>366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302</v>
      </c>
      <c r="N8" s="9">
        <v>369</v>
      </c>
      <c r="O8" s="9">
        <v>0</v>
      </c>
      <c r="P8" s="9">
        <v>0</v>
      </c>
      <c r="Q8" s="9">
        <v>0</v>
      </c>
      <c r="R8" s="9">
        <v>0</v>
      </c>
      <c r="S8" s="64"/>
      <c r="T8" s="64"/>
    </row>
    <row r="9" spans="1:26" x14ac:dyDescent="0.3">
      <c r="A9" s="571" t="s">
        <v>18</v>
      </c>
      <c r="B9" s="571"/>
      <c r="C9" s="377">
        <v>124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48</v>
      </c>
      <c r="N9" s="9">
        <v>34</v>
      </c>
      <c r="O9" s="9">
        <v>36</v>
      </c>
      <c r="P9" s="9">
        <v>0</v>
      </c>
      <c r="Q9" s="9">
        <v>0</v>
      </c>
      <c r="R9" s="9">
        <v>0</v>
      </c>
      <c r="S9" s="64"/>
      <c r="T9" s="64"/>
    </row>
    <row r="10" spans="1:26" ht="15" thickBot="1" x14ac:dyDescent="0.35">
      <c r="A10" s="378" t="s">
        <v>262</v>
      </c>
      <c r="B10" s="379"/>
      <c r="C10" s="377">
        <v>174</v>
      </c>
      <c r="D10" s="380"/>
      <c r="E10" s="377">
        <v>100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83</v>
      </c>
      <c r="N10" s="172">
        <v>42</v>
      </c>
      <c r="O10" s="172">
        <v>47</v>
      </c>
      <c r="P10" s="9">
        <v>0</v>
      </c>
      <c r="Q10" s="9">
        <v>0</v>
      </c>
      <c r="R10" s="9">
        <v>0</v>
      </c>
      <c r="S10" s="64"/>
      <c r="T10" s="64"/>
      <c r="U10" s="64"/>
      <c r="Y10" s="40"/>
      <c r="Z10" s="40"/>
    </row>
    <row r="11" spans="1:26" ht="15" thickBot="1" x14ac:dyDescent="0.35">
      <c r="A11" s="376" t="s">
        <v>19</v>
      </c>
      <c r="B11" s="376"/>
      <c r="C11" s="377">
        <v>271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187</v>
      </c>
      <c r="N11" s="9">
        <v>201</v>
      </c>
      <c r="O11" s="9">
        <v>244</v>
      </c>
      <c r="P11" s="9">
        <v>82</v>
      </c>
      <c r="Q11" s="9">
        <v>14</v>
      </c>
      <c r="R11" s="9">
        <v>0</v>
      </c>
      <c r="T11" s="64"/>
      <c r="U11" s="64"/>
      <c r="Y11" s="40"/>
      <c r="Z11" s="40"/>
    </row>
    <row r="12" spans="1:26" x14ac:dyDescent="0.3">
      <c r="A12" s="376" t="s">
        <v>20</v>
      </c>
      <c r="B12" s="376"/>
      <c r="C12" s="377">
        <v>181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154</v>
      </c>
      <c r="N12" s="9">
        <v>268</v>
      </c>
      <c r="O12" s="9">
        <v>10</v>
      </c>
      <c r="P12" s="9">
        <v>0</v>
      </c>
      <c r="Q12" s="9">
        <v>16</v>
      </c>
      <c r="R12" s="9">
        <v>5</v>
      </c>
    </row>
    <row r="13" spans="1:26" x14ac:dyDescent="0.3">
      <c r="A13" s="376" t="s">
        <v>21</v>
      </c>
      <c r="B13" s="376"/>
      <c r="C13" s="377">
        <f>273+18</f>
        <v>291</v>
      </c>
      <c r="D13" s="377"/>
      <c r="E13" s="377">
        <v>4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126</v>
      </c>
      <c r="N13" s="9">
        <v>41</v>
      </c>
      <c r="O13" s="9">
        <v>0</v>
      </c>
      <c r="P13" s="9">
        <v>0</v>
      </c>
      <c r="Q13" s="9">
        <v>0</v>
      </c>
      <c r="R13" s="9">
        <v>0</v>
      </c>
    </row>
    <row r="14" spans="1:26" x14ac:dyDescent="0.3">
      <c r="A14" s="376" t="s">
        <v>22</v>
      </c>
      <c r="B14" s="376"/>
      <c r="C14" s="377">
        <v>110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221</v>
      </c>
      <c r="N14" s="9">
        <v>205</v>
      </c>
      <c r="O14" s="9">
        <v>28</v>
      </c>
      <c r="P14" s="9">
        <v>0</v>
      </c>
      <c r="Q14" s="9">
        <v>0</v>
      </c>
      <c r="R14" s="9">
        <v>0</v>
      </c>
      <c r="V14" s="64"/>
      <c r="W14" s="64"/>
    </row>
    <row r="15" spans="1:26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4156</v>
      </c>
      <c r="Q15" s="73">
        <v>2581</v>
      </c>
      <c r="R15" s="94">
        <v>3437</v>
      </c>
    </row>
    <row r="16" spans="1:26" ht="15" thickBot="1" x14ac:dyDescent="0.35">
      <c r="A16" s="370" t="s">
        <v>24</v>
      </c>
      <c r="B16" s="371"/>
      <c r="C16" s="372">
        <f>SUM(C4:D15)</f>
        <v>10720</v>
      </c>
      <c r="D16" s="373"/>
      <c r="E16" s="372">
        <f>SUM(E4:F15)</f>
        <v>264</v>
      </c>
      <c r="F16" s="373"/>
      <c r="G16" s="372">
        <f>SUM(G4:H15)</f>
        <v>45</v>
      </c>
      <c r="H16" s="373"/>
      <c r="I16" s="372">
        <f>SUM(I4:J15)</f>
        <v>11</v>
      </c>
      <c r="J16" s="373"/>
      <c r="K16" s="372">
        <f>SUM(K4:L15)</f>
        <v>1</v>
      </c>
      <c r="L16" s="373"/>
      <c r="M16" s="139">
        <f t="shared" ref="M16:R16" si="0">SUM(M4:M15)</f>
        <v>6509</v>
      </c>
      <c r="N16" s="139">
        <f t="shared" si="0"/>
        <v>3019</v>
      </c>
      <c r="O16" s="139">
        <f t="shared" si="0"/>
        <v>697</v>
      </c>
      <c r="P16" s="139">
        <f t="shared" si="0"/>
        <v>13075</v>
      </c>
      <c r="Q16" s="139">
        <f t="shared" si="0"/>
        <v>10327</v>
      </c>
      <c r="R16" s="139">
        <f t="shared" si="0"/>
        <v>8620</v>
      </c>
    </row>
    <row r="17" spans="1:18" x14ac:dyDescent="0.3">
      <c r="A17" s="368" t="s">
        <v>25</v>
      </c>
      <c r="B17" s="368"/>
      <c r="C17" s="369">
        <v>7870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4719</v>
      </c>
      <c r="N17" s="131">
        <v>1490</v>
      </c>
      <c r="O17" s="91">
        <v>307</v>
      </c>
      <c r="P17" s="7">
        <v>8837</v>
      </c>
      <c r="Q17" s="7">
        <v>7716</v>
      </c>
      <c r="R17" s="7">
        <v>5176</v>
      </c>
    </row>
    <row r="18" spans="1:18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</row>
    <row r="19" spans="1:18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8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</row>
    <row r="22" spans="1:18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</row>
    <row r="23" spans="1:18" x14ac:dyDescent="0.3">
      <c r="A23" s="331" t="s">
        <v>11</v>
      </c>
      <c r="B23" s="332"/>
      <c r="C23" s="333" t="s">
        <v>456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Q23" s="64"/>
      <c r="R23" s="141"/>
    </row>
    <row r="24" spans="1:18" x14ac:dyDescent="0.3">
      <c r="A24" s="557" t="s">
        <v>15</v>
      </c>
      <c r="B24" s="558"/>
      <c r="C24" s="377">
        <v>620</v>
      </c>
      <c r="D24" s="377"/>
      <c r="E24" s="609" t="s">
        <v>458</v>
      </c>
      <c r="F24" s="609"/>
      <c r="G24" s="377">
        <v>0</v>
      </c>
      <c r="H24" s="377"/>
      <c r="I24" s="377">
        <v>14</v>
      </c>
      <c r="J24" s="377"/>
      <c r="K24" s="9">
        <v>0</v>
      </c>
      <c r="L24" s="28">
        <v>9</v>
      </c>
      <c r="M24" s="28">
        <v>2</v>
      </c>
      <c r="O24" s="64"/>
      <c r="P24" s="141"/>
    </row>
    <row r="25" spans="1:18" x14ac:dyDescent="0.3">
      <c r="A25" s="557" t="s">
        <v>16</v>
      </c>
      <c r="B25" s="558"/>
      <c r="C25" s="377">
        <v>338</v>
      </c>
      <c r="D25" s="377"/>
      <c r="E25" s="609" t="s">
        <v>460</v>
      </c>
      <c r="F25" s="609"/>
      <c r="G25" s="377">
        <v>0</v>
      </c>
      <c r="H25" s="377"/>
      <c r="I25" s="377">
        <v>53</v>
      </c>
      <c r="J25" s="377"/>
      <c r="K25" s="9">
        <v>0</v>
      </c>
      <c r="L25" s="28">
        <v>8</v>
      </c>
      <c r="M25" s="28">
        <v>2</v>
      </c>
      <c r="O25" s="64"/>
      <c r="P25" s="141"/>
    </row>
    <row r="26" spans="1:18" x14ac:dyDescent="0.3">
      <c r="A26" s="557" t="s">
        <v>17</v>
      </c>
      <c r="B26" s="558"/>
      <c r="C26" s="377">
        <v>142</v>
      </c>
      <c r="D26" s="377"/>
      <c r="E26" s="609" t="s">
        <v>268</v>
      </c>
      <c r="F26" s="609"/>
      <c r="G26" s="377">
        <v>9</v>
      </c>
      <c r="H26" s="377"/>
      <c r="I26" s="377">
        <v>40</v>
      </c>
      <c r="J26" s="377"/>
      <c r="K26" s="9">
        <v>0</v>
      </c>
      <c r="L26" s="28">
        <v>6</v>
      </c>
      <c r="M26" s="28">
        <v>2</v>
      </c>
    </row>
    <row r="27" spans="1:18" x14ac:dyDescent="0.3">
      <c r="A27" s="557" t="s">
        <v>18</v>
      </c>
      <c r="B27" s="558"/>
      <c r="C27" s="609" t="s">
        <v>452</v>
      </c>
      <c r="D27" s="609"/>
      <c r="E27" s="609" t="s">
        <v>253</v>
      </c>
      <c r="F27" s="609"/>
      <c r="G27" s="377">
        <v>0</v>
      </c>
      <c r="H27" s="377"/>
      <c r="I27" s="377">
        <v>17</v>
      </c>
      <c r="J27" s="377"/>
      <c r="K27" s="9">
        <v>2</v>
      </c>
      <c r="L27" s="28">
        <v>7</v>
      </c>
      <c r="M27" s="28">
        <v>0</v>
      </c>
      <c r="P27" s="64"/>
      <c r="Q27" s="64"/>
    </row>
    <row r="28" spans="1:18" x14ac:dyDescent="0.3">
      <c r="A28" s="378" t="s">
        <v>262</v>
      </c>
      <c r="B28" s="379"/>
      <c r="C28" s="609" t="s">
        <v>459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18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21</v>
      </c>
      <c r="J29" s="377"/>
      <c r="K29" s="9">
        <v>3</v>
      </c>
      <c r="L29" s="28">
        <v>6</v>
      </c>
      <c r="M29" s="28">
        <v>9</v>
      </c>
    </row>
    <row r="30" spans="1:18" x14ac:dyDescent="0.3">
      <c r="A30" s="557" t="s">
        <v>20</v>
      </c>
      <c r="B30" s="558"/>
      <c r="C30" s="377">
        <v>185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18" x14ac:dyDescent="0.3">
      <c r="A31" s="557" t="s">
        <v>21</v>
      </c>
      <c r="B31" s="558"/>
      <c r="C31" s="609" t="s">
        <v>303</v>
      </c>
      <c r="D31" s="609"/>
      <c r="E31" s="609" t="s">
        <v>361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10</v>
      </c>
      <c r="M31" s="28">
        <v>0</v>
      </c>
    </row>
    <row r="32" spans="1:18" x14ac:dyDescent="0.3">
      <c r="A32" s="557" t="s">
        <v>22</v>
      </c>
      <c r="B32" s="558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456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549" t="s">
        <v>15</v>
      </c>
      <c r="B38" s="550"/>
      <c r="C38" s="409">
        <v>22</v>
      </c>
      <c r="D38" s="410"/>
      <c r="E38" s="437" t="s">
        <v>450</v>
      </c>
      <c r="F38" s="438"/>
      <c r="G38" s="409" t="s">
        <v>40</v>
      </c>
      <c r="H38" s="410"/>
      <c r="I38" s="409">
        <v>0</v>
      </c>
      <c r="J38" s="410"/>
      <c r="K38" s="26">
        <v>1</v>
      </c>
      <c r="L38" s="27" t="s">
        <v>444</v>
      </c>
      <c r="M38" s="27" t="s">
        <v>144</v>
      </c>
    </row>
    <row r="39" spans="1:13" x14ac:dyDescent="0.3">
      <c r="A39" s="549" t="s">
        <v>16</v>
      </c>
      <c r="B39" s="550"/>
      <c r="C39" s="409">
        <v>0</v>
      </c>
      <c r="D39" s="410"/>
      <c r="E39" s="437" t="s">
        <v>461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549" t="s">
        <v>17</v>
      </c>
      <c r="B40" s="550"/>
      <c r="C40" s="409" t="s">
        <v>457</v>
      </c>
      <c r="D40" s="410"/>
      <c r="E40" s="437" t="s">
        <v>444</v>
      </c>
      <c r="F40" s="438"/>
      <c r="G40" s="409" t="s">
        <v>144</v>
      </c>
      <c r="H40" s="410"/>
      <c r="I40" s="409" t="s">
        <v>38</v>
      </c>
      <c r="J40" s="410"/>
      <c r="K40" s="9" t="s">
        <v>45</v>
      </c>
      <c r="L40" s="28" t="s">
        <v>42</v>
      </c>
      <c r="M40" s="28" t="s">
        <v>204</v>
      </c>
    </row>
    <row r="41" spans="1:13" x14ac:dyDescent="0.3">
      <c r="A41" s="549" t="s">
        <v>18</v>
      </c>
      <c r="B41" s="550"/>
      <c r="C41" s="409">
        <v>0</v>
      </c>
      <c r="D41" s="410"/>
      <c r="E41" s="437" t="s">
        <v>408</v>
      </c>
      <c r="F41" s="438"/>
      <c r="G41" s="409" t="s">
        <v>139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426</v>
      </c>
      <c r="D43" s="410"/>
      <c r="E43" s="437" t="s">
        <v>445</v>
      </c>
      <c r="F43" s="438"/>
      <c r="G43" s="409">
        <v>0</v>
      </c>
      <c r="H43" s="410"/>
      <c r="I43" s="409" t="s">
        <v>293</v>
      </c>
      <c r="J43" s="410"/>
      <c r="K43" s="9" t="s">
        <v>99</v>
      </c>
      <c r="L43" s="28">
        <v>0</v>
      </c>
      <c r="M43" s="28">
        <v>0</v>
      </c>
    </row>
    <row r="44" spans="1:13" x14ac:dyDescent="0.3">
      <c r="A44" s="549" t="s">
        <v>20</v>
      </c>
      <c r="B44" s="550"/>
      <c r="C44" s="409">
        <v>0</v>
      </c>
      <c r="D44" s="410"/>
      <c r="E44" s="409" t="s">
        <v>462</v>
      </c>
      <c r="F44" s="410"/>
      <c r="G44" s="409" t="s">
        <v>347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549" t="s">
        <v>21</v>
      </c>
      <c r="B45" s="550"/>
      <c r="C45" s="409" t="s">
        <v>99</v>
      </c>
      <c r="D45" s="410"/>
      <c r="E45" s="377" t="s">
        <v>406</v>
      </c>
      <c r="F45" s="377"/>
      <c r="G45" s="377">
        <v>0</v>
      </c>
      <c r="H45" s="377"/>
      <c r="I45" s="377">
        <v>0</v>
      </c>
      <c r="J45" s="377"/>
      <c r="K45" s="9">
        <v>0</v>
      </c>
      <c r="L45" s="28" t="s">
        <v>280</v>
      </c>
      <c r="M45" s="28" t="s">
        <v>40</v>
      </c>
    </row>
    <row r="46" spans="1:13" x14ac:dyDescent="0.3">
      <c r="A46" s="549" t="s">
        <v>22</v>
      </c>
      <c r="B46" s="550"/>
      <c r="C46" s="409">
        <v>0</v>
      </c>
      <c r="D46" s="410"/>
      <c r="E46" s="437" t="s">
        <v>454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441" t="s">
        <v>56</v>
      </c>
      <c r="B51" s="442"/>
      <c r="C51" s="319" t="s">
        <v>434</v>
      </c>
      <c r="D51" s="320"/>
      <c r="E51" s="319" t="s">
        <v>442</v>
      </c>
      <c r="F51" s="320"/>
      <c r="G51" s="319" t="s">
        <v>441</v>
      </c>
      <c r="H51" s="320"/>
      <c r="I51" s="319" t="s">
        <v>456</v>
      </c>
      <c r="J51" s="320"/>
    </row>
    <row r="52" spans="1:10" x14ac:dyDescent="0.3">
      <c r="A52" s="331" t="s">
        <v>59</v>
      </c>
      <c r="B52" s="383"/>
      <c r="C52" s="743">
        <v>8316</v>
      </c>
      <c r="D52" s="743"/>
      <c r="E52" s="744">
        <v>8289</v>
      </c>
      <c r="F52" s="745"/>
      <c r="G52" s="744">
        <v>8260</v>
      </c>
      <c r="H52" s="745"/>
      <c r="I52" s="311">
        <v>8216</v>
      </c>
      <c r="J52" s="312"/>
    </row>
    <row r="53" spans="1:10" ht="15" customHeight="1" x14ac:dyDescent="0.3">
      <c r="A53" s="331" t="s">
        <v>60</v>
      </c>
      <c r="B53" s="383"/>
      <c r="C53" s="744">
        <v>13492</v>
      </c>
      <c r="D53" s="745"/>
      <c r="E53" s="744">
        <v>13477</v>
      </c>
      <c r="F53" s="745"/>
      <c r="G53" s="744">
        <v>13463</v>
      </c>
      <c r="H53" s="745"/>
      <c r="I53" s="311">
        <v>13472</v>
      </c>
      <c r="J53" s="312"/>
    </row>
    <row r="54" spans="1:10" x14ac:dyDescent="0.3">
      <c r="A54" s="331" t="s">
        <v>61</v>
      </c>
      <c r="B54" s="383"/>
      <c r="C54" s="743">
        <v>108032</v>
      </c>
      <c r="D54" s="743"/>
      <c r="E54" s="744">
        <v>107956</v>
      </c>
      <c r="F54" s="745"/>
      <c r="G54" s="744">
        <v>107896</v>
      </c>
      <c r="H54" s="745"/>
      <c r="I54" s="311">
        <v>107913</v>
      </c>
      <c r="J54" s="312"/>
    </row>
    <row r="55" spans="1:10" x14ac:dyDescent="0.3">
      <c r="A55" s="331" t="s">
        <v>62</v>
      </c>
      <c r="B55" s="383"/>
      <c r="C55" s="743">
        <v>208</v>
      </c>
      <c r="D55" s="743"/>
      <c r="E55" s="744">
        <v>208</v>
      </c>
      <c r="F55" s="745"/>
      <c r="G55" s="744">
        <v>208</v>
      </c>
      <c r="H55" s="745"/>
      <c r="I55" s="311">
        <v>208</v>
      </c>
      <c r="J55" s="312"/>
    </row>
    <row r="56" spans="1:10" x14ac:dyDescent="0.3">
      <c r="A56" s="331" t="s">
        <v>63</v>
      </c>
      <c r="B56" s="383"/>
      <c r="C56" s="746">
        <v>48473</v>
      </c>
      <c r="D56" s="746"/>
      <c r="E56" s="747">
        <v>48430</v>
      </c>
      <c r="F56" s="748"/>
      <c r="G56" s="747">
        <v>48377</v>
      </c>
      <c r="H56" s="748"/>
      <c r="I56" s="303">
        <v>48408</v>
      </c>
      <c r="J56" s="283"/>
    </row>
    <row r="57" spans="1:10" x14ac:dyDescent="0.3">
      <c r="A57" s="331" t="s">
        <v>64</v>
      </c>
      <c r="B57" s="383"/>
      <c r="C57" s="747">
        <v>5897</v>
      </c>
      <c r="D57" s="748"/>
      <c r="E57" s="747">
        <v>5890</v>
      </c>
      <c r="F57" s="748"/>
      <c r="G57" s="747">
        <v>5884</v>
      </c>
      <c r="H57" s="748"/>
      <c r="I57" s="303">
        <v>5907</v>
      </c>
      <c r="J57" s="283"/>
    </row>
    <row r="58" spans="1:10" x14ac:dyDescent="0.3">
      <c r="A58" s="331" t="s">
        <v>65</v>
      </c>
      <c r="B58" s="383"/>
      <c r="C58" s="746">
        <v>26197</v>
      </c>
      <c r="D58" s="746"/>
      <c r="E58" s="747">
        <v>26150</v>
      </c>
      <c r="F58" s="748"/>
      <c r="G58" s="747">
        <v>26099</v>
      </c>
      <c r="H58" s="748"/>
      <c r="I58" s="303">
        <v>26186</v>
      </c>
      <c r="J58" s="283"/>
    </row>
    <row r="59" spans="1:10" x14ac:dyDescent="0.3">
      <c r="A59" s="331" t="s">
        <v>66</v>
      </c>
      <c r="B59" s="383"/>
      <c r="C59" s="746">
        <v>4508</v>
      </c>
      <c r="D59" s="746"/>
      <c r="E59" s="747">
        <v>4507</v>
      </c>
      <c r="F59" s="748"/>
      <c r="G59" s="747">
        <v>4503</v>
      </c>
      <c r="H59" s="748"/>
      <c r="I59" s="303">
        <v>4506</v>
      </c>
      <c r="J59" s="283"/>
    </row>
    <row r="60" spans="1:10" x14ac:dyDescent="0.3">
      <c r="A60" s="165"/>
      <c r="B60" s="166" t="s">
        <v>251</v>
      </c>
      <c r="C60" s="746">
        <v>4056</v>
      </c>
      <c r="D60" s="746"/>
      <c r="E60" s="747">
        <v>4366</v>
      </c>
      <c r="F60" s="748"/>
      <c r="G60" s="747">
        <v>4710</v>
      </c>
      <c r="H60" s="748"/>
      <c r="I60" s="303">
        <v>4993</v>
      </c>
      <c r="J60" s="283"/>
    </row>
    <row r="61" spans="1:10" x14ac:dyDescent="0.3">
      <c r="A61" s="331" t="s">
        <v>67</v>
      </c>
      <c r="B61" s="332"/>
      <c r="C61" s="749">
        <f>SUM(C52:C60)</f>
        <v>219179</v>
      </c>
      <c r="D61" s="749"/>
      <c r="E61" s="749">
        <f>SUM(E52:E60)</f>
        <v>219273</v>
      </c>
      <c r="F61" s="749"/>
      <c r="G61" s="749">
        <f>SUM(G52:G60)</f>
        <v>219400</v>
      </c>
      <c r="H61" s="749"/>
      <c r="I61" s="307">
        <v>215133</v>
      </c>
      <c r="J61" s="307"/>
    </row>
    <row r="62" spans="1:10" x14ac:dyDescent="0.3">
      <c r="A62" s="1"/>
      <c r="B62" s="1"/>
      <c r="C62" s="1"/>
      <c r="D62" s="1"/>
      <c r="E62" s="1"/>
      <c r="F62" s="1"/>
      <c r="G62" s="229"/>
      <c r="H62" s="229"/>
      <c r="I62" s="1"/>
      <c r="J62" s="1"/>
    </row>
    <row r="63" spans="1:10" ht="15" customHeight="1" x14ac:dyDescent="0.3">
      <c r="A63" s="285" t="s">
        <v>68</v>
      </c>
      <c r="B63" s="286"/>
      <c r="C63" s="750" t="s">
        <v>434</v>
      </c>
      <c r="D63" s="751"/>
      <c r="E63" s="750" t="s">
        <v>442</v>
      </c>
      <c r="F63" s="751"/>
      <c r="G63" s="750" t="s">
        <v>441</v>
      </c>
      <c r="H63" s="751"/>
      <c r="I63" s="319" t="s">
        <v>456</v>
      </c>
      <c r="J63" s="320"/>
    </row>
    <row r="64" spans="1:10" x14ac:dyDescent="0.3">
      <c r="A64" s="287"/>
      <c r="B64" s="288"/>
      <c r="C64" s="752">
        <v>144826</v>
      </c>
      <c r="D64" s="753"/>
      <c r="E64" s="752">
        <v>144915</v>
      </c>
      <c r="F64" s="753"/>
      <c r="G64" s="752">
        <v>144936</v>
      </c>
      <c r="H64" s="753"/>
      <c r="I64" s="297">
        <v>145050</v>
      </c>
      <c r="J64" s="298"/>
    </row>
    <row r="65" spans="1:10" x14ac:dyDescent="0.3">
      <c r="A65" s="289"/>
      <c r="B65" s="290"/>
      <c r="C65" s="754"/>
      <c r="D65" s="755"/>
      <c r="E65" s="754"/>
      <c r="F65" s="755"/>
      <c r="G65" s="754"/>
      <c r="H65" s="755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333</v>
      </c>
      <c r="D69" s="283"/>
      <c r="E69" s="282" t="s">
        <v>352</v>
      </c>
      <c r="F69" s="284"/>
      <c r="G69" s="282" t="s">
        <v>409</v>
      </c>
      <c r="H69" s="284"/>
      <c r="I69" s="282" t="s">
        <v>455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36751</v>
      </c>
      <c r="D72" s="215"/>
      <c r="E72" s="265">
        <v>37120</v>
      </c>
      <c r="F72" s="266"/>
      <c r="G72" s="265">
        <v>37446</v>
      </c>
      <c r="H72" s="266"/>
      <c r="I72" s="265">
        <v>37809</v>
      </c>
      <c r="J72" s="266"/>
    </row>
    <row r="73" spans="1:10" x14ac:dyDescent="0.3">
      <c r="A73" s="269" t="s">
        <v>16</v>
      </c>
      <c r="B73" s="270"/>
      <c r="C73" s="214">
        <v>8267</v>
      </c>
      <c r="D73" s="215"/>
      <c r="E73" s="265">
        <v>8384</v>
      </c>
      <c r="F73" s="266"/>
      <c r="G73" s="265">
        <v>8441</v>
      </c>
      <c r="H73" s="266"/>
      <c r="I73" s="265">
        <v>8538</v>
      </c>
      <c r="J73" s="266"/>
    </row>
    <row r="74" spans="1:10" x14ac:dyDescent="0.3">
      <c r="A74" s="267" t="s">
        <v>17</v>
      </c>
      <c r="B74" s="268"/>
      <c r="C74" s="214">
        <v>7311</v>
      </c>
      <c r="D74" s="215"/>
      <c r="E74" s="265">
        <v>7423</v>
      </c>
      <c r="F74" s="266"/>
      <c r="G74" s="265">
        <v>7498</v>
      </c>
      <c r="H74" s="266"/>
      <c r="I74" s="265">
        <v>7606</v>
      </c>
      <c r="J74" s="266"/>
    </row>
    <row r="75" spans="1:10" x14ac:dyDescent="0.3">
      <c r="A75" s="267" t="s">
        <v>75</v>
      </c>
      <c r="B75" s="268"/>
      <c r="C75" s="214">
        <v>2547</v>
      </c>
      <c r="D75" s="215"/>
      <c r="E75" s="265">
        <v>2597</v>
      </c>
      <c r="F75" s="266"/>
      <c r="G75" s="265">
        <v>2631</v>
      </c>
      <c r="H75" s="266"/>
      <c r="I75" s="265">
        <v>2680</v>
      </c>
      <c r="J75" s="266"/>
    </row>
    <row r="76" spans="1:10" x14ac:dyDescent="0.3">
      <c r="A76" s="269" t="s">
        <v>18</v>
      </c>
      <c r="B76" s="270"/>
      <c r="C76" s="214">
        <v>6380</v>
      </c>
      <c r="D76" s="215"/>
      <c r="E76" s="265">
        <v>6522</v>
      </c>
      <c r="F76" s="266"/>
      <c r="G76" s="265">
        <v>6618</v>
      </c>
      <c r="H76" s="266"/>
      <c r="I76" s="265">
        <v>6744</v>
      </c>
      <c r="J76" s="266"/>
    </row>
    <row r="77" spans="1:10" x14ac:dyDescent="0.3">
      <c r="A77" s="267" t="s">
        <v>19</v>
      </c>
      <c r="B77" s="268"/>
      <c r="C77" s="214">
        <v>5434</v>
      </c>
      <c r="D77" s="215"/>
      <c r="E77" s="265">
        <v>5465</v>
      </c>
      <c r="F77" s="266"/>
      <c r="G77" s="265">
        <v>5474</v>
      </c>
      <c r="H77" s="266"/>
      <c r="I77" s="265">
        <v>5446</v>
      </c>
      <c r="J77" s="266"/>
    </row>
    <row r="78" spans="1:10" x14ac:dyDescent="0.3">
      <c r="A78" s="269" t="s">
        <v>20</v>
      </c>
      <c r="B78" s="270"/>
      <c r="C78" s="214">
        <v>9704</v>
      </c>
      <c r="D78" s="215"/>
      <c r="E78" s="265">
        <v>9856</v>
      </c>
      <c r="F78" s="266"/>
      <c r="G78" s="265">
        <v>10014</v>
      </c>
      <c r="H78" s="266"/>
      <c r="I78" s="265">
        <v>10139</v>
      </c>
      <c r="J78" s="266"/>
    </row>
    <row r="79" spans="1:10" x14ac:dyDescent="0.3">
      <c r="A79" s="267" t="s">
        <v>21</v>
      </c>
      <c r="B79" s="268"/>
      <c r="C79" s="214">
        <v>1858</v>
      </c>
      <c r="D79" s="215"/>
      <c r="E79" s="265">
        <v>1876</v>
      </c>
      <c r="F79" s="266"/>
      <c r="G79" s="265">
        <v>1879</v>
      </c>
      <c r="H79" s="266"/>
      <c r="I79" s="265">
        <v>1895</v>
      </c>
      <c r="J79" s="266"/>
    </row>
    <row r="80" spans="1:10" x14ac:dyDescent="0.3">
      <c r="A80" s="269" t="s">
        <v>22</v>
      </c>
      <c r="B80" s="270"/>
      <c r="C80" s="214">
        <v>7442</v>
      </c>
      <c r="D80" s="215"/>
      <c r="E80" s="265">
        <v>7584</v>
      </c>
      <c r="F80" s="266"/>
      <c r="G80" s="265">
        <v>7657</v>
      </c>
      <c r="H80" s="266"/>
      <c r="I80" s="265">
        <v>7716</v>
      </c>
      <c r="J80" s="266"/>
    </row>
    <row r="81" spans="1:10" x14ac:dyDescent="0.3">
      <c r="A81" s="263" t="s">
        <v>76</v>
      </c>
      <c r="B81" s="264"/>
      <c r="C81" s="214">
        <f>SUM(C72:C80)</f>
        <v>85694</v>
      </c>
      <c r="D81" s="215"/>
      <c r="E81" s="265">
        <f>SUM(E72:E80)</f>
        <v>86827</v>
      </c>
      <c r="F81" s="266"/>
      <c r="G81" s="265">
        <v>87658</v>
      </c>
      <c r="H81" s="266"/>
      <c r="I81" s="265">
        <f>SUM(I72:I80)</f>
        <v>88573</v>
      </c>
      <c r="J81" s="266"/>
    </row>
  </sheetData>
  <mergeCells count="320">
    <mergeCell ref="A81:B81"/>
    <mergeCell ref="E81:F81"/>
    <mergeCell ref="G81:H81"/>
    <mergeCell ref="I81:J81"/>
    <mergeCell ref="A79:B79"/>
    <mergeCell ref="E79:F79"/>
    <mergeCell ref="G79:H79"/>
    <mergeCell ref="I79:J79"/>
    <mergeCell ref="A80:B80"/>
    <mergeCell ref="E80:F80"/>
    <mergeCell ref="G80:H80"/>
    <mergeCell ref="I80:J80"/>
    <mergeCell ref="A77:B77"/>
    <mergeCell ref="E77:F77"/>
    <mergeCell ref="G77:H77"/>
    <mergeCell ref="I77:J77"/>
    <mergeCell ref="A78:B78"/>
    <mergeCell ref="E78:F78"/>
    <mergeCell ref="G78:H78"/>
    <mergeCell ref="I78:J78"/>
    <mergeCell ref="A75:B75"/>
    <mergeCell ref="E75:F75"/>
    <mergeCell ref="G75:H75"/>
    <mergeCell ref="I75:J75"/>
    <mergeCell ref="A76:B76"/>
    <mergeCell ref="E76:F76"/>
    <mergeCell ref="G76:H76"/>
    <mergeCell ref="I76:J76"/>
    <mergeCell ref="A73:B73"/>
    <mergeCell ref="E73:F73"/>
    <mergeCell ref="G73:H73"/>
    <mergeCell ref="I73:J73"/>
    <mergeCell ref="A74:B74"/>
    <mergeCell ref="E74:F74"/>
    <mergeCell ref="G74:H74"/>
    <mergeCell ref="I74:J74"/>
    <mergeCell ref="A70:B71"/>
    <mergeCell ref="G70:H71"/>
    <mergeCell ref="I70:J71"/>
    <mergeCell ref="A72:B72"/>
    <mergeCell ref="E72:F72"/>
    <mergeCell ref="G72:H72"/>
    <mergeCell ref="I72:J72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O21:P21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3:B3"/>
    <mergeCell ref="C3:Q3"/>
    <mergeCell ref="A4:B4"/>
    <mergeCell ref="C4:D4"/>
    <mergeCell ref="E4:F4"/>
    <mergeCell ref="G4:H4"/>
    <mergeCell ref="I4:J4"/>
    <mergeCell ref="K4:L4"/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</mergeCells>
  <phoneticPr fontId="3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25C7-5986-4EED-8BFE-6002856FD735}">
  <dimension ref="A1:Z81"/>
  <sheetViews>
    <sheetView topLeftCell="A23" workbookViewId="0">
      <selection activeCell="C38" sqref="C38:D38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6640625" bestFit="1" customWidth="1"/>
    <col min="20" max="20" width="18.6640625" bestFit="1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463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134"/>
      <c r="S3" s="62"/>
      <c r="T3" s="64"/>
    </row>
    <row r="4" spans="1:26" x14ac:dyDescent="0.3">
      <c r="A4" s="381" t="s">
        <v>13</v>
      </c>
      <c r="B4" s="381"/>
      <c r="C4" s="386">
        <v>7820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4588</v>
      </c>
      <c r="N4" s="6">
        <v>1270</v>
      </c>
      <c r="O4" s="6">
        <v>237</v>
      </c>
      <c r="P4" s="7">
        <v>7137</v>
      </c>
      <c r="Q4" s="7">
        <v>2608</v>
      </c>
      <c r="R4" s="7">
        <v>4972</v>
      </c>
      <c r="S4" s="64"/>
      <c r="T4" s="64"/>
    </row>
    <row r="5" spans="1:26" ht="15.7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</row>
    <row r="6" spans="1:26" x14ac:dyDescent="0.3">
      <c r="A6" s="376" t="s">
        <v>15</v>
      </c>
      <c r="B6" s="376"/>
      <c r="C6" s="377">
        <v>655</v>
      </c>
      <c r="D6" s="377"/>
      <c r="E6" s="377">
        <v>2</v>
      </c>
      <c r="F6" s="377"/>
      <c r="G6" s="377">
        <v>42</v>
      </c>
      <c r="H6" s="377"/>
      <c r="I6" s="377">
        <v>4</v>
      </c>
      <c r="J6" s="377"/>
      <c r="K6" s="377">
        <v>0</v>
      </c>
      <c r="L6" s="377"/>
      <c r="M6" s="95">
        <v>409</v>
      </c>
      <c r="N6" s="9">
        <v>358</v>
      </c>
      <c r="O6" s="9">
        <v>127</v>
      </c>
      <c r="P6" s="9">
        <v>0</v>
      </c>
      <c r="Q6" s="9">
        <v>0</v>
      </c>
      <c r="R6" s="9">
        <v>0</v>
      </c>
      <c r="S6" s="64"/>
      <c r="T6" s="64"/>
    </row>
    <row r="7" spans="1:26" x14ac:dyDescent="0.3">
      <c r="A7" s="376" t="s">
        <v>16</v>
      </c>
      <c r="B7" s="376"/>
      <c r="C7" s="377">
        <v>392</v>
      </c>
      <c r="D7" s="377"/>
      <c r="E7" s="377">
        <v>0</v>
      </c>
      <c r="F7" s="377"/>
      <c r="G7" s="377">
        <v>0</v>
      </c>
      <c r="H7" s="377"/>
      <c r="I7" s="377">
        <v>0</v>
      </c>
      <c r="J7" s="377"/>
      <c r="K7" s="377">
        <v>0</v>
      </c>
      <c r="L7" s="377"/>
      <c r="M7" s="95">
        <v>88</v>
      </c>
      <c r="N7" s="9">
        <v>218</v>
      </c>
      <c r="O7" s="9">
        <v>25</v>
      </c>
      <c r="P7" s="9">
        <v>0</v>
      </c>
      <c r="Q7" s="9">
        <v>0</v>
      </c>
      <c r="R7" s="9">
        <v>2</v>
      </c>
      <c r="S7" s="64"/>
      <c r="T7" s="64"/>
    </row>
    <row r="8" spans="1:26" x14ac:dyDescent="0.3">
      <c r="A8" s="376" t="s">
        <v>17</v>
      </c>
      <c r="B8" s="376"/>
      <c r="C8" s="377">
        <v>360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282</v>
      </c>
      <c r="N8" s="9">
        <v>341</v>
      </c>
      <c r="O8" s="9">
        <v>0</v>
      </c>
      <c r="P8" s="9">
        <v>2</v>
      </c>
      <c r="Q8" s="9">
        <v>12</v>
      </c>
      <c r="R8" s="9">
        <v>1</v>
      </c>
      <c r="S8" s="64"/>
      <c r="T8" s="64"/>
    </row>
    <row r="9" spans="1:26" x14ac:dyDescent="0.3">
      <c r="A9" s="376" t="s">
        <v>18</v>
      </c>
      <c r="B9" s="376"/>
      <c r="C9" s="377">
        <v>161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125</v>
      </c>
      <c r="N9" s="9">
        <v>100</v>
      </c>
      <c r="O9" s="9">
        <v>82</v>
      </c>
      <c r="P9" s="9">
        <v>0</v>
      </c>
      <c r="Q9" s="9">
        <v>0</v>
      </c>
      <c r="R9" s="9">
        <v>0</v>
      </c>
      <c r="S9" s="64"/>
      <c r="T9" s="64"/>
    </row>
    <row r="10" spans="1:26" ht="15" thickBot="1" x14ac:dyDescent="0.35">
      <c r="A10" s="378" t="s">
        <v>262</v>
      </c>
      <c r="B10" s="379"/>
      <c r="C10" s="377">
        <v>168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73</v>
      </c>
      <c r="N10" s="172">
        <v>30</v>
      </c>
      <c r="O10" s="172">
        <v>37</v>
      </c>
      <c r="P10" s="9">
        <v>0</v>
      </c>
      <c r="Q10" s="9">
        <v>0</v>
      </c>
      <c r="R10" s="9">
        <v>0</v>
      </c>
      <c r="S10" s="64"/>
      <c r="T10" s="64"/>
      <c r="U10" s="64"/>
      <c r="Y10" s="40"/>
      <c r="Z10" s="40"/>
    </row>
    <row r="11" spans="1:26" ht="15" thickBot="1" x14ac:dyDescent="0.35">
      <c r="A11" s="376" t="s">
        <v>19</v>
      </c>
      <c r="B11" s="376"/>
      <c r="C11" s="377">
        <v>264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181</v>
      </c>
      <c r="N11" s="9">
        <v>196</v>
      </c>
      <c r="O11" s="9">
        <v>235</v>
      </c>
      <c r="P11" s="9">
        <v>82</v>
      </c>
      <c r="Q11" s="9">
        <v>14</v>
      </c>
      <c r="R11" s="9">
        <v>0</v>
      </c>
      <c r="T11" s="64"/>
      <c r="U11" s="64"/>
      <c r="Y11" s="40"/>
      <c r="Z11" s="40"/>
    </row>
    <row r="12" spans="1:26" x14ac:dyDescent="0.3">
      <c r="A12" s="376" t="s">
        <v>20</v>
      </c>
      <c r="B12" s="376"/>
      <c r="C12" s="377">
        <v>170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119</v>
      </c>
      <c r="N12" s="9">
        <v>223</v>
      </c>
      <c r="O12" s="9">
        <v>10</v>
      </c>
      <c r="P12" s="9">
        <v>0</v>
      </c>
      <c r="Q12" s="9">
        <v>16</v>
      </c>
      <c r="R12" s="9">
        <v>5</v>
      </c>
    </row>
    <row r="13" spans="1:26" x14ac:dyDescent="0.3">
      <c r="A13" s="376" t="s">
        <v>21</v>
      </c>
      <c r="B13" s="376"/>
      <c r="C13" s="377">
        <v>266</v>
      </c>
      <c r="D13" s="377"/>
      <c r="E13" s="377">
        <v>4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121</v>
      </c>
      <c r="N13" s="9">
        <v>41</v>
      </c>
      <c r="O13" s="9">
        <v>0</v>
      </c>
      <c r="P13" s="9">
        <v>0</v>
      </c>
      <c r="Q13" s="9">
        <v>0</v>
      </c>
      <c r="R13" s="9">
        <v>0</v>
      </c>
    </row>
    <row r="14" spans="1:26" x14ac:dyDescent="0.3">
      <c r="A14" s="376" t="s">
        <v>22</v>
      </c>
      <c r="B14" s="376"/>
      <c r="C14" s="377">
        <v>269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201</v>
      </c>
      <c r="N14" s="9">
        <v>188</v>
      </c>
      <c r="O14" s="9">
        <v>28</v>
      </c>
      <c r="P14" s="9">
        <v>0</v>
      </c>
      <c r="Q14" s="9">
        <v>0</v>
      </c>
      <c r="R14" s="9">
        <v>0</v>
      </c>
      <c r="V14" s="64"/>
      <c r="W14" s="64"/>
    </row>
    <row r="15" spans="1:26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5252</v>
      </c>
      <c r="Q15" s="73">
        <v>7646</v>
      </c>
      <c r="R15" s="94">
        <v>3329</v>
      </c>
    </row>
    <row r="16" spans="1:26" ht="15" thickBot="1" x14ac:dyDescent="0.35">
      <c r="A16" s="370" t="s">
        <v>24</v>
      </c>
      <c r="B16" s="371"/>
      <c r="C16" s="372">
        <f>SUM(C4:D15)</f>
        <v>10745</v>
      </c>
      <c r="D16" s="373"/>
      <c r="E16" s="372">
        <f>SUM(E4:F15)</f>
        <v>164</v>
      </c>
      <c r="F16" s="373"/>
      <c r="G16" s="372">
        <f>SUM(G4:H15)</f>
        <v>43</v>
      </c>
      <c r="H16" s="373"/>
      <c r="I16" s="372">
        <f>SUM(I4:J15)</f>
        <v>11</v>
      </c>
      <c r="J16" s="373"/>
      <c r="K16" s="372">
        <f>SUM(K4:L15)</f>
        <v>1</v>
      </c>
      <c r="L16" s="373"/>
      <c r="M16" s="139">
        <f t="shared" ref="M16:R16" si="0">SUM(M4:M15)</f>
        <v>6187</v>
      </c>
      <c r="N16" s="139">
        <f t="shared" si="0"/>
        <v>2965</v>
      </c>
      <c r="O16" s="139">
        <f t="shared" si="0"/>
        <v>781</v>
      </c>
      <c r="P16" s="139">
        <f t="shared" si="0"/>
        <v>12473</v>
      </c>
      <c r="Q16" s="139">
        <f t="shared" si="0"/>
        <v>10296</v>
      </c>
      <c r="R16" s="139">
        <f t="shared" si="0"/>
        <v>8309</v>
      </c>
    </row>
    <row r="17" spans="1:18" x14ac:dyDescent="0.3">
      <c r="A17" s="368" t="s">
        <v>25</v>
      </c>
      <c r="B17" s="368"/>
      <c r="C17" s="369">
        <v>7820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4519</v>
      </c>
      <c r="N17" s="131">
        <v>1270</v>
      </c>
      <c r="O17" s="91">
        <v>237</v>
      </c>
      <c r="P17" s="7">
        <v>7137</v>
      </c>
      <c r="Q17" s="7">
        <v>2608</v>
      </c>
      <c r="R17" s="7">
        <v>4972</v>
      </c>
    </row>
    <row r="18" spans="1:18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</row>
    <row r="19" spans="1:18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8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367"/>
      <c r="P21" s="367"/>
    </row>
    <row r="22" spans="1:18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</row>
    <row r="23" spans="1:18" x14ac:dyDescent="0.3">
      <c r="A23" s="331" t="s">
        <v>11</v>
      </c>
      <c r="B23" s="332"/>
      <c r="C23" s="333" t="s">
        <v>474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Q23" s="64"/>
      <c r="R23" s="141"/>
    </row>
    <row r="24" spans="1:18" x14ac:dyDescent="0.3">
      <c r="A24" s="353" t="s">
        <v>15</v>
      </c>
      <c r="B24" s="354"/>
      <c r="C24" s="325">
        <v>625</v>
      </c>
      <c r="D24" s="325"/>
      <c r="E24" s="355" t="s">
        <v>273</v>
      </c>
      <c r="F24" s="355"/>
      <c r="G24" s="325">
        <v>0</v>
      </c>
      <c r="H24" s="325"/>
      <c r="I24" s="325">
        <v>14</v>
      </c>
      <c r="J24" s="325"/>
      <c r="K24" s="173">
        <v>0</v>
      </c>
      <c r="L24" s="175">
        <v>8</v>
      </c>
      <c r="M24" s="175">
        <v>2</v>
      </c>
      <c r="O24" s="64"/>
      <c r="P24" s="141"/>
    </row>
    <row r="25" spans="1:18" x14ac:dyDescent="0.3">
      <c r="A25" s="353" t="s">
        <v>16</v>
      </c>
      <c r="B25" s="354"/>
      <c r="C25" s="325">
        <v>325</v>
      </c>
      <c r="D25" s="325"/>
      <c r="E25" s="355" t="s">
        <v>468</v>
      </c>
      <c r="F25" s="355"/>
      <c r="G25" s="325">
        <v>0</v>
      </c>
      <c r="H25" s="325"/>
      <c r="I25" s="325">
        <v>50</v>
      </c>
      <c r="J25" s="325"/>
      <c r="K25" s="173">
        <v>0</v>
      </c>
      <c r="L25" s="175">
        <v>8</v>
      </c>
      <c r="M25" s="175">
        <v>2</v>
      </c>
      <c r="O25" s="64"/>
      <c r="P25" s="141"/>
    </row>
    <row r="26" spans="1:18" x14ac:dyDescent="0.3">
      <c r="A26" s="353" t="s">
        <v>17</v>
      </c>
      <c r="B26" s="354"/>
      <c r="C26" s="325">
        <v>123</v>
      </c>
      <c r="D26" s="325"/>
      <c r="E26" s="355" t="s">
        <v>268</v>
      </c>
      <c r="F26" s="355"/>
      <c r="G26" s="325">
        <v>9</v>
      </c>
      <c r="H26" s="325"/>
      <c r="I26" s="325">
        <v>40</v>
      </c>
      <c r="J26" s="325"/>
      <c r="K26" s="173">
        <v>0</v>
      </c>
      <c r="L26" s="175">
        <v>6</v>
      </c>
      <c r="M26" s="175">
        <v>2</v>
      </c>
    </row>
    <row r="27" spans="1:18" x14ac:dyDescent="0.3">
      <c r="A27" s="353" t="s">
        <v>18</v>
      </c>
      <c r="B27" s="354"/>
      <c r="C27" s="355" t="s">
        <v>452</v>
      </c>
      <c r="D27" s="355"/>
      <c r="E27" s="355" t="s">
        <v>253</v>
      </c>
      <c r="F27" s="355"/>
      <c r="G27" s="325">
        <v>0</v>
      </c>
      <c r="H27" s="325"/>
      <c r="I27" s="325">
        <v>12</v>
      </c>
      <c r="J27" s="325"/>
      <c r="K27" s="173">
        <v>4</v>
      </c>
      <c r="L27" s="175">
        <v>1</v>
      </c>
      <c r="M27" s="175">
        <v>0</v>
      </c>
      <c r="P27" s="64"/>
      <c r="Q27" s="64"/>
    </row>
    <row r="28" spans="1:18" x14ac:dyDescent="0.3">
      <c r="A28" s="353" t="s">
        <v>262</v>
      </c>
      <c r="B28" s="356"/>
      <c r="C28" s="355" t="s">
        <v>464</v>
      </c>
      <c r="D28" s="357"/>
      <c r="E28" s="355" t="s">
        <v>35</v>
      </c>
      <c r="F28" s="357"/>
      <c r="G28" s="325">
        <v>0</v>
      </c>
      <c r="H28" s="357"/>
      <c r="I28" s="325">
        <v>8</v>
      </c>
      <c r="J28" s="357"/>
      <c r="K28" s="173">
        <v>0</v>
      </c>
      <c r="L28" s="175">
        <v>10</v>
      </c>
      <c r="M28" s="175">
        <v>8</v>
      </c>
      <c r="P28" s="64"/>
      <c r="Q28" s="64"/>
    </row>
    <row r="29" spans="1:18" x14ac:dyDescent="0.3">
      <c r="A29" s="353" t="s">
        <v>19</v>
      </c>
      <c r="B29" s="354"/>
      <c r="C29" s="355" t="s">
        <v>341</v>
      </c>
      <c r="D29" s="355"/>
      <c r="E29" s="355" t="s">
        <v>253</v>
      </c>
      <c r="F29" s="355"/>
      <c r="G29" s="325">
        <v>0</v>
      </c>
      <c r="H29" s="325"/>
      <c r="I29" s="325">
        <v>21</v>
      </c>
      <c r="J29" s="325"/>
      <c r="K29" s="173">
        <v>3</v>
      </c>
      <c r="L29" s="175">
        <v>6</v>
      </c>
      <c r="M29" s="175">
        <v>9</v>
      </c>
    </row>
    <row r="30" spans="1:18" x14ac:dyDescent="0.3">
      <c r="A30" s="353" t="s">
        <v>20</v>
      </c>
      <c r="B30" s="354"/>
      <c r="C30" s="325">
        <v>180</v>
      </c>
      <c r="D30" s="325"/>
      <c r="E30" s="355" t="s">
        <v>35</v>
      </c>
      <c r="F30" s="355"/>
      <c r="G30" s="325">
        <v>0</v>
      </c>
      <c r="H30" s="325"/>
      <c r="I30" s="325">
        <v>0</v>
      </c>
      <c r="J30" s="325"/>
      <c r="K30" s="173">
        <v>0</v>
      </c>
      <c r="L30" s="175">
        <v>0</v>
      </c>
      <c r="M30" s="175">
        <v>0</v>
      </c>
    </row>
    <row r="31" spans="1:18" x14ac:dyDescent="0.3">
      <c r="A31" s="353" t="s">
        <v>21</v>
      </c>
      <c r="B31" s="354"/>
      <c r="C31" s="355" t="s">
        <v>465</v>
      </c>
      <c r="D31" s="355"/>
      <c r="E31" s="355" t="s">
        <v>466</v>
      </c>
      <c r="F31" s="355"/>
      <c r="G31" s="325">
        <v>0</v>
      </c>
      <c r="H31" s="325"/>
      <c r="I31" s="325">
        <v>10</v>
      </c>
      <c r="J31" s="325"/>
      <c r="K31" s="173">
        <v>0</v>
      </c>
      <c r="L31" s="175">
        <v>10</v>
      </c>
      <c r="M31" s="175">
        <v>0</v>
      </c>
    </row>
    <row r="32" spans="1:18" x14ac:dyDescent="0.3">
      <c r="A32" s="353" t="s">
        <v>22</v>
      </c>
      <c r="B32" s="354"/>
      <c r="C32" s="325">
        <v>0</v>
      </c>
      <c r="D32" s="325"/>
      <c r="E32" s="355" t="s">
        <v>35</v>
      </c>
      <c r="F32" s="355"/>
      <c r="G32" s="325">
        <v>0</v>
      </c>
      <c r="H32" s="325"/>
      <c r="I32" s="325">
        <v>0</v>
      </c>
      <c r="J32" s="325"/>
      <c r="K32" s="173">
        <v>0</v>
      </c>
      <c r="L32" s="175">
        <v>0</v>
      </c>
      <c r="M32" s="175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474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321" t="s">
        <v>15</v>
      </c>
      <c r="B38" s="322"/>
      <c r="C38" s="323">
        <v>22</v>
      </c>
      <c r="D38" s="324"/>
      <c r="E38" s="326" t="s">
        <v>414</v>
      </c>
      <c r="F38" s="327"/>
      <c r="G38" s="323" t="s">
        <v>40</v>
      </c>
      <c r="H38" s="324"/>
      <c r="I38" s="323">
        <v>0</v>
      </c>
      <c r="J38" s="324"/>
      <c r="K38" s="232">
        <v>1</v>
      </c>
      <c r="L38" s="233" t="s">
        <v>467</v>
      </c>
      <c r="M38" s="233" t="s">
        <v>44</v>
      </c>
    </row>
    <row r="39" spans="1:13" x14ac:dyDescent="0.3">
      <c r="A39" s="321" t="s">
        <v>16</v>
      </c>
      <c r="B39" s="322"/>
      <c r="C39" s="323">
        <v>0</v>
      </c>
      <c r="D39" s="324"/>
      <c r="E39" s="326" t="s">
        <v>469</v>
      </c>
      <c r="F39" s="327"/>
      <c r="G39" s="323" t="s">
        <v>43</v>
      </c>
      <c r="H39" s="324"/>
      <c r="I39" s="323">
        <v>0</v>
      </c>
      <c r="J39" s="324"/>
      <c r="K39" s="173">
        <v>0</v>
      </c>
      <c r="L39" s="175">
        <v>0</v>
      </c>
      <c r="M39" s="175">
        <v>0</v>
      </c>
    </row>
    <row r="40" spans="1:13" x14ac:dyDescent="0.3">
      <c r="A40" s="321" t="s">
        <v>17</v>
      </c>
      <c r="B40" s="322"/>
      <c r="C40" s="323" t="s">
        <v>233</v>
      </c>
      <c r="D40" s="324"/>
      <c r="E40" s="326" t="s">
        <v>471</v>
      </c>
      <c r="F40" s="327"/>
      <c r="G40" s="323" t="s">
        <v>174</v>
      </c>
      <c r="H40" s="324"/>
      <c r="I40" s="323" t="s">
        <v>38</v>
      </c>
      <c r="J40" s="324"/>
      <c r="K40" s="173" t="s">
        <v>45</v>
      </c>
      <c r="L40" s="175" t="s">
        <v>42</v>
      </c>
      <c r="M40" s="175" t="s">
        <v>204</v>
      </c>
    </row>
    <row r="41" spans="1:13" x14ac:dyDescent="0.3">
      <c r="A41" s="321" t="s">
        <v>18</v>
      </c>
      <c r="B41" s="322"/>
      <c r="C41" s="323">
        <v>0</v>
      </c>
      <c r="D41" s="324"/>
      <c r="E41" s="326" t="s">
        <v>470</v>
      </c>
      <c r="F41" s="327"/>
      <c r="G41" s="323" t="s">
        <v>139</v>
      </c>
      <c r="H41" s="324"/>
      <c r="I41" s="323">
        <v>0</v>
      </c>
      <c r="J41" s="324"/>
      <c r="K41" s="173">
        <v>0</v>
      </c>
      <c r="L41" s="175">
        <v>0</v>
      </c>
      <c r="M41" s="175">
        <v>0</v>
      </c>
    </row>
    <row r="42" spans="1:13" x14ac:dyDescent="0.3">
      <c r="A42" s="321" t="s">
        <v>262</v>
      </c>
      <c r="B42" s="328"/>
      <c r="C42" s="323">
        <v>0</v>
      </c>
      <c r="D42" s="329"/>
      <c r="E42" s="326" t="s">
        <v>440</v>
      </c>
      <c r="F42" s="330"/>
      <c r="G42" s="323">
        <v>7</v>
      </c>
      <c r="H42" s="329"/>
      <c r="I42" s="323">
        <v>0</v>
      </c>
      <c r="J42" s="329"/>
      <c r="K42" s="173">
        <v>0</v>
      </c>
      <c r="L42" s="175">
        <v>0</v>
      </c>
      <c r="M42" s="175">
        <v>0</v>
      </c>
    </row>
    <row r="43" spans="1:13" x14ac:dyDescent="0.3">
      <c r="A43" s="321" t="s">
        <v>19</v>
      </c>
      <c r="B43" s="322"/>
      <c r="C43" s="323" t="s">
        <v>426</v>
      </c>
      <c r="D43" s="324"/>
      <c r="E43" s="326" t="s">
        <v>445</v>
      </c>
      <c r="F43" s="327"/>
      <c r="G43" s="323">
        <v>0</v>
      </c>
      <c r="H43" s="324"/>
      <c r="I43" s="323" t="s">
        <v>293</v>
      </c>
      <c r="J43" s="324"/>
      <c r="K43" s="173" t="s">
        <v>99</v>
      </c>
      <c r="L43" s="175">
        <v>0</v>
      </c>
      <c r="M43" s="175">
        <v>0</v>
      </c>
    </row>
    <row r="44" spans="1:13" x14ac:dyDescent="0.3">
      <c r="A44" s="321" t="s">
        <v>20</v>
      </c>
      <c r="B44" s="322"/>
      <c r="C44" s="323">
        <v>0</v>
      </c>
      <c r="D44" s="324"/>
      <c r="E44" s="323" t="s">
        <v>472</v>
      </c>
      <c r="F44" s="324"/>
      <c r="G44" s="323" t="s">
        <v>473</v>
      </c>
      <c r="H44" s="324"/>
      <c r="I44" s="323">
        <v>0</v>
      </c>
      <c r="J44" s="324"/>
      <c r="K44" s="173">
        <v>0</v>
      </c>
      <c r="L44" s="175">
        <v>0</v>
      </c>
      <c r="M44" s="175">
        <v>0</v>
      </c>
    </row>
    <row r="45" spans="1:13" x14ac:dyDescent="0.3">
      <c r="A45" s="321" t="s">
        <v>21</v>
      </c>
      <c r="B45" s="322"/>
      <c r="C45" s="323" t="s">
        <v>99</v>
      </c>
      <c r="D45" s="324"/>
      <c r="E45" s="325" t="s">
        <v>406</v>
      </c>
      <c r="F45" s="325"/>
      <c r="G45" s="325">
        <v>0</v>
      </c>
      <c r="H45" s="325"/>
      <c r="I45" s="325">
        <v>0</v>
      </c>
      <c r="J45" s="325"/>
      <c r="K45" s="173">
        <v>0</v>
      </c>
      <c r="L45" s="175" t="s">
        <v>280</v>
      </c>
      <c r="M45" s="175" t="s">
        <v>40</v>
      </c>
    </row>
    <row r="46" spans="1:13" x14ac:dyDescent="0.3">
      <c r="A46" s="321" t="s">
        <v>22</v>
      </c>
      <c r="B46" s="322"/>
      <c r="C46" s="323">
        <v>0</v>
      </c>
      <c r="D46" s="324"/>
      <c r="E46" s="326" t="s">
        <v>454</v>
      </c>
      <c r="F46" s="327"/>
      <c r="G46" s="323">
        <v>0</v>
      </c>
      <c r="H46" s="324"/>
      <c r="I46" s="323" t="s">
        <v>99</v>
      </c>
      <c r="J46" s="324"/>
      <c r="K46" s="173" t="s">
        <v>100</v>
      </c>
      <c r="L46" s="175">
        <v>0</v>
      </c>
      <c r="M46" s="175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317" t="s">
        <v>56</v>
      </c>
      <c r="B51" s="318"/>
      <c r="C51" s="291" t="s">
        <v>441</v>
      </c>
      <c r="D51" s="292"/>
      <c r="E51" s="291" t="s">
        <v>456</v>
      </c>
      <c r="F51" s="292"/>
      <c r="G51" s="291" t="s">
        <v>463</v>
      </c>
      <c r="H51" s="292"/>
      <c r="I51" s="319" t="s">
        <v>474</v>
      </c>
      <c r="J51" s="320"/>
    </row>
    <row r="52" spans="1:10" x14ac:dyDescent="0.3">
      <c r="A52" s="304" t="s">
        <v>59</v>
      </c>
      <c r="B52" s="308"/>
      <c r="C52" s="309">
        <v>8260</v>
      </c>
      <c r="D52" s="310"/>
      <c r="E52" s="309">
        <v>8216</v>
      </c>
      <c r="F52" s="310"/>
      <c r="G52" s="309">
        <v>8191</v>
      </c>
      <c r="H52" s="310"/>
      <c r="I52" s="311"/>
      <c r="J52" s="312"/>
    </row>
    <row r="53" spans="1:10" ht="15" customHeight="1" x14ac:dyDescent="0.3">
      <c r="A53" s="304" t="s">
        <v>60</v>
      </c>
      <c r="B53" s="308"/>
      <c r="C53" s="309">
        <v>13463</v>
      </c>
      <c r="D53" s="310"/>
      <c r="E53" s="309">
        <v>13472</v>
      </c>
      <c r="F53" s="310"/>
      <c r="G53" s="309">
        <v>13472</v>
      </c>
      <c r="H53" s="310"/>
      <c r="I53" s="311"/>
      <c r="J53" s="312"/>
    </row>
    <row r="54" spans="1:10" x14ac:dyDescent="0.3">
      <c r="A54" s="304" t="s">
        <v>61</v>
      </c>
      <c r="B54" s="308"/>
      <c r="C54" s="309">
        <v>107896</v>
      </c>
      <c r="D54" s="310"/>
      <c r="E54" s="309">
        <v>107913</v>
      </c>
      <c r="F54" s="310"/>
      <c r="G54" s="309">
        <v>108049</v>
      </c>
      <c r="H54" s="310"/>
      <c r="I54" s="311"/>
      <c r="J54" s="312"/>
    </row>
    <row r="55" spans="1:10" x14ac:dyDescent="0.3">
      <c r="A55" s="304" t="s">
        <v>62</v>
      </c>
      <c r="B55" s="308"/>
      <c r="C55" s="309">
        <v>208</v>
      </c>
      <c r="D55" s="310"/>
      <c r="E55" s="309">
        <v>208</v>
      </c>
      <c r="F55" s="310"/>
      <c r="G55" s="309">
        <v>208</v>
      </c>
      <c r="H55" s="310"/>
      <c r="I55" s="311"/>
      <c r="J55" s="312"/>
    </row>
    <row r="56" spans="1:10" x14ac:dyDescent="0.3">
      <c r="A56" s="304" t="s">
        <v>63</v>
      </c>
      <c r="B56" s="308"/>
      <c r="C56" s="301">
        <v>48377</v>
      </c>
      <c r="D56" s="302"/>
      <c r="E56" s="301">
        <v>48408</v>
      </c>
      <c r="F56" s="302"/>
      <c r="G56" s="301">
        <v>48393</v>
      </c>
      <c r="H56" s="302"/>
      <c r="I56" s="303"/>
      <c r="J56" s="283"/>
    </row>
    <row r="57" spans="1:10" x14ac:dyDescent="0.3">
      <c r="A57" s="304" t="s">
        <v>64</v>
      </c>
      <c r="B57" s="308"/>
      <c r="C57" s="301">
        <v>5884</v>
      </c>
      <c r="D57" s="302"/>
      <c r="E57" s="301">
        <v>5907</v>
      </c>
      <c r="F57" s="302"/>
      <c r="G57" s="301">
        <v>5904</v>
      </c>
      <c r="H57" s="302"/>
      <c r="I57" s="303"/>
      <c r="J57" s="283"/>
    </row>
    <row r="58" spans="1:10" x14ac:dyDescent="0.3">
      <c r="A58" s="304" t="s">
        <v>65</v>
      </c>
      <c r="B58" s="308"/>
      <c r="C58" s="301">
        <v>26099</v>
      </c>
      <c r="D58" s="302"/>
      <c r="E58" s="301">
        <v>26186</v>
      </c>
      <c r="F58" s="302"/>
      <c r="G58" s="301">
        <v>26153</v>
      </c>
      <c r="H58" s="302"/>
      <c r="I58" s="303"/>
      <c r="J58" s="283"/>
    </row>
    <row r="59" spans="1:10" x14ac:dyDescent="0.3">
      <c r="A59" s="304" t="s">
        <v>66</v>
      </c>
      <c r="B59" s="308"/>
      <c r="C59" s="301">
        <v>4503</v>
      </c>
      <c r="D59" s="302"/>
      <c r="E59" s="301">
        <v>4506</v>
      </c>
      <c r="F59" s="302"/>
      <c r="G59" s="301">
        <v>4506</v>
      </c>
      <c r="H59" s="302"/>
      <c r="I59" s="303"/>
      <c r="J59" s="283"/>
    </row>
    <row r="60" spans="1:10" x14ac:dyDescent="0.3">
      <c r="A60" s="234"/>
      <c r="B60" s="235" t="s">
        <v>251</v>
      </c>
      <c r="C60" s="301">
        <v>4710</v>
      </c>
      <c r="D60" s="302"/>
      <c r="E60" s="301">
        <v>4993</v>
      </c>
      <c r="F60" s="302"/>
      <c r="G60" s="301">
        <v>5206</v>
      </c>
      <c r="H60" s="302"/>
      <c r="I60" s="303"/>
      <c r="J60" s="283"/>
    </row>
    <row r="61" spans="1:10" x14ac:dyDescent="0.3">
      <c r="A61" s="304" t="s">
        <v>67</v>
      </c>
      <c r="B61" s="305"/>
      <c r="C61" s="306">
        <f>SUM(C52:C60)</f>
        <v>219400</v>
      </c>
      <c r="D61" s="306"/>
      <c r="E61" s="306">
        <v>215133</v>
      </c>
      <c r="F61" s="306"/>
      <c r="G61" s="306">
        <f>SUM(G52:G60)</f>
        <v>220082</v>
      </c>
      <c r="H61" s="306"/>
      <c r="I61" s="307"/>
      <c r="J61" s="307"/>
    </row>
    <row r="62" spans="1:10" x14ac:dyDescent="0.3">
      <c r="A62" s="1"/>
      <c r="B62" s="1"/>
      <c r="C62" s="1"/>
      <c r="D62" s="1"/>
      <c r="E62" s="1"/>
      <c r="F62" s="1"/>
      <c r="G62" s="229"/>
      <c r="H62" s="229"/>
      <c r="I62" s="1"/>
      <c r="J62" s="1"/>
    </row>
    <row r="63" spans="1:10" ht="15" customHeight="1" x14ac:dyDescent="0.3">
      <c r="A63" s="285" t="s">
        <v>68</v>
      </c>
      <c r="B63" s="286"/>
      <c r="C63" s="291" t="s">
        <v>441</v>
      </c>
      <c r="D63" s="292"/>
      <c r="E63" s="291" t="s">
        <v>456</v>
      </c>
      <c r="F63" s="292"/>
      <c r="G63" s="291" t="s">
        <v>463</v>
      </c>
      <c r="H63" s="292"/>
      <c r="I63" s="291" t="s">
        <v>474</v>
      </c>
      <c r="J63" s="292"/>
    </row>
    <row r="64" spans="1:10" x14ac:dyDescent="0.3">
      <c r="A64" s="287"/>
      <c r="B64" s="288"/>
      <c r="C64" s="293">
        <v>144936</v>
      </c>
      <c r="D64" s="294"/>
      <c r="E64" s="293">
        <v>145050</v>
      </c>
      <c r="F64" s="294"/>
      <c r="G64" s="293">
        <v>145128</v>
      </c>
      <c r="H64" s="294"/>
      <c r="I64" s="297"/>
      <c r="J64" s="298"/>
    </row>
    <row r="65" spans="1:10" x14ac:dyDescent="0.3">
      <c r="A65" s="289"/>
      <c r="B65" s="290"/>
      <c r="C65" s="295"/>
      <c r="D65" s="296"/>
      <c r="E65" s="295"/>
      <c r="F65" s="296"/>
      <c r="G65" s="295"/>
      <c r="H65" s="296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333</v>
      </c>
      <c r="D69" s="283"/>
      <c r="E69" s="282" t="s">
        <v>352</v>
      </c>
      <c r="F69" s="284"/>
      <c r="G69" s="282" t="s">
        <v>409</v>
      </c>
      <c r="H69" s="284"/>
      <c r="I69" s="282" t="s">
        <v>455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36751</v>
      </c>
      <c r="D72" s="215"/>
      <c r="E72" s="265">
        <v>37120</v>
      </c>
      <c r="F72" s="266"/>
      <c r="G72" s="265">
        <v>37446</v>
      </c>
      <c r="H72" s="266"/>
      <c r="I72" s="265">
        <v>37809</v>
      </c>
      <c r="J72" s="266"/>
    </row>
    <row r="73" spans="1:10" x14ac:dyDescent="0.3">
      <c r="A73" s="269" t="s">
        <v>16</v>
      </c>
      <c r="B73" s="270"/>
      <c r="C73" s="214">
        <v>8267</v>
      </c>
      <c r="D73" s="215"/>
      <c r="E73" s="265">
        <v>8384</v>
      </c>
      <c r="F73" s="266"/>
      <c r="G73" s="265">
        <v>8441</v>
      </c>
      <c r="H73" s="266"/>
      <c r="I73" s="265">
        <v>8538</v>
      </c>
      <c r="J73" s="266"/>
    </row>
    <row r="74" spans="1:10" x14ac:dyDescent="0.3">
      <c r="A74" s="267" t="s">
        <v>17</v>
      </c>
      <c r="B74" s="268"/>
      <c r="C74" s="214">
        <v>7311</v>
      </c>
      <c r="D74" s="215"/>
      <c r="E74" s="265">
        <v>7423</v>
      </c>
      <c r="F74" s="266"/>
      <c r="G74" s="265">
        <v>7498</v>
      </c>
      <c r="H74" s="266"/>
      <c r="I74" s="265">
        <v>7606</v>
      </c>
      <c r="J74" s="266"/>
    </row>
    <row r="75" spans="1:10" x14ac:dyDescent="0.3">
      <c r="A75" s="267" t="s">
        <v>75</v>
      </c>
      <c r="B75" s="268"/>
      <c r="C75" s="214">
        <v>2547</v>
      </c>
      <c r="D75" s="215"/>
      <c r="E75" s="265">
        <v>2597</v>
      </c>
      <c r="F75" s="266"/>
      <c r="G75" s="265">
        <v>2631</v>
      </c>
      <c r="H75" s="266"/>
      <c r="I75" s="265">
        <v>2680</v>
      </c>
      <c r="J75" s="266"/>
    </row>
    <row r="76" spans="1:10" x14ac:dyDescent="0.3">
      <c r="A76" s="269" t="s">
        <v>18</v>
      </c>
      <c r="B76" s="270"/>
      <c r="C76" s="214">
        <v>6380</v>
      </c>
      <c r="D76" s="215"/>
      <c r="E76" s="265">
        <v>6522</v>
      </c>
      <c r="F76" s="266"/>
      <c r="G76" s="265">
        <v>6618</v>
      </c>
      <c r="H76" s="266"/>
      <c r="I76" s="265">
        <v>6744</v>
      </c>
      <c r="J76" s="266"/>
    </row>
    <row r="77" spans="1:10" x14ac:dyDescent="0.3">
      <c r="A77" s="267" t="s">
        <v>19</v>
      </c>
      <c r="B77" s="268"/>
      <c r="C77" s="214">
        <v>5434</v>
      </c>
      <c r="D77" s="215"/>
      <c r="E77" s="265">
        <v>5465</v>
      </c>
      <c r="F77" s="266"/>
      <c r="G77" s="265">
        <v>5474</v>
      </c>
      <c r="H77" s="266"/>
      <c r="I77" s="265">
        <v>5446</v>
      </c>
      <c r="J77" s="266"/>
    </row>
    <row r="78" spans="1:10" x14ac:dyDescent="0.3">
      <c r="A78" s="269" t="s">
        <v>20</v>
      </c>
      <c r="B78" s="270"/>
      <c r="C78" s="214">
        <v>9704</v>
      </c>
      <c r="D78" s="215"/>
      <c r="E78" s="265">
        <v>9856</v>
      </c>
      <c r="F78" s="266"/>
      <c r="G78" s="265">
        <v>10014</v>
      </c>
      <c r="H78" s="266"/>
      <c r="I78" s="265">
        <v>10139</v>
      </c>
      <c r="J78" s="266"/>
    </row>
    <row r="79" spans="1:10" x14ac:dyDescent="0.3">
      <c r="A79" s="267" t="s">
        <v>21</v>
      </c>
      <c r="B79" s="268"/>
      <c r="C79" s="214">
        <v>1858</v>
      </c>
      <c r="D79" s="215"/>
      <c r="E79" s="265">
        <v>1876</v>
      </c>
      <c r="F79" s="266"/>
      <c r="G79" s="265">
        <v>1879</v>
      </c>
      <c r="H79" s="266"/>
      <c r="I79" s="265">
        <v>1895</v>
      </c>
      <c r="J79" s="266"/>
    </row>
    <row r="80" spans="1:10" x14ac:dyDescent="0.3">
      <c r="A80" s="269" t="s">
        <v>22</v>
      </c>
      <c r="B80" s="270"/>
      <c r="C80" s="214">
        <v>7442</v>
      </c>
      <c r="D80" s="215"/>
      <c r="E80" s="265">
        <v>7584</v>
      </c>
      <c r="F80" s="266"/>
      <c r="G80" s="265">
        <v>7657</v>
      </c>
      <c r="H80" s="266"/>
      <c r="I80" s="265">
        <v>7716</v>
      </c>
      <c r="J80" s="266"/>
    </row>
    <row r="81" spans="1:10" x14ac:dyDescent="0.3">
      <c r="A81" s="263" t="s">
        <v>76</v>
      </c>
      <c r="B81" s="264"/>
      <c r="C81" s="214">
        <f>SUM(C72:C80)</f>
        <v>85694</v>
      </c>
      <c r="D81" s="215"/>
      <c r="E81" s="265">
        <f>SUM(E72:E80)</f>
        <v>86827</v>
      </c>
      <c r="F81" s="266"/>
      <c r="G81" s="265">
        <v>87658</v>
      </c>
      <c r="H81" s="266"/>
      <c r="I81" s="265">
        <f>SUM(I72:I80)</f>
        <v>88573</v>
      </c>
      <c r="J81" s="266"/>
    </row>
  </sheetData>
  <mergeCells count="320"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5:B5"/>
    <mergeCell ref="C5:D5"/>
    <mergeCell ref="E5:F5"/>
    <mergeCell ref="G5:H5"/>
    <mergeCell ref="I5:J5"/>
    <mergeCell ref="K5:L5"/>
    <mergeCell ref="A3:B3"/>
    <mergeCell ref="C3:Q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O21:P21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3:B73"/>
    <mergeCell ref="E73:F73"/>
    <mergeCell ref="G73:H73"/>
    <mergeCell ref="I73:J73"/>
    <mergeCell ref="A74:B74"/>
    <mergeCell ref="E74:F74"/>
    <mergeCell ref="G74:H74"/>
    <mergeCell ref="I74:J74"/>
    <mergeCell ref="A70:B71"/>
    <mergeCell ref="G70:H71"/>
    <mergeCell ref="I70:J71"/>
    <mergeCell ref="A72:B72"/>
    <mergeCell ref="E72:F72"/>
    <mergeCell ref="G72:H72"/>
    <mergeCell ref="I72:J72"/>
    <mergeCell ref="A77:B77"/>
    <mergeCell ref="E77:F77"/>
    <mergeCell ref="G77:H77"/>
    <mergeCell ref="I77:J77"/>
    <mergeCell ref="A78:B78"/>
    <mergeCell ref="E78:F78"/>
    <mergeCell ref="G78:H78"/>
    <mergeCell ref="I78:J78"/>
    <mergeCell ref="A75:B75"/>
    <mergeCell ref="E75:F75"/>
    <mergeCell ref="G75:H75"/>
    <mergeCell ref="I75:J75"/>
    <mergeCell ref="A76:B76"/>
    <mergeCell ref="E76:F76"/>
    <mergeCell ref="G76:H76"/>
    <mergeCell ref="I76:J76"/>
    <mergeCell ref="A81:B81"/>
    <mergeCell ref="E81:F81"/>
    <mergeCell ref="G81:H81"/>
    <mergeCell ref="I81:J81"/>
    <mergeCell ref="A79:B79"/>
    <mergeCell ref="E79:F79"/>
    <mergeCell ref="G79:H79"/>
    <mergeCell ref="I79:J79"/>
    <mergeCell ref="A80:B80"/>
    <mergeCell ref="E80:F80"/>
    <mergeCell ref="G80:H80"/>
    <mergeCell ref="I80:J80"/>
  </mergeCells>
  <phoneticPr fontId="3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E9A7-C428-4F63-9EC4-080A4934EC02}">
  <dimension ref="A1:Z81"/>
  <sheetViews>
    <sheetView topLeftCell="A24" workbookViewId="0">
      <selection activeCell="E41" sqref="E41:F41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6640625" bestFit="1" customWidth="1"/>
    <col min="20" max="20" width="18.6640625" bestFit="1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474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95"/>
      <c r="S3" s="62"/>
      <c r="T3" s="64"/>
    </row>
    <row r="4" spans="1:26" x14ac:dyDescent="0.3">
      <c r="A4" s="381" t="s">
        <v>13</v>
      </c>
      <c r="B4" s="381"/>
      <c r="C4" s="386">
        <v>7820</v>
      </c>
      <c r="D4" s="386"/>
      <c r="E4" s="387">
        <v>158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4438</v>
      </c>
      <c r="N4" s="6">
        <v>1070</v>
      </c>
      <c r="O4" s="6">
        <v>217</v>
      </c>
      <c r="P4" s="7">
        <v>6997</v>
      </c>
      <c r="Q4" s="7">
        <v>7596</v>
      </c>
      <c r="R4" s="7">
        <v>5016</v>
      </c>
      <c r="S4" s="64"/>
      <c r="T4" s="64"/>
    </row>
    <row r="5" spans="1:26" ht="15.75" customHeight="1" x14ac:dyDescent="0.3">
      <c r="A5" s="381" t="s">
        <v>14</v>
      </c>
      <c r="B5" s="381"/>
      <c r="C5" s="382">
        <v>747</v>
      </c>
      <c r="D5" s="382"/>
      <c r="E5" s="382">
        <f>143+29</f>
        <v>172</v>
      </c>
      <c r="F5" s="382"/>
      <c r="G5" s="382">
        <v>3</v>
      </c>
      <c r="H5" s="382"/>
      <c r="I5" s="382">
        <v>92</v>
      </c>
      <c r="J5" s="382"/>
      <c r="K5" s="382">
        <v>23</v>
      </c>
      <c r="L5" s="382"/>
      <c r="M5" s="135">
        <v>0</v>
      </c>
      <c r="N5" s="86">
        <f>35+5</f>
        <v>40</v>
      </c>
      <c r="O5" s="86">
        <v>0</v>
      </c>
      <c r="P5" s="86">
        <v>0</v>
      </c>
      <c r="Q5" s="86">
        <v>0</v>
      </c>
      <c r="R5" s="86">
        <v>0</v>
      </c>
      <c r="S5" s="64"/>
      <c r="T5" s="64"/>
    </row>
    <row r="6" spans="1:26" x14ac:dyDescent="0.3">
      <c r="A6" s="376" t="s">
        <v>15</v>
      </c>
      <c r="B6" s="376"/>
      <c r="C6" s="377">
        <f>236+383</f>
        <v>619</v>
      </c>
      <c r="D6" s="377"/>
      <c r="E6" s="377">
        <v>2</v>
      </c>
      <c r="F6" s="377"/>
      <c r="G6" s="377">
        <v>42</v>
      </c>
      <c r="H6" s="377"/>
      <c r="I6" s="377">
        <v>4</v>
      </c>
      <c r="J6" s="377"/>
      <c r="K6" s="377">
        <v>0</v>
      </c>
      <c r="L6" s="377"/>
      <c r="M6" s="95">
        <v>336</v>
      </c>
      <c r="N6" s="9">
        <v>192</v>
      </c>
      <c r="O6" s="9">
        <v>124</v>
      </c>
      <c r="P6" s="9">
        <v>0</v>
      </c>
      <c r="Q6" s="9">
        <v>0</v>
      </c>
      <c r="R6" s="9">
        <v>0</v>
      </c>
      <c r="S6" s="64"/>
      <c r="T6" s="64"/>
    </row>
    <row r="7" spans="1:26" x14ac:dyDescent="0.3">
      <c r="A7" s="376" t="s">
        <v>16</v>
      </c>
      <c r="B7" s="376"/>
      <c r="C7" s="377">
        <v>259</v>
      </c>
      <c r="D7" s="377"/>
      <c r="E7" s="377">
        <v>0</v>
      </c>
      <c r="F7" s="377"/>
      <c r="G7" s="377">
        <v>0</v>
      </c>
      <c r="H7" s="377"/>
      <c r="I7" s="377">
        <v>0</v>
      </c>
      <c r="J7" s="377"/>
      <c r="K7" s="377">
        <v>0</v>
      </c>
      <c r="L7" s="377"/>
      <c r="M7" s="95">
        <v>200</v>
      </c>
      <c r="N7" s="9">
        <v>229</v>
      </c>
      <c r="O7" s="9">
        <v>25</v>
      </c>
      <c r="P7" s="9">
        <v>0</v>
      </c>
      <c r="Q7" s="9">
        <v>0</v>
      </c>
      <c r="R7" s="9">
        <v>2</v>
      </c>
      <c r="S7" s="64"/>
      <c r="T7" s="64"/>
    </row>
    <row r="8" spans="1:26" x14ac:dyDescent="0.3">
      <c r="A8" s="376" t="s">
        <v>17</v>
      </c>
      <c r="B8" s="376"/>
      <c r="C8" s="377">
        <v>350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261</v>
      </c>
      <c r="N8" s="9">
        <v>312</v>
      </c>
      <c r="O8" s="9">
        <v>0</v>
      </c>
      <c r="P8" s="9">
        <v>2</v>
      </c>
      <c r="Q8" s="9">
        <v>12</v>
      </c>
      <c r="R8" s="9">
        <v>1</v>
      </c>
      <c r="S8" s="64"/>
      <c r="T8" s="64"/>
    </row>
    <row r="9" spans="1:26" x14ac:dyDescent="0.3">
      <c r="A9" s="376" t="s">
        <v>18</v>
      </c>
      <c r="B9" s="376"/>
      <c r="C9" s="377">
        <v>150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110</v>
      </c>
      <c r="N9" s="9">
        <v>90</v>
      </c>
      <c r="O9" s="9">
        <v>70</v>
      </c>
      <c r="P9" s="9">
        <v>0</v>
      </c>
      <c r="Q9" s="9">
        <v>0</v>
      </c>
      <c r="R9" s="9">
        <v>0</v>
      </c>
      <c r="S9" s="64"/>
      <c r="T9" s="64"/>
    </row>
    <row r="10" spans="1:26" x14ac:dyDescent="0.3">
      <c r="A10" s="378" t="s">
        <v>262</v>
      </c>
      <c r="B10" s="379"/>
      <c r="C10" s="377">
        <v>166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162</v>
      </c>
      <c r="N10" s="172">
        <v>168</v>
      </c>
      <c r="O10" s="172">
        <v>37</v>
      </c>
      <c r="P10" s="9">
        <v>0</v>
      </c>
      <c r="Q10" s="9">
        <v>0</v>
      </c>
      <c r="R10" s="9">
        <v>0</v>
      </c>
      <c r="S10" s="64"/>
      <c r="T10" s="64"/>
      <c r="U10" s="64"/>
      <c r="Y10" s="64"/>
      <c r="Z10" s="64"/>
    </row>
    <row r="11" spans="1:26" x14ac:dyDescent="0.3">
      <c r="A11" s="376" t="s">
        <v>19</v>
      </c>
      <c r="B11" s="376"/>
      <c r="C11" s="377">
        <v>261</v>
      </c>
      <c r="D11" s="377"/>
      <c r="E11" s="377">
        <v>0</v>
      </c>
      <c r="F11" s="377"/>
      <c r="G11" s="377">
        <v>0</v>
      </c>
      <c r="H11" s="377"/>
      <c r="I11" s="377">
        <v>0</v>
      </c>
      <c r="J11" s="377"/>
      <c r="K11" s="377">
        <v>0</v>
      </c>
      <c r="L11" s="377"/>
      <c r="M11" s="95">
        <v>172</v>
      </c>
      <c r="N11" s="9">
        <v>191</v>
      </c>
      <c r="O11" s="9">
        <v>232</v>
      </c>
      <c r="P11" s="9">
        <v>82</v>
      </c>
      <c r="Q11" s="9">
        <v>14</v>
      </c>
      <c r="R11" s="9">
        <v>0</v>
      </c>
      <c r="T11" s="64"/>
      <c r="U11" s="64"/>
      <c r="Y11" s="64"/>
      <c r="Z11" s="64"/>
    </row>
    <row r="12" spans="1:26" x14ac:dyDescent="0.3">
      <c r="A12" s="376" t="s">
        <v>20</v>
      </c>
      <c r="B12" s="376"/>
      <c r="C12" s="377">
        <v>150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82</v>
      </c>
      <c r="N12" s="9">
        <v>180</v>
      </c>
      <c r="O12" s="9">
        <v>10</v>
      </c>
      <c r="P12" s="9">
        <v>0</v>
      </c>
      <c r="Q12" s="9">
        <v>16</v>
      </c>
      <c r="R12" s="9">
        <v>5</v>
      </c>
    </row>
    <row r="13" spans="1:26" x14ac:dyDescent="0.3">
      <c r="A13" s="376" t="s">
        <v>21</v>
      </c>
      <c r="B13" s="376"/>
      <c r="C13" s="377">
        <v>259</v>
      </c>
      <c r="D13" s="377"/>
      <c r="E13" s="377">
        <v>4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120</v>
      </c>
      <c r="N13" s="9">
        <v>106</v>
      </c>
      <c r="O13" s="9">
        <v>39</v>
      </c>
      <c r="P13" s="9">
        <v>0</v>
      </c>
      <c r="Q13" s="9">
        <v>0</v>
      </c>
      <c r="R13" s="9">
        <v>0</v>
      </c>
    </row>
    <row r="14" spans="1:26" x14ac:dyDescent="0.3">
      <c r="A14" s="376" t="s">
        <v>22</v>
      </c>
      <c r="B14" s="376"/>
      <c r="C14" s="377">
        <v>229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380</v>
      </c>
      <c r="N14" s="9">
        <v>405</v>
      </c>
      <c r="O14" s="9">
        <v>50</v>
      </c>
      <c r="P14" s="9">
        <v>0</v>
      </c>
      <c r="Q14" s="9">
        <v>0</v>
      </c>
      <c r="R14" s="9">
        <v>0</v>
      </c>
      <c r="V14" s="64"/>
      <c r="W14" s="64"/>
    </row>
    <row r="15" spans="1:26" ht="15" thickBot="1" x14ac:dyDescent="0.35">
      <c r="A15" s="374" t="s">
        <v>23</v>
      </c>
      <c r="B15" s="374"/>
      <c r="C15" s="375">
        <v>0</v>
      </c>
      <c r="D15" s="375"/>
      <c r="E15" s="375">
        <v>0</v>
      </c>
      <c r="F15" s="375"/>
      <c r="G15" s="375">
        <v>0</v>
      </c>
      <c r="H15" s="375"/>
      <c r="I15" s="375">
        <v>0</v>
      </c>
      <c r="J15" s="375"/>
      <c r="K15" s="375">
        <v>0</v>
      </c>
      <c r="L15" s="375"/>
      <c r="M15" s="136">
        <v>0</v>
      </c>
      <c r="N15" s="10">
        <v>0</v>
      </c>
      <c r="O15" s="10">
        <v>0</v>
      </c>
      <c r="P15" s="73">
        <v>4951</v>
      </c>
      <c r="Q15" s="73">
        <v>2428</v>
      </c>
      <c r="R15" s="236">
        <v>3099</v>
      </c>
    </row>
    <row r="16" spans="1:26" ht="15" thickBot="1" x14ac:dyDescent="0.35">
      <c r="A16" s="370" t="s">
        <v>24</v>
      </c>
      <c r="B16" s="371"/>
      <c r="C16" s="372">
        <f>SUM(C4:D15)</f>
        <v>11010</v>
      </c>
      <c r="D16" s="373"/>
      <c r="E16" s="372">
        <f>SUM(E4:F15)</f>
        <v>336</v>
      </c>
      <c r="F16" s="373"/>
      <c r="G16" s="372">
        <f>SUM(G4:H15)</f>
        <v>46</v>
      </c>
      <c r="H16" s="373"/>
      <c r="I16" s="372">
        <f>SUM(I4:J15)</f>
        <v>103</v>
      </c>
      <c r="J16" s="373"/>
      <c r="K16" s="372">
        <f>SUM(K4:L15)</f>
        <v>24</v>
      </c>
      <c r="L16" s="373"/>
      <c r="M16" s="139">
        <f t="shared" ref="M16:R16" si="0">SUM(M4:M15)</f>
        <v>6261</v>
      </c>
      <c r="N16" s="139">
        <f t="shared" si="0"/>
        <v>2983</v>
      </c>
      <c r="O16" s="139">
        <f t="shared" si="0"/>
        <v>804</v>
      </c>
      <c r="P16" s="139">
        <f t="shared" si="0"/>
        <v>12032</v>
      </c>
      <c r="Q16" s="139">
        <f t="shared" si="0"/>
        <v>10066</v>
      </c>
      <c r="R16" s="95">
        <f t="shared" si="0"/>
        <v>8123</v>
      </c>
    </row>
    <row r="17" spans="1:23" x14ac:dyDescent="0.3">
      <c r="A17" s="368" t="s">
        <v>25</v>
      </c>
      <c r="B17" s="368"/>
      <c r="C17" s="369">
        <v>7820</v>
      </c>
      <c r="D17" s="369"/>
      <c r="E17" s="368">
        <v>158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4609</v>
      </c>
      <c r="N17" s="131">
        <v>770</v>
      </c>
      <c r="O17" s="91">
        <v>217</v>
      </c>
      <c r="P17" s="7">
        <v>6997</v>
      </c>
      <c r="Q17" s="7">
        <v>7596</v>
      </c>
      <c r="R17" s="7">
        <v>5016</v>
      </c>
    </row>
    <row r="18" spans="1:23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U18" s="64"/>
      <c r="W18" s="64"/>
    </row>
    <row r="19" spans="1:23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U19" s="64"/>
      <c r="W19" s="64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64"/>
      <c r="P20" s="64"/>
      <c r="Q20" s="64"/>
      <c r="S20" s="64"/>
      <c r="T20" s="64"/>
      <c r="U20" s="64"/>
      <c r="W20" s="64"/>
    </row>
    <row r="21" spans="1:23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64"/>
      <c r="P21" s="64"/>
      <c r="Q21" s="64"/>
      <c r="S21" s="64"/>
      <c r="T21" s="64"/>
      <c r="U21" s="64"/>
      <c r="W21" s="64"/>
    </row>
    <row r="22" spans="1:23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O22" s="64"/>
      <c r="P22" s="64"/>
      <c r="Q22" s="64"/>
      <c r="U22" s="64"/>
      <c r="W22" s="64"/>
    </row>
    <row r="23" spans="1:23" x14ac:dyDescent="0.3">
      <c r="A23" s="331" t="s">
        <v>11</v>
      </c>
      <c r="B23" s="332"/>
      <c r="C23" s="333" t="s">
        <v>474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O23" s="64"/>
      <c r="P23" s="64"/>
      <c r="Q23" s="64"/>
      <c r="R23" s="141"/>
    </row>
    <row r="24" spans="1:23" x14ac:dyDescent="0.3">
      <c r="A24" s="378" t="s">
        <v>15</v>
      </c>
      <c r="B24" s="617"/>
      <c r="C24" s="377">
        <v>633</v>
      </c>
      <c r="D24" s="377"/>
      <c r="E24" s="609" t="s">
        <v>173</v>
      </c>
      <c r="F24" s="609"/>
      <c r="G24" s="377">
        <v>0</v>
      </c>
      <c r="H24" s="377"/>
      <c r="I24" s="377">
        <v>11</v>
      </c>
      <c r="J24" s="377"/>
      <c r="K24" s="9">
        <v>0</v>
      </c>
      <c r="L24" s="28">
        <v>12</v>
      </c>
      <c r="M24" s="28">
        <v>3</v>
      </c>
      <c r="O24" s="64"/>
      <c r="P24" s="64"/>
      <c r="Q24" s="64"/>
    </row>
    <row r="25" spans="1:23" x14ac:dyDescent="0.3">
      <c r="A25" s="378" t="s">
        <v>16</v>
      </c>
      <c r="B25" s="617"/>
      <c r="C25" s="377">
        <v>348</v>
      </c>
      <c r="D25" s="377"/>
      <c r="E25" s="609" t="s">
        <v>478</v>
      </c>
      <c r="F25" s="609"/>
      <c r="G25" s="377">
        <v>0</v>
      </c>
      <c r="H25" s="377"/>
      <c r="I25" s="377">
        <v>51</v>
      </c>
      <c r="J25" s="377"/>
      <c r="K25" s="9">
        <v>0</v>
      </c>
      <c r="L25" s="28">
        <v>10</v>
      </c>
      <c r="M25" s="28">
        <v>2</v>
      </c>
      <c r="O25" s="64"/>
      <c r="P25" s="64"/>
      <c r="Q25" s="64"/>
    </row>
    <row r="26" spans="1:23" x14ac:dyDescent="0.3">
      <c r="A26" s="378" t="s">
        <v>17</v>
      </c>
      <c r="B26" s="617"/>
      <c r="C26" s="377">
        <v>123</v>
      </c>
      <c r="D26" s="377"/>
      <c r="E26" s="609" t="s">
        <v>153</v>
      </c>
      <c r="F26" s="609"/>
      <c r="G26" s="377">
        <v>11</v>
      </c>
      <c r="H26" s="377"/>
      <c r="I26" s="377">
        <v>39</v>
      </c>
      <c r="J26" s="377"/>
      <c r="K26" s="9">
        <v>0</v>
      </c>
      <c r="L26" s="28">
        <v>5</v>
      </c>
      <c r="M26" s="28">
        <v>2</v>
      </c>
      <c r="O26" s="64"/>
      <c r="P26" s="64"/>
      <c r="Q26" s="64"/>
    </row>
    <row r="27" spans="1:23" x14ac:dyDescent="0.3">
      <c r="A27" s="378" t="s">
        <v>18</v>
      </c>
      <c r="B27" s="617"/>
      <c r="C27" s="609" t="s">
        <v>452</v>
      </c>
      <c r="D27" s="609"/>
      <c r="E27" s="609" t="s">
        <v>253</v>
      </c>
      <c r="F27" s="609"/>
      <c r="G27" s="377">
        <v>0</v>
      </c>
      <c r="H27" s="377"/>
      <c r="I27" s="377">
        <v>15</v>
      </c>
      <c r="J27" s="377"/>
      <c r="K27" s="9">
        <v>6</v>
      </c>
      <c r="L27" s="28">
        <v>2</v>
      </c>
      <c r="M27" s="28">
        <v>0</v>
      </c>
      <c r="O27" s="64"/>
      <c r="P27" s="64"/>
      <c r="Q27" s="64"/>
    </row>
    <row r="28" spans="1:23" x14ac:dyDescent="0.3">
      <c r="A28" s="378" t="s">
        <v>262</v>
      </c>
      <c r="B28" s="379"/>
      <c r="C28" s="609" t="s">
        <v>464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23" x14ac:dyDescent="0.3">
      <c r="A29" s="378" t="s">
        <v>19</v>
      </c>
      <c r="B29" s="617"/>
      <c r="C29" s="609" t="s">
        <v>245</v>
      </c>
      <c r="D29" s="609"/>
      <c r="E29" s="609" t="s">
        <v>253</v>
      </c>
      <c r="F29" s="609"/>
      <c r="G29" s="377">
        <v>0</v>
      </c>
      <c r="H29" s="377"/>
      <c r="I29" s="377">
        <v>20</v>
      </c>
      <c r="J29" s="377"/>
      <c r="K29" s="9">
        <v>3</v>
      </c>
      <c r="L29" s="28">
        <v>6</v>
      </c>
      <c r="M29" s="28">
        <v>9</v>
      </c>
    </row>
    <row r="30" spans="1:23" x14ac:dyDescent="0.3">
      <c r="A30" s="378" t="s">
        <v>20</v>
      </c>
      <c r="B30" s="617"/>
      <c r="C30" s="377">
        <v>170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3" x14ac:dyDescent="0.3">
      <c r="A31" s="378" t="s">
        <v>21</v>
      </c>
      <c r="B31" s="617"/>
      <c r="C31" s="609" t="s">
        <v>303</v>
      </c>
      <c r="D31" s="609"/>
      <c r="E31" s="609" t="s">
        <v>466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10</v>
      </c>
      <c r="M31" s="28">
        <v>0</v>
      </c>
    </row>
    <row r="32" spans="1:23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474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>
        <v>22</v>
      </c>
      <c r="D38" s="410"/>
      <c r="E38" s="437" t="s">
        <v>414</v>
      </c>
      <c r="F38" s="438"/>
      <c r="G38" s="409" t="s">
        <v>40</v>
      </c>
      <c r="H38" s="410"/>
      <c r="I38" s="409">
        <v>0</v>
      </c>
      <c r="J38" s="410"/>
      <c r="K38" s="26">
        <v>1</v>
      </c>
      <c r="L38" s="27" t="s">
        <v>332</v>
      </c>
      <c r="M38" s="27" t="s">
        <v>321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479</v>
      </c>
      <c r="F39" s="438"/>
      <c r="G39" s="409" t="s">
        <v>43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475</v>
      </c>
      <c r="D40" s="410"/>
      <c r="E40" s="437" t="s">
        <v>186</v>
      </c>
      <c r="F40" s="438"/>
      <c r="G40" s="409" t="s">
        <v>401</v>
      </c>
      <c r="H40" s="410"/>
      <c r="I40" s="409" t="s">
        <v>476</v>
      </c>
      <c r="J40" s="410"/>
      <c r="K40" s="9" t="s">
        <v>45</v>
      </c>
      <c r="L40" s="28" t="s">
        <v>42</v>
      </c>
      <c r="M40" s="28" t="s">
        <v>204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470</v>
      </c>
      <c r="F41" s="438"/>
      <c r="G41" s="409" t="s">
        <v>139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209</v>
      </c>
      <c r="D43" s="410"/>
      <c r="E43" s="437" t="s">
        <v>445</v>
      </c>
      <c r="F43" s="438"/>
      <c r="G43" s="409">
        <v>0</v>
      </c>
      <c r="H43" s="410"/>
      <c r="I43" s="409" t="s">
        <v>293</v>
      </c>
      <c r="J43" s="410"/>
      <c r="K43" s="9" t="s">
        <v>99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477</v>
      </c>
      <c r="F44" s="410"/>
      <c r="G44" s="409" t="s">
        <v>347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99</v>
      </c>
      <c r="D45" s="410"/>
      <c r="E45" s="377" t="s">
        <v>242</v>
      </c>
      <c r="F45" s="377"/>
      <c r="G45" s="377">
        <v>0</v>
      </c>
      <c r="H45" s="377"/>
      <c r="I45" s="377">
        <v>0</v>
      </c>
      <c r="J45" s="377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454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620" t="s">
        <v>56</v>
      </c>
      <c r="B51" s="621"/>
      <c r="C51" s="319" t="s">
        <v>441</v>
      </c>
      <c r="D51" s="320"/>
      <c r="E51" s="319" t="s">
        <v>456</v>
      </c>
      <c r="F51" s="320"/>
      <c r="G51" s="319" t="s">
        <v>463</v>
      </c>
      <c r="H51" s="320"/>
      <c r="I51" s="319" t="s">
        <v>474</v>
      </c>
      <c r="J51" s="320"/>
    </row>
    <row r="52" spans="1:10" x14ac:dyDescent="0.3">
      <c r="A52" s="331" t="s">
        <v>59</v>
      </c>
      <c r="B52" s="383"/>
      <c r="C52" s="311">
        <v>8260</v>
      </c>
      <c r="D52" s="312"/>
      <c r="E52" s="311">
        <v>8216</v>
      </c>
      <c r="F52" s="312"/>
      <c r="G52" s="311">
        <v>8191</v>
      </c>
      <c r="H52" s="312"/>
      <c r="I52" s="311">
        <v>8161</v>
      </c>
      <c r="J52" s="312"/>
    </row>
    <row r="53" spans="1:10" ht="15" customHeight="1" x14ac:dyDescent="0.3">
      <c r="A53" s="331" t="s">
        <v>60</v>
      </c>
      <c r="B53" s="383"/>
      <c r="C53" s="311">
        <v>13463</v>
      </c>
      <c r="D53" s="312"/>
      <c r="E53" s="311">
        <v>13472</v>
      </c>
      <c r="F53" s="312"/>
      <c r="G53" s="311">
        <v>13472</v>
      </c>
      <c r="H53" s="312"/>
      <c r="I53" s="311">
        <v>13458</v>
      </c>
      <c r="J53" s="312"/>
    </row>
    <row r="54" spans="1:10" x14ac:dyDescent="0.3">
      <c r="A54" s="331" t="s">
        <v>61</v>
      </c>
      <c r="B54" s="383"/>
      <c r="C54" s="311">
        <v>107896</v>
      </c>
      <c r="D54" s="312"/>
      <c r="E54" s="311">
        <v>107913</v>
      </c>
      <c r="F54" s="312"/>
      <c r="G54" s="311">
        <v>108049</v>
      </c>
      <c r="H54" s="312"/>
      <c r="I54" s="311">
        <v>108000</v>
      </c>
      <c r="J54" s="312"/>
    </row>
    <row r="55" spans="1:10" x14ac:dyDescent="0.3">
      <c r="A55" s="331" t="s">
        <v>62</v>
      </c>
      <c r="B55" s="383"/>
      <c r="C55" s="311">
        <v>208</v>
      </c>
      <c r="D55" s="312"/>
      <c r="E55" s="311">
        <v>208</v>
      </c>
      <c r="F55" s="312"/>
      <c r="G55" s="311">
        <v>208</v>
      </c>
      <c r="H55" s="312"/>
      <c r="I55" s="311">
        <v>208</v>
      </c>
      <c r="J55" s="312"/>
    </row>
    <row r="56" spans="1:10" x14ac:dyDescent="0.3">
      <c r="A56" s="331" t="s">
        <v>63</v>
      </c>
      <c r="B56" s="383"/>
      <c r="C56" s="303">
        <v>48377</v>
      </c>
      <c r="D56" s="283"/>
      <c r="E56" s="303">
        <v>48408</v>
      </c>
      <c r="F56" s="283"/>
      <c r="G56" s="303">
        <v>48393</v>
      </c>
      <c r="H56" s="283"/>
      <c r="I56" s="303">
        <v>48365</v>
      </c>
      <c r="J56" s="283"/>
    </row>
    <row r="57" spans="1:10" x14ac:dyDescent="0.3">
      <c r="A57" s="331" t="s">
        <v>64</v>
      </c>
      <c r="B57" s="383"/>
      <c r="C57" s="303">
        <v>5884</v>
      </c>
      <c r="D57" s="283"/>
      <c r="E57" s="303">
        <v>5907</v>
      </c>
      <c r="F57" s="283"/>
      <c r="G57" s="303">
        <v>5904</v>
      </c>
      <c r="H57" s="283"/>
      <c r="I57" s="303">
        <v>5469</v>
      </c>
      <c r="J57" s="283"/>
    </row>
    <row r="58" spans="1:10" x14ac:dyDescent="0.3">
      <c r="A58" s="331" t="s">
        <v>65</v>
      </c>
      <c r="B58" s="383"/>
      <c r="C58" s="303">
        <v>26099</v>
      </c>
      <c r="D58" s="283"/>
      <c r="E58" s="303">
        <v>26186</v>
      </c>
      <c r="F58" s="283"/>
      <c r="G58" s="303">
        <v>26153</v>
      </c>
      <c r="H58" s="283"/>
      <c r="I58" s="303">
        <v>26133</v>
      </c>
      <c r="J58" s="283"/>
    </row>
    <row r="59" spans="1:10" x14ac:dyDescent="0.3">
      <c r="A59" s="331" t="s">
        <v>66</v>
      </c>
      <c r="B59" s="383"/>
      <c r="C59" s="303">
        <v>4503</v>
      </c>
      <c r="D59" s="283"/>
      <c r="E59" s="303">
        <v>4506</v>
      </c>
      <c r="F59" s="283"/>
      <c r="G59" s="303">
        <v>4506</v>
      </c>
      <c r="H59" s="283"/>
      <c r="I59" s="303">
        <v>4504</v>
      </c>
      <c r="J59" s="283"/>
    </row>
    <row r="60" spans="1:10" x14ac:dyDescent="0.3">
      <c r="A60" s="165"/>
      <c r="B60" s="166" t="s">
        <v>251</v>
      </c>
      <c r="C60" s="303">
        <v>4710</v>
      </c>
      <c r="D60" s="283"/>
      <c r="E60" s="303">
        <v>4993</v>
      </c>
      <c r="F60" s="283"/>
      <c r="G60" s="303">
        <v>5206</v>
      </c>
      <c r="H60" s="283"/>
      <c r="I60" s="303">
        <v>5469</v>
      </c>
      <c r="J60" s="283"/>
    </row>
    <row r="61" spans="1:10" x14ac:dyDescent="0.3">
      <c r="A61" s="331" t="s">
        <v>67</v>
      </c>
      <c r="B61" s="332"/>
      <c r="C61" s="307">
        <f>SUM(C52:C60)</f>
        <v>219400</v>
      </c>
      <c r="D61" s="307"/>
      <c r="E61" s="307">
        <v>215133</v>
      </c>
      <c r="F61" s="307"/>
      <c r="G61" s="307">
        <f>SUM(G52:G60)</f>
        <v>220082</v>
      </c>
      <c r="H61" s="307"/>
      <c r="I61" s="307">
        <v>220194</v>
      </c>
      <c r="J61" s="307"/>
    </row>
    <row r="62" spans="1:10" x14ac:dyDescent="0.3">
      <c r="A62" s="1"/>
      <c r="B62" s="1"/>
      <c r="C62" s="1"/>
      <c r="D62" s="1"/>
      <c r="E62" s="1"/>
      <c r="F62" s="1"/>
      <c r="G62" s="229"/>
      <c r="H62" s="229"/>
      <c r="I62" s="1"/>
      <c r="J62" s="1"/>
    </row>
    <row r="63" spans="1:10" ht="15" customHeight="1" x14ac:dyDescent="0.3">
      <c r="A63" s="285" t="s">
        <v>68</v>
      </c>
      <c r="B63" s="286"/>
      <c r="C63" s="319" t="s">
        <v>441</v>
      </c>
      <c r="D63" s="320"/>
      <c r="E63" s="319" t="s">
        <v>456</v>
      </c>
      <c r="F63" s="320"/>
      <c r="G63" s="319" t="s">
        <v>463</v>
      </c>
      <c r="H63" s="320"/>
      <c r="I63" s="319" t="s">
        <v>474</v>
      </c>
      <c r="J63" s="320"/>
    </row>
    <row r="64" spans="1:10" x14ac:dyDescent="0.3">
      <c r="A64" s="287"/>
      <c r="B64" s="288"/>
      <c r="C64" s="297">
        <v>144936</v>
      </c>
      <c r="D64" s="298"/>
      <c r="E64" s="297">
        <v>145050</v>
      </c>
      <c r="F64" s="298"/>
      <c r="G64" s="297">
        <v>145128</v>
      </c>
      <c r="H64" s="298"/>
      <c r="I64" s="297">
        <v>145242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333</v>
      </c>
      <c r="D69" s="283"/>
      <c r="E69" s="282" t="s">
        <v>352</v>
      </c>
      <c r="F69" s="284"/>
      <c r="G69" s="282" t="s">
        <v>409</v>
      </c>
      <c r="H69" s="284"/>
      <c r="I69" s="282" t="s">
        <v>455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20" t="s">
        <v>74</v>
      </c>
      <c r="F70" s="221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22"/>
      <c r="F71" s="223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14">
        <v>36751</v>
      </c>
      <c r="D72" s="215"/>
      <c r="E72" s="265">
        <v>37120</v>
      </c>
      <c r="F72" s="266"/>
      <c r="G72" s="265">
        <v>37446</v>
      </c>
      <c r="H72" s="266"/>
      <c r="I72" s="265">
        <v>37809</v>
      </c>
      <c r="J72" s="266"/>
    </row>
    <row r="73" spans="1:10" x14ac:dyDescent="0.3">
      <c r="A73" s="269" t="s">
        <v>16</v>
      </c>
      <c r="B73" s="270"/>
      <c r="C73" s="214">
        <v>8267</v>
      </c>
      <c r="D73" s="215"/>
      <c r="E73" s="265">
        <v>8384</v>
      </c>
      <c r="F73" s="266"/>
      <c r="G73" s="265">
        <v>8441</v>
      </c>
      <c r="H73" s="266"/>
      <c r="I73" s="265">
        <v>8538</v>
      </c>
      <c r="J73" s="266"/>
    </row>
    <row r="74" spans="1:10" x14ac:dyDescent="0.3">
      <c r="A74" s="267" t="s">
        <v>17</v>
      </c>
      <c r="B74" s="268"/>
      <c r="C74" s="214">
        <v>7311</v>
      </c>
      <c r="D74" s="215"/>
      <c r="E74" s="265">
        <v>7423</v>
      </c>
      <c r="F74" s="266"/>
      <c r="G74" s="265">
        <v>7498</v>
      </c>
      <c r="H74" s="266"/>
      <c r="I74" s="265">
        <v>7606</v>
      </c>
      <c r="J74" s="266"/>
    </row>
    <row r="75" spans="1:10" x14ac:dyDescent="0.3">
      <c r="A75" s="267" t="s">
        <v>75</v>
      </c>
      <c r="B75" s="268"/>
      <c r="C75" s="214">
        <v>2547</v>
      </c>
      <c r="D75" s="215"/>
      <c r="E75" s="265">
        <v>2597</v>
      </c>
      <c r="F75" s="266"/>
      <c r="G75" s="265">
        <v>2631</v>
      </c>
      <c r="H75" s="266"/>
      <c r="I75" s="265">
        <v>2680</v>
      </c>
      <c r="J75" s="266"/>
    </row>
    <row r="76" spans="1:10" x14ac:dyDescent="0.3">
      <c r="A76" s="269" t="s">
        <v>18</v>
      </c>
      <c r="B76" s="270"/>
      <c r="C76" s="214">
        <v>6380</v>
      </c>
      <c r="D76" s="215"/>
      <c r="E76" s="265">
        <v>6522</v>
      </c>
      <c r="F76" s="266"/>
      <c r="G76" s="265">
        <v>6618</v>
      </c>
      <c r="H76" s="266"/>
      <c r="I76" s="265">
        <v>6744</v>
      </c>
      <c r="J76" s="266"/>
    </row>
    <row r="77" spans="1:10" x14ac:dyDescent="0.3">
      <c r="A77" s="267" t="s">
        <v>19</v>
      </c>
      <c r="B77" s="268"/>
      <c r="C77" s="214">
        <v>5434</v>
      </c>
      <c r="D77" s="215"/>
      <c r="E77" s="265">
        <v>5465</v>
      </c>
      <c r="F77" s="266"/>
      <c r="G77" s="265">
        <v>5474</v>
      </c>
      <c r="H77" s="266"/>
      <c r="I77" s="265">
        <v>5446</v>
      </c>
      <c r="J77" s="266"/>
    </row>
    <row r="78" spans="1:10" x14ac:dyDescent="0.3">
      <c r="A78" s="269" t="s">
        <v>20</v>
      </c>
      <c r="B78" s="270"/>
      <c r="C78" s="214">
        <v>9704</v>
      </c>
      <c r="D78" s="215"/>
      <c r="E78" s="265">
        <v>9856</v>
      </c>
      <c r="F78" s="266"/>
      <c r="G78" s="265">
        <v>10014</v>
      </c>
      <c r="H78" s="266"/>
      <c r="I78" s="265">
        <v>10139</v>
      </c>
      <c r="J78" s="266"/>
    </row>
    <row r="79" spans="1:10" x14ac:dyDescent="0.3">
      <c r="A79" s="267" t="s">
        <v>21</v>
      </c>
      <c r="B79" s="268"/>
      <c r="C79" s="214">
        <v>1858</v>
      </c>
      <c r="D79" s="215"/>
      <c r="E79" s="265">
        <v>1876</v>
      </c>
      <c r="F79" s="266"/>
      <c r="G79" s="265">
        <v>1879</v>
      </c>
      <c r="H79" s="266"/>
      <c r="I79" s="265">
        <v>1895</v>
      </c>
      <c r="J79" s="266"/>
    </row>
    <row r="80" spans="1:10" x14ac:dyDescent="0.3">
      <c r="A80" s="269" t="s">
        <v>22</v>
      </c>
      <c r="B80" s="270"/>
      <c r="C80" s="214">
        <v>7442</v>
      </c>
      <c r="D80" s="215"/>
      <c r="E80" s="265">
        <v>7584</v>
      </c>
      <c r="F80" s="266"/>
      <c r="G80" s="265">
        <v>7657</v>
      </c>
      <c r="H80" s="266"/>
      <c r="I80" s="265">
        <v>7716</v>
      </c>
      <c r="J80" s="266"/>
    </row>
    <row r="81" spans="1:10" x14ac:dyDescent="0.3">
      <c r="A81" s="263" t="s">
        <v>76</v>
      </c>
      <c r="B81" s="264"/>
      <c r="C81" s="214">
        <f>SUM(C72:C80)</f>
        <v>85694</v>
      </c>
      <c r="D81" s="215"/>
      <c r="E81" s="265">
        <f>SUM(E72:E80)</f>
        <v>86827</v>
      </c>
      <c r="F81" s="266"/>
      <c r="G81" s="265">
        <v>87658</v>
      </c>
      <c r="H81" s="266"/>
      <c r="I81" s="265">
        <f>SUM(I72:I80)</f>
        <v>88573</v>
      </c>
      <c r="J81" s="266"/>
    </row>
  </sheetData>
  <mergeCells count="319">
    <mergeCell ref="P1:P2"/>
    <mergeCell ref="Q1:Q2"/>
    <mergeCell ref="A1:B2"/>
    <mergeCell ref="C1:D2"/>
    <mergeCell ref="E1:F2"/>
    <mergeCell ref="G1:H2"/>
    <mergeCell ref="I1:J2"/>
    <mergeCell ref="K1:L2"/>
    <mergeCell ref="M1:M2"/>
    <mergeCell ref="N1:N2"/>
    <mergeCell ref="O1:O2"/>
    <mergeCell ref="G5:H5"/>
    <mergeCell ref="I5:J5"/>
    <mergeCell ref="A6:B6"/>
    <mergeCell ref="C6:D6"/>
    <mergeCell ref="E6:F6"/>
    <mergeCell ref="G6:H6"/>
    <mergeCell ref="I6:J6"/>
    <mergeCell ref="A3:B3"/>
    <mergeCell ref="A4:B4"/>
    <mergeCell ref="C4:D4"/>
    <mergeCell ref="E4:F4"/>
    <mergeCell ref="G4:H4"/>
    <mergeCell ref="I4:J4"/>
    <mergeCell ref="C3:Q3"/>
    <mergeCell ref="K4:L4"/>
    <mergeCell ref="R1:R2"/>
    <mergeCell ref="A11:B11"/>
    <mergeCell ref="C11:D11"/>
    <mergeCell ref="E11:F11"/>
    <mergeCell ref="G11:H11"/>
    <mergeCell ref="I11:J11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:B7"/>
    <mergeCell ref="C7:D7"/>
    <mergeCell ref="E7:F7"/>
    <mergeCell ref="K11:L11"/>
    <mergeCell ref="G8:H8"/>
    <mergeCell ref="I8:J8"/>
    <mergeCell ref="A5:B5"/>
    <mergeCell ref="C5:D5"/>
    <mergeCell ref="K12:L12"/>
    <mergeCell ref="A13:B13"/>
    <mergeCell ref="C13:D13"/>
    <mergeCell ref="E13:F13"/>
    <mergeCell ref="G13:H13"/>
    <mergeCell ref="I13:J13"/>
    <mergeCell ref="K13:L13"/>
    <mergeCell ref="K5:L5"/>
    <mergeCell ref="K6:L6"/>
    <mergeCell ref="K7:L7"/>
    <mergeCell ref="K8:L8"/>
    <mergeCell ref="K9:L9"/>
    <mergeCell ref="K10:L10"/>
    <mergeCell ref="A12:B12"/>
    <mergeCell ref="C12:D12"/>
    <mergeCell ref="E12:F12"/>
    <mergeCell ref="G12:H12"/>
    <mergeCell ref="I12:J12"/>
    <mergeCell ref="G7:H7"/>
    <mergeCell ref="I7:J7"/>
    <mergeCell ref="A8:B8"/>
    <mergeCell ref="C8:D8"/>
    <mergeCell ref="E8:F8"/>
    <mergeCell ref="E5:F5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3:B73"/>
    <mergeCell ref="E73:F73"/>
    <mergeCell ref="G73:H73"/>
    <mergeCell ref="I73:J73"/>
    <mergeCell ref="A74:B74"/>
    <mergeCell ref="E74:F74"/>
    <mergeCell ref="G74:H74"/>
    <mergeCell ref="I74:J74"/>
    <mergeCell ref="A70:B71"/>
    <mergeCell ref="G70:H71"/>
    <mergeCell ref="I70:J71"/>
    <mergeCell ref="A72:B72"/>
    <mergeCell ref="E72:F72"/>
    <mergeCell ref="G72:H72"/>
    <mergeCell ref="I72:J72"/>
    <mergeCell ref="A77:B77"/>
    <mergeCell ref="E77:F77"/>
    <mergeCell ref="G77:H77"/>
    <mergeCell ref="I77:J77"/>
    <mergeCell ref="A78:B78"/>
    <mergeCell ref="E78:F78"/>
    <mergeCell ref="G78:H78"/>
    <mergeCell ref="I78:J78"/>
    <mergeCell ref="A75:B75"/>
    <mergeCell ref="E75:F75"/>
    <mergeCell ref="G75:H75"/>
    <mergeCell ref="I75:J75"/>
    <mergeCell ref="A76:B76"/>
    <mergeCell ref="E76:F76"/>
    <mergeCell ref="G76:H76"/>
    <mergeCell ref="I76:J76"/>
    <mergeCell ref="A81:B81"/>
    <mergeCell ref="E81:F81"/>
    <mergeCell ref="G81:H81"/>
    <mergeCell ref="I81:J81"/>
    <mergeCell ref="A79:B79"/>
    <mergeCell ref="E79:F79"/>
    <mergeCell ref="G79:H79"/>
    <mergeCell ref="I79:J79"/>
    <mergeCell ref="A80:B80"/>
    <mergeCell ref="E80:F80"/>
    <mergeCell ref="G80:H80"/>
    <mergeCell ref="I80:J80"/>
  </mergeCells>
  <phoneticPr fontId="3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7243-BD16-473D-9F1A-6FA8F907B79B}">
  <dimension ref="A1:Z81"/>
  <sheetViews>
    <sheetView topLeftCell="A18" workbookViewId="0">
      <selection activeCell="Q44" sqref="A1:XFD1048576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6640625" bestFit="1" customWidth="1"/>
    <col min="20" max="20" width="18.6640625" bestFit="1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490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95"/>
      <c r="S3" s="62"/>
      <c r="T3" s="64"/>
    </row>
    <row r="4" spans="1:26" x14ac:dyDescent="0.3">
      <c r="A4" s="763" t="s">
        <v>13</v>
      </c>
      <c r="B4" s="763"/>
      <c r="C4" s="386">
        <v>7620</v>
      </c>
      <c r="D4" s="386"/>
      <c r="E4" s="387">
        <v>108</v>
      </c>
      <c r="F4" s="387"/>
      <c r="G4" s="387">
        <v>0</v>
      </c>
      <c r="H4" s="387"/>
      <c r="I4" s="387">
        <v>0</v>
      </c>
      <c r="J4" s="387"/>
      <c r="K4" s="387">
        <v>0</v>
      </c>
      <c r="L4" s="387"/>
      <c r="M4" s="135">
        <v>3428</v>
      </c>
      <c r="N4" s="6">
        <v>350</v>
      </c>
      <c r="O4" s="6">
        <v>617</v>
      </c>
      <c r="P4" s="238"/>
      <c r="Q4" s="238"/>
      <c r="R4" s="238"/>
      <c r="S4" s="64"/>
      <c r="T4" s="64"/>
    </row>
    <row r="5" spans="1:26" ht="15.75" customHeight="1" x14ac:dyDescent="0.3">
      <c r="A5" s="381" t="s">
        <v>14</v>
      </c>
      <c r="B5" s="381"/>
      <c r="C5" s="382">
        <v>220</v>
      </c>
      <c r="D5" s="382"/>
      <c r="E5" s="382">
        <v>0</v>
      </c>
      <c r="F5" s="382"/>
      <c r="G5" s="382">
        <v>0</v>
      </c>
      <c r="H5" s="382"/>
      <c r="I5" s="382">
        <v>0</v>
      </c>
      <c r="J5" s="382"/>
      <c r="K5" s="382">
        <v>0</v>
      </c>
      <c r="L5" s="382"/>
      <c r="M5" s="135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64"/>
      <c r="T5" s="64"/>
    </row>
    <row r="6" spans="1:26" x14ac:dyDescent="0.3">
      <c r="A6" s="638" t="s">
        <v>15</v>
      </c>
      <c r="B6" s="638"/>
      <c r="C6" s="325">
        <v>602</v>
      </c>
      <c r="D6" s="325"/>
      <c r="E6" s="325">
        <v>2</v>
      </c>
      <c r="F6" s="325"/>
      <c r="G6" s="325">
        <v>42</v>
      </c>
      <c r="H6" s="325"/>
      <c r="I6" s="325">
        <v>4</v>
      </c>
      <c r="J6" s="325"/>
      <c r="K6" s="325">
        <v>0</v>
      </c>
      <c r="L6" s="325"/>
      <c r="M6" s="174">
        <v>523</v>
      </c>
      <c r="N6" s="173">
        <v>430</v>
      </c>
      <c r="O6" s="173">
        <v>120</v>
      </c>
      <c r="P6" s="173">
        <v>0</v>
      </c>
      <c r="Q6" s="173">
        <v>0</v>
      </c>
      <c r="R6" s="173">
        <v>0</v>
      </c>
      <c r="S6" s="64"/>
      <c r="T6" s="64"/>
    </row>
    <row r="7" spans="1:26" x14ac:dyDescent="0.3">
      <c r="A7" s="638" t="s">
        <v>16</v>
      </c>
      <c r="B7" s="638"/>
      <c r="C7" s="325">
        <v>219</v>
      </c>
      <c r="D7" s="325"/>
      <c r="E7" s="325">
        <v>0</v>
      </c>
      <c r="F7" s="325"/>
      <c r="G7" s="325">
        <v>0</v>
      </c>
      <c r="H7" s="325"/>
      <c r="I7" s="325">
        <v>0</v>
      </c>
      <c r="J7" s="325"/>
      <c r="K7" s="325">
        <v>0</v>
      </c>
      <c r="L7" s="325"/>
      <c r="M7" s="174">
        <v>200</v>
      </c>
      <c r="N7" s="173">
        <v>184</v>
      </c>
      <c r="O7" s="173">
        <v>25</v>
      </c>
      <c r="P7" s="173">
        <v>0</v>
      </c>
      <c r="Q7" s="173">
        <v>0</v>
      </c>
      <c r="R7" s="173">
        <v>0</v>
      </c>
      <c r="S7" s="64"/>
      <c r="T7" s="64"/>
    </row>
    <row r="8" spans="1:26" x14ac:dyDescent="0.3">
      <c r="A8" s="376" t="s">
        <v>17</v>
      </c>
      <c r="B8" s="376"/>
      <c r="C8" s="377">
        <v>522</v>
      </c>
      <c r="D8" s="377"/>
      <c r="E8" s="377">
        <v>0</v>
      </c>
      <c r="F8" s="377"/>
      <c r="G8" s="377">
        <v>0</v>
      </c>
      <c r="H8" s="377"/>
      <c r="I8" s="377">
        <v>0</v>
      </c>
      <c r="J8" s="377"/>
      <c r="K8" s="377">
        <v>0</v>
      </c>
      <c r="L8" s="377"/>
      <c r="M8" s="95">
        <v>333</v>
      </c>
      <c r="N8" s="9">
        <v>356</v>
      </c>
      <c r="O8" s="9">
        <v>0</v>
      </c>
      <c r="P8" s="9">
        <v>2</v>
      </c>
      <c r="Q8" s="9">
        <v>12</v>
      </c>
      <c r="R8" s="9">
        <v>1</v>
      </c>
      <c r="S8" s="64"/>
      <c r="T8" s="64"/>
    </row>
    <row r="9" spans="1:26" x14ac:dyDescent="0.3">
      <c r="A9" s="376" t="s">
        <v>18</v>
      </c>
      <c r="B9" s="376"/>
      <c r="C9" s="377">
        <v>121</v>
      </c>
      <c r="D9" s="377"/>
      <c r="E9" s="377">
        <v>0</v>
      </c>
      <c r="F9" s="377"/>
      <c r="G9" s="377">
        <v>0</v>
      </c>
      <c r="H9" s="377"/>
      <c r="I9" s="377">
        <v>0</v>
      </c>
      <c r="J9" s="377"/>
      <c r="K9" s="377">
        <v>0</v>
      </c>
      <c r="L9" s="377"/>
      <c r="M9" s="95">
        <v>152</v>
      </c>
      <c r="N9" s="9">
        <v>69</v>
      </c>
      <c r="O9" s="9">
        <v>79</v>
      </c>
      <c r="P9" s="9">
        <v>0</v>
      </c>
      <c r="Q9" s="9">
        <v>0</v>
      </c>
      <c r="R9" s="9">
        <v>0</v>
      </c>
      <c r="S9" s="64"/>
      <c r="T9" s="64"/>
    </row>
    <row r="10" spans="1:26" x14ac:dyDescent="0.3">
      <c r="A10" s="378" t="s">
        <v>262</v>
      </c>
      <c r="B10" s="379"/>
      <c r="C10" s="377">
        <v>149</v>
      </c>
      <c r="D10" s="380"/>
      <c r="E10" s="377">
        <v>0</v>
      </c>
      <c r="F10" s="380"/>
      <c r="G10" s="377">
        <v>0</v>
      </c>
      <c r="H10" s="380"/>
      <c r="I10" s="377">
        <v>0</v>
      </c>
      <c r="J10" s="380"/>
      <c r="K10" s="377">
        <v>0</v>
      </c>
      <c r="L10" s="380"/>
      <c r="M10" s="95">
        <v>145</v>
      </c>
      <c r="N10" s="172">
        <v>128</v>
      </c>
      <c r="O10" s="172">
        <v>26</v>
      </c>
      <c r="P10" s="9">
        <v>0</v>
      </c>
      <c r="Q10" s="9">
        <v>0</v>
      </c>
      <c r="R10" s="9">
        <v>0</v>
      </c>
      <c r="S10" s="64"/>
      <c r="T10" s="64"/>
      <c r="U10" s="64"/>
      <c r="Y10" s="64"/>
      <c r="Z10" s="64"/>
    </row>
    <row r="11" spans="1:26" x14ac:dyDescent="0.3">
      <c r="A11" s="638" t="s">
        <v>19</v>
      </c>
      <c r="B11" s="638"/>
      <c r="C11" s="325">
        <v>244</v>
      </c>
      <c r="D11" s="325"/>
      <c r="E11" s="325">
        <v>0</v>
      </c>
      <c r="F11" s="325"/>
      <c r="G11" s="325">
        <v>0</v>
      </c>
      <c r="H11" s="325"/>
      <c r="I11" s="325">
        <v>0</v>
      </c>
      <c r="J11" s="325"/>
      <c r="K11" s="325">
        <v>0</v>
      </c>
      <c r="L11" s="325"/>
      <c r="M11" s="174">
        <v>165</v>
      </c>
      <c r="N11" s="173">
        <v>174</v>
      </c>
      <c r="O11" s="173">
        <v>226</v>
      </c>
      <c r="P11" s="173">
        <v>82</v>
      </c>
      <c r="Q11" s="173">
        <v>14</v>
      </c>
      <c r="R11" s="173">
        <v>0</v>
      </c>
      <c r="T11" s="64"/>
      <c r="U11" s="64"/>
      <c r="Y11" s="64"/>
      <c r="Z11" s="64"/>
    </row>
    <row r="12" spans="1:26" x14ac:dyDescent="0.3">
      <c r="A12" s="376" t="s">
        <v>20</v>
      </c>
      <c r="B12" s="376"/>
      <c r="C12" s="377">
        <v>123</v>
      </c>
      <c r="D12" s="377"/>
      <c r="E12" s="377">
        <v>0</v>
      </c>
      <c r="F12" s="377"/>
      <c r="G12" s="377">
        <v>0</v>
      </c>
      <c r="H12" s="377"/>
      <c r="I12" s="377">
        <v>0</v>
      </c>
      <c r="J12" s="377"/>
      <c r="K12" s="377">
        <v>0</v>
      </c>
      <c r="L12" s="377"/>
      <c r="M12" s="95">
        <v>280</v>
      </c>
      <c r="N12" s="9">
        <v>319</v>
      </c>
      <c r="O12" s="9">
        <v>10</v>
      </c>
      <c r="P12" s="9">
        <v>0</v>
      </c>
      <c r="Q12" s="9">
        <v>16</v>
      </c>
      <c r="R12" s="9">
        <v>5</v>
      </c>
    </row>
    <row r="13" spans="1:26" x14ac:dyDescent="0.3">
      <c r="A13" s="376" t="s">
        <v>21</v>
      </c>
      <c r="B13" s="376"/>
      <c r="C13" s="377">
        <v>223</v>
      </c>
      <c r="D13" s="377"/>
      <c r="E13" s="377">
        <v>4</v>
      </c>
      <c r="F13" s="377"/>
      <c r="G13" s="377">
        <v>1</v>
      </c>
      <c r="H13" s="377"/>
      <c r="I13" s="377">
        <v>7</v>
      </c>
      <c r="J13" s="377"/>
      <c r="K13" s="377">
        <v>1</v>
      </c>
      <c r="L13" s="377"/>
      <c r="M13" s="95">
        <v>90</v>
      </c>
      <c r="N13" s="9">
        <v>119</v>
      </c>
      <c r="O13" s="9">
        <v>39</v>
      </c>
      <c r="P13" s="9">
        <v>0</v>
      </c>
      <c r="Q13" s="9">
        <v>0</v>
      </c>
      <c r="R13" s="9">
        <v>0</v>
      </c>
    </row>
    <row r="14" spans="1:26" x14ac:dyDescent="0.3">
      <c r="A14" s="376" t="s">
        <v>22</v>
      </c>
      <c r="B14" s="376"/>
      <c r="C14" s="377">
        <v>50</v>
      </c>
      <c r="D14" s="377"/>
      <c r="E14" s="377">
        <v>0</v>
      </c>
      <c r="F14" s="377"/>
      <c r="G14" s="377">
        <v>0</v>
      </c>
      <c r="H14" s="377"/>
      <c r="I14" s="377">
        <v>0</v>
      </c>
      <c r="J14" s="377"/>
      <c r="K14" s="377">
        <v>0</v>
      </c>
      <c r="L14" s="377"/>
      <c r="M14" s="95">
        <v>324</v>
      </c>
      <c r="N14" s="9">
        <v>349</v>
      </c>
      <c r="O14" s="9">
        <v>50</v>
      </c>
      <c r="P14" s="9">
        <v>0</v>
      </c>
      <c r="Q14" s="9">
        <v>0</v>
      </c>
      <c r="R14" s="9">
        <v>0</v>
      </c>
      <c r="V14" s="64"/>
      <c r="W14" s="64"/>
    </row>
    <row r="15" spans="1:26" ht="15" thickBot="1" x14ac:dyDescent="0.35">
      <c r="A15" s="761" t="s">
        <v>23</v>
      </c>
      <c r="B15" s="761"/>
      <c r="C15" s="762">
        <v>0</v>
      </c>
      <c r="D15" s="762"/>
      <c r="E15" s="762">
        <v>0</v>
      </c>
      <c r="F15" s="762"/>
      <c r="G15" s="762">
        <v>0</v>
      </c>
      <c r="H15" s="762"/>
      <c r="I15" s="762">
        <v>0</v>
      </c>
      <c r="J15" s="762"/>
      <c r="K15" s="762">
        <v>0</v>
      </c>
      <c r="L15" s="762"/>
      <c r="M15" s="240">
        <v>0</v>
      </c>
      <c r="N15" s="239">
        <v>0</v>
      </c>
      <c r="O15" s="239">
        <v>0</v>
      </c>
      <c r="P15" s="241"/>
      <c r="Q15" s="241"/>
      <c r="R15" s="242"/>
    </row>
    <row r="16" spans="1:26" ht="15" thickBot="1" x14ac:dyDescent="0.35">
      <c r="A16" s="757" t="s">
        <v>24</v>
      </c>
      <c r="B16" s="758"/>
      <c r="C16" s="759">
        <f>SUM(C4:D15)</f>
        <v>10093</v>
      </c>
      <c r="D16" s="760"/>
      <c r="E16" s="759">
        <f>SUM(E4:F15)</f>
        <v>114</v>
      </c>
      <c r="F16" s="760"/>
      <c r="G16" s="759">
        <f>SUM(G4:H15)</f>
        <v>43</v>
      </c>
      <c r="H16" s="760"/>
      <c r="I16" s="759">
        <f>SUM(I4:J15)</f>
        <v>11</v>
      </c>
      <c r="J16" s="760"/>
      <c r="K16" s="759">
        <f>SUM(K4:L15)</f>
        <v>1</v>
      </c>
      <c r="L16" s="760"/>
      <c r="M16" s="243">
        <f t="shared" ref="M16:R16" si="0">SUM(M4:M15)</f>
        <v>5640</v>
      </c>
      <c r="N16" s="243">
        <f t="shared" si="0"/>
        <v>2478</v>
      </c>
      <c r="O16" s="243">
        <f t="shared" si="0"/>
        <v>1192</v>
      </c>
      <c r="P16" s="243">
        <f t="shared" si="0"/>
        <v>84</v>
      </c>
      <c r="Q16" s="243">
        <f t="shared" si="0"/>
        <v>42</v>
      </c>
      <c r="R16" s="174">
        <f t="shared" si="0"/>
        <v>6</v>
      </c>
    </row>
    <row r="17" spans="1:23" x14ac:dyDescent="0.3">
      <c r="A17" s="756" t="s">
        <v>25</v>
      </c>
      <c r="B17" s="756"/>
      <c r="C17" s="369">
        <v>7620</v>
      </c>
      <c r="D17" s="369"/>
      <c r="E17" s="368">
        <v>108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3359</v>
      </c>
      <c r="N17" s="131">
        <v>350</v>
      </c>
      <c r="O17" s="91">
        <v>617</v>
      </c>
      <c r="P17" s="238">
        <v>6109</v>
      </c>
      <c r="Q17" s="238">
        <v>7396</v>
      </c>
      <c r="R17" s="238">
        <v>3892</v>
      </c>
    </row>
    <row r="18" spans="1:23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U18" s="64"/>
      <c r="W18" s="64"/>
    </row>
    <row r="19" spans="1:23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U19" s="64"/>
      <c r="W19" s="64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64"/>
      <c r="P20" s="64"/>
      <c r="Q20" s="64"/>
      <c r="S20" s="64"/>
      <c r="T20" s="64"/>
      <c r="U20" s="64"/>
      <c r="W20" s="64"/>
    </row>
    <row r="21" spans="1:23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64"/>
      <c r="P21" s="64"/>
      <c r="Q21" s="64"/>
      <c r="S21" s="64"/>
      <c r="T21" s="64"/>
      <c r="U21" s="64"/>
      <c r="W21" s="64"/>
    </row>
    <row r="22" spans="1:23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O22" s="64"/>
      <c r="P22" s="64"/>
      <c r="Q22" s="64"/>
      <c r="U22" s="64"/>
      <c r="W22" s="64"/>
    </row>
    <row r="23" spans="1:23" x14ac:dyDescent="0.3">
      <c r="A23" s="331" t="s">
        <v>11</v>
      </c>
      <c r="B23" s="332"/>
      <c r="C23" s="333" t="s">
        <v>490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O23" s="64"/>
      <c r="P23" s="64"/>
      <c r="Q23" s="64"/>
      <c r="R23" s="141"/>
    </row>
    <row r="24" spans="1:23" x14ac:dyDescent="0.3">
      <c r="A24" s="353" t="s">
        <v>15</v>
      </c>
      <c r="B24" s="354"/>
      <c r="C24" s="325">
        <v>644</v>
      </c>
      <c r="D24" s="325"/>
      <c r="E24" s="355" t="s">
        <v>484</v>
      </c>
      <c r="F24" s="355"/>
      <c r="G24" s="325">
        <v>0</v>
      </c>
      <c r="H24" s="325"/>
      <c r="I24" s="325">
        <v>16</v>
      </c>
      <c r="J24" s="325"/>
      <c r="K24" s="173">
        <v>0</v>
      </c>
      <c r="L24" s="175">
        <v>11</v>
      </c>
      <c r="M24" s="175">
        <v>2</v>
      </c>
      <c r="O24" s="64"/>
      <c r="P24" s="64"/>
      <c r="Q24" s="64"/>
    </row>
    <row r="25" spans="1:23" x14ac:dyDescent="0.3">
      <c r="A25" s="353" t="s">
        <v>16</v>
      </c>
      <c r="B25" s="354"/>
      <c r="C25" s="325">
        <v>346</v>
      </c>
      <c r="D25" s="325"/>
      <c r="E25" s="355" t="s">
        <v>107</v>
      </c>
      <c r="F25" s="355"/>
      <c r="G25" s="325">
        <v>0</v>
      </c>
      <c r="H25" s="325"/>
      <c r="I25" s="325">
        <v>51</v>
      </c>
      <c r="J25" s="325"/>
      <c r="K25" s="173">
        <v>0</v>
      </c>
      <c r="L25" s="175">
        <v>7</v>
      </c>
      <c r="M25" s="175">
        <v>2</v>
      </c>
      <c r="O25" s="64"/>
      <c r="P25" s="64"/>
      <c r="Q25" s="64"/>
    </row>
    <row r="26" spans="1:23" x14ac:dyDescent="0.3">
      <c r="A26" s="378" t="s">
        <v>17</v>
      </c>
      <c r="B26" s="617"/>
      <c r="C26" s="377">
        <v>147</v>
      </c>
      <c r="D26" s="377"/>
      <c r="E26" s="609" t="s">
        <v>273</v>
      </c>
      <c r="F26" s="609"/>
      <c r="G26" s="377">
        <v>9</v>
      </c>
      <c r="H26" s="377"/>
      <c r="I26" s="377">
        <v>37</v>
      </c>
      <c r="J26" s="377"/>
      <c r="K26" s="9">
        <v>0</v>
      </c>
      <c r="L26" s="28">
        <v>4</v>
      </c>
      <c r="M26" s="28">
        <v>2</v>
      </c>
      <c r="O26" s="64"/>
      <c r="P26" s="64"/>
      <c r="Q26" s="64"/>
    </row>
    <row r="27" spans="1:23" x14ac:dyDescent="0.3">
      <c r="A27" s="378" t="s">
        <v>18</v>
      </c>
      <c r="B27" s="617"/>
      <c r="C27" s="609" t="s">
        <v>452</v>
      </c>
      <c r="D27" s="609"/>
      <c r="E27" s="609" t="s">
        <v>253</v>
      </c>
      <c r="F27" s="609"/>
      <c r="G27" s="377">
        <v>0</v>
      </c>
      <c r="H27" s="377"/>
      <c r="I27" s="377">
        <v>25</v>
      </c>
      <c r="J27" s="377"/>
      <c r="K27" s="9">
        <v>4</v>
      </c>
      <c r="L27" s="28">
        <v>1</v>
      </c>
      <c r="M27" s="28">
        <v>0</v>
      </c>
      <c r="O27" s="64"/>
      <c r="P27" s="64"/>
      <c r="Q27" s="64"/>
    </row>
    <row r="28" spans="1:23" x14ac:dyDescent="0.3">
      <c r="A28" s="378" t="s">
        <v>262</v>
      </c>
      <c r="B28" s="379"/>
      <c r="C28" s="609" t="s">
        <v>492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23" x14ac:dyDescent="0.3">
      <c r="A29" s="378" t="s">
        <v>19</v>
      </c>
      <c r="B29" s="617"/>
      <c r="C29" s="355" t="s">
        <v>245</v>
      </c>
      <c r="D29" s="355"/>
      <c r="E29" s="355" t="s">
        <v>253</v>
      </c>
      <c r="F29" s="355"/>
      <c r="G29" s="325">
        <v>0</v>
      </c>
      <c r="H29" s="325"/>
      <c r="I29" s="325">
        <v>20</v>
      </c>
      <c r="J29" s="325"/>
      <c r="K29" s="173">
        <v>3</v>
      </c>
      <c r="L29" s="175">
        <v>6</v>
      </c>
      <c r="M29" s="175">
        <v>9</v>
      </c>
    </row>
    <row r="30" spans="1:23" x14ac:dyDescent="0.3">
      <c r="A30" s="378" t="s">
        <v>20</v>
      </c>
      <c r="B30" s="617"/>
      <c r="C30" s="377">
        <v>190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3" x14ac:dyDescent="0.3">
      <c r="A31" s="378" t="s">
        <v>21</v>
      </c>
      <c r="B31" s="617"/>
      <c r="C31" s="609" t="s">
        <v>327</v>
      </c>
      <c r="D31" s="609"/>
      <c r="E31" s="609" t="s">
        <v>466</v>
      </c>
      <c r="F31" s="609"/>
      <c r="G31" s="377">
        <v>0</v>
      </c>
      <c r="H31" s="377"/>
      <c r="I31" s="377">
        <v>10</v>
      </c>
      <c r="J31" s="377"/>
      <c r="K31" s="9">
        <v>0</v>
      </c>
      <c r="L31" s="28">
        <v>10</v>
      </c>
      <c r="M31" s="28">
        <v>0</v>
      </c>
    </row>
    <row r="32" spans="1:23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490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321" t="s">
        <v>15</v>
      </c>
      <c r="B38" s="322"/>
      <c r="C38" s="323">
        <v>22</v>
      </c>
      <c r="D38" s="324"/>
      <c r="E38" s="326" t="s">
        <v>485</v>
      </c>
      <c r="F38" s="327"/>
      <c r="G38" s="323" t="s">
        <v>40</v>
      </c>
      <c r="H38" s="324"/>
      <c r="I38" s="323">
        <v>0</v>
      </c>
      <c r="J38" s="324"/>
      <c r="K38" s="232">
        <v>1</v>
      </c>
      <c r="L38" s="233" t="s">
        <v>486</v>
      </c>
      <c r="M38" s="233" t="s">
        <v>82</v>
      </c>
    </row>
    <row r="39" spans="1:13" x14ac:dyDescent="0.3">
      <c r="A39" s="321" t="s">
        <v>16</v>
      </c>
      <c r="B39" s="322"/>
      <c r="C39" s="323">
        <v>0</v>
      </c>
      <c r="D39" s="324"/>
      <c r="E39" s="326" t="s">
        <v>487</v>
      </c>
      <c r="F39" s="327"/>
      <c r="G39" s="323" t="s">
        <v>43</v>
      </c>
      <c r="H39" s="324"/>
      <c r="I39" s="323">
        <v>0</v>
      </c>
      <c r="J39" s="324"/>
      <c r="K39" s="173">
        <v>0</v>
      </c>
      <c r="L39" s="175">
        <v>0</v>
      </c>
      <c r="M39" s="175">
        <v>0</v>
      </c>
    </row>
    <row r="40" spans="1:13" x14ac:dyDescent="0.3">
      <c r="A40" s="622" t="s">
        <v>17</v>
      </c>
      <c r="B40" s="623"/>
      <c r="C40" s="409" t="s">
        <v>325</v>
      </c>
      <c r="D40" s="410"/>
      <c r="E40" s="437" t="s">
        <v>97</v>
      </c>
      <c r="F40" s="438"/>
      <c r="G40" s="409" t="s">
        <v>82</v>
      </c>
      <c r="H40" s="410"/>
      <c r="I40" s="409" t="s">
        <v>491</v>
      </c>
      <c r="J40" s="410"/>
      <c r="K40" s="9" t="s">
        <v>45</v>
      </c>
      <c r="L40" s="28" t="s">
        <v>42</v>
      </c>
      <c r="M40" s="28" t="s">
        <v>204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488</v>
      </c>
      <c r="F41" s="438"/>
      <c r="G41" s="409" t="s">
        <v>139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321" t="s">
        <v>19</v>
      </c>
      <c r="B43" s="322"/>
      <c r="C43" s="323" t="s">
        <v>209</v>
      </c>
      <c r="D43" s="324"/>
      <c r="E43" s="326" t="s">
        <v>445</v>
      </c>
      <c r="F43" s="327"/>
      <c r="G43" s="323">
        <v>0</v>
      </c>
      <c r="H43" s="324"/>
      <c r="I43" s="323" t="s">
        <v>293</v>
      </c>
      <c r="J43" s="324"/>
      <c r="K43" s="173" t="s">
        <v>99</v>
      </c>
      <c r="L43" s="175">
        <v>0</v>
      </c>
      <c r="M43" s="175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493</v>
      </c>
      <c r="F44" s="410"/>
      <c r="G44" s="409" t="s">
        <v>347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143</v>
      </c>
      <c r="D45" s="410"/>
      <c r="E45" s="377" t="s">
        <v>406</v>
      </c>
      <c r="F45" s="377"/>
      <c r="G45" s="377">
        <v>0</v>
      </c>
      <c r="H45" s="377"/>
      <c r="I45" s="377">
        <v>0</v>
      </c>
      <c r="J45" s="377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454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620" t="s">
        <v>56</v>
      </c>
      <c r="B51" s="621"/>
      <c r="C51" s="319" t="s">
        <v>463</v>
      </c>
      <c r="D51" s="320"/>
      <c r="E51" s="319" t="s">
        <v>474</v>
      </c>
      <c r="F51" s="320"/>
      <c r="G51" s="319" t="s">
        <v>482</v>
      </c>
      <c r="H51" s="320"/>
      <c r="I51" s="319" t="s">
        <v>489</v>
      </c>
      <c r="J51" s="320"/>
    </row>
    <row r="52" spans="1:10" x14ac:dyDescent="0.3">
      <c r="A52" s="331" t="s">
        <v>59</v>
      </c>
      <c r="B52" s="383"/>
      <c r="C52" s="311">
        <v>8191</v>
      </c>
      <c r="D52" s="312"/>
      <c r="E52" s="311">
        <v>8161</v>
      </c>
      <c r="F52" s="312"/>
      <c r="G52" s="311">
        <v>8135</v>
      </c>
      <c r="H52" s="312"/>
      <c r="I52" s="311">
        <v>8108</v>
      </c>
      <c r="J52" s="312"/>
    </row>
    <row r="53" spans="1:10" ht="15" customHeight="1" x14ac:dyDescent="0.3">
      <c r="A53" s="331" t="s">
        <v>60</v>
      </c>
      <c r="B53" s="383"/>
      <c r="C53" s="311">
        <v>13472</v>
      </c>
      <c r="D53" s="312"/>
      <c r="E53" s="311">
        <v>13458</v>
      </c>
      <c r="F53" s="312"/>
      <c r="G53" s="311">
        <v>13449</v>
      </c>
      <c r="H53" s="312"/>
      <c r="I53" s="311">
        <v>13452</v>
      </c>
      <c r="J53" s="312"/>
    </row>
    <row r="54" spans="1:10" x14ac:dyDescent="0.3">
      <c r="A54" s="331" t="s">
        <v>61</v>
      </c>
      <c r="B54" s="383"/>
      <c r="C54" s="311">
        <v>108049</v>
      </c>
      <c r="D54" s="312"/>
      <c r="E54" s="311">
        <v>108000</v>
      </c>
      <c r="F54" s="312"/>
      <c r="G54" s="311">
        <v>107930</v>
      </c>
      <c r="H54" s="312"/>
      <c r="I54" s="311">
        <v>107940</v>
      </c>
      <c r="J54" s="312"/>
    </row>
    <row r="55" spans="1:10" x14ac:dyDescent="0.3">
      <c r="A55" s="331" t="s">
        <v>62</v>
      </c>
      <c r="B55" s="383"/>
      <c r="C55" s="311">
        <v>208</v>
      </c>
      <c r="D55" s="312"/>
      <c r="E55" s="311">
        <v>208</v>
      </c>
      <c r="F55" s="312"/>
      <c r="G55" s="311">
        <v>208</v>
      </c>
      <c r="H55" s="312"/>
      <c r="I55" s="311">
        <v>208</v>
      </c>
      <c r="J55" s="312"/>
    </row>
    <row r="56" spans="1:10" x14ac:dyDescent="0.3">
      <c r="A56" s="331" t="s">
        <v>63</v>
      </c>
      <c r="B56" s="383"/>
      <c r="C56" s="303">
        <v>48393</v>
      </c>
      <c r="D56" s="283"/>
      <c r="E56" s="303">
        <v>48365</v>
      </c>
      <c r="F56" s="283"/>
      <c r="G56" s="303">
        <v>48343</v>
      </c>
      <c r="H56" s="283"/>
      <c r="I56" s="303">
        <v>48369</v>
      </c>
      <c r="J56" s="283"/>
    </row>
    <row r="57" spans="1:10" x14ac:dyDescent="0.3">
      <c r="A57" s="331" t="s">
        <v>64</v>
      </c>
      <c r="B57" s="383"/>
      <c r="C57" s="303">
        <v>5904</v>
      </c>
      <c r="D57" s="283"/>
      <c r="E57" s="303">
        <v>5469</v>
      </c>
      <c r="F57" s="283"/>
      <c r="G57" s="303">
        <v>5874</v>
      </c>
      <c r="H57" s="283"/>
      <c r="I57" s="303">
        <v>5866</v>
      </c>
      <c r="J57" s="283"/>
    </row>
    <row r="58" spans="1:10" x14ac:dyDescent="0.3">
      <c r="A58" s="331" t="s">
        <v>65</v>
      </c>
      <c r="B58" s="383"/>
      <c r="C58" s="303">
        <v>26153</v>
      </c>
      <c r="D58" s="283"/>
      <c r="E58" s="303">
        <v>26133</v>
      </c>
      <c r="F58" s="283"/>
      <c r="G58" s="303">
        <v>26072</v>
      </c>
      <c r="H58" s="283"/>
      <c r="I58" s="303">
        <v>26083</v>
      </c>
      <c r="J58" s="283"/>
    </row>
    <row r="59" spans="1:10" x14ac:dyDescent="0.3">
      <c r="A59" s="331" t="s">
        <v>66</v>
      </c>
      <c r="B59" s="383"/>
      <c r="C59" s="303">
        <v>4506</v>
      </c>
      <c r="D59" s="283"/>
      <c r="E59" s="303">
        <v>4504</v>
      </c>
      <c r="F59" s="283"/>
      <c r="G59" s="303">
        <v>4497</v>
      </c>
      <c r="H59" s="283"/>
      <c r="I59" s="303">
        <v>4495</v>
      </c>
      <c r="J59" s="283"/>
    </row>
    <row r="60" spans="1:10" x14ac:dyDescent="0.3">
      <c r="A60" s="165"/>
      <c r="B60" s="166" t="s">
        <v>251</v>
      </c>
      <c r="C60" s="303">
        <v>5206</v>
      </c>
      <c r="D60" s="283"/>
      <c r="E60" s="303">
        <v>5469</v>
      </c>
      <c r="F60" s="283"/>
      <c r="G60" s="303">
        <v>5761</v>
      </c>
      <c r="H60" s="283"/>
      <c r="I60" s="303">
        <v>6037</v>
      </c>
      <c r="J60" s="283"/>
    </row>
    <row r="61" spans="1:10" x14ac:dyDescent="0.3">
      <c r="A61" s="331" t="s">
        <v>67</v>
      </c>
      <c r="B61" s="332"/>
      <c r="C61" s="307">
        <f>SUM(C52:C60)</f>
        <v>220082</v>
      </c>
      <c r="D61" s="307"/>
      <c r="E61" s="307">
        <v>220194</v>
      </c>
      <c r="F61" s="307"/>
      <c r="G61" s="307">
        <f>SUM(G52:G60)</f>
        <v>220269</v>
      </c>
      <c r="H61" s="307"/>
      <c r="I61" s="307">
        <v>220558</v>
      </c>
      <c r="J61" s="307"/>
    </row>
    <row r="62" spans="1:10" x14ac:dyDescent="0.3">
      <c r="A62" s="1"/>
      <c r="B62" s="1"/>
      <c r="C62" s="1"/>
      <c r="D62" s="1"/>
      <c r="E62" s="1"/>
      <c r="F62" s="1"/>
      <c r="G62" s="229"/>
      <c r="H62" s="229"/>
      <c r="I62" s="1"/>
      <c r="J62" s="1"/>
    </row>
    <row r="63" spans="1:10" ht="15" customHeight="1" x14ac:dyDescent="0.3">
      <c r="A63" s="285" t="s">
        <v>68</v>
      </c>
      <c r="B63" s="286"/>
      <c r="C63" s="319" t="s">
        <v>463</v>
      </c>
      <c r="D63" s="320"/>
      <c r="E63" s="319" t="s">
        <v>474</v>
      </c>
      <c r="F63" s="320"/>
      <c r="G63" s="319" t="s">
        <v>482</v>
      </c>
      <c r="H63" s="320"/>
      <c r="I63" s="319" t="s">
        <v>489</v>
      </c>
      <c r="J63" s="320"/>
    </row>
    <row r="64" spans="1:10" x14ac:dyDescent="0.3">
      <c r="A64" s="287"/>
      <c r="B64" s="288"/>
      <c r="C64" s="297">
        <v>145128</v>
      </c>
      <c r="D64" s="298"/>
      <c r="E64" s="297">
        <v>145242</v>
      </c>
      <c r="F64" s="298"/>
      <c r="G64" s="297">
        <v>145237</v>
      </c>
      <c r="H64" s="298"/>
      <c r="I64" s="297">
        <v>145400</v>
      </c>
      <c r="J64" s="298"/>
    </row>
    <row r="65" spans="1:10" x14ac:dyDescent="0.3">
      <c r="A65" s="289"/>
      <c r="B65" s="290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352</v>
      </c>
      <c r="D69" s="284"/>
      <c r="E69" s="282" t="s">
        <v>409</v>
      </c>
      <c r="F69" s="284"/>
      <c r="G69" s="282" t="s">
        <v>483</v>
      </c>
      <c r="H69" s="284"/>
      <c r="I69" s="282" t="s">
        <v>474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37120</v>
      </c>
      <c r="D72" s="266"/>
      <c r="E72" s="265">
        <v>37446</v>
      </c>
      <c r="F72" s="266"/>
      <c r="G72" s="265">
        <v>37809</v>
      </c>
      <c r="H72" s="266"/>
      <c r="I72" s="265">
        <v>38276</v>
      </c>
      <c r="J72" s="266"/>
    </row>
    <row r="73" spans="1:10" x14ac:dyDescent="0.3">
      <c r="A73" s="269" t="s">
        <v>16</v>
      </c>
      <c r="B73" s="270"/>
      <c r="C73" s="265">
        <v>8384</v>
      </c>
      <c r="D73" s="266"/>
      <c r="E73" s="265">
        <v>8441</v>
      </c>
      <c r="F73" s="266"/>
      <c r="G73" s="265">
        <v>8538</v>
      </c>
      <c r="H73" s="266"/>
      <c r="I73" s="265">
        <v>8649</v>
      </c>
      <c r="J73" s="266"/>
    </row>
    <row r="74" spans="1:10" x14ac:dyDescent="0.3">
      <c r="A74" s="267" t="s">
        <v>17</v>
      </c>
      <c r="B74" s="268"/>
      <c r="C74" s="265">
        <v>7423</v>
      </c>
      <c r="D74" s="266"/>
      <c r="E74" s="265">
        <v>7498</v>
      </c>
      <c r="F74" s="266"/>
      <c r="G74" s="265">
        <v>7606</v>
      </c>
      <c r="H74" s="266"/>
      <c r="I74" s="265">
        <v>7748</v>
      </c>
      <c r="J74" s="266"/>
    </row>
    <row r="75" spans="1:10" x14ac:dyDescent="0.3">
      <c r="A75" s="267" t="s">
        <v>75</v>
      </c>
      <c r="B75" s="268"/>
      <c r="C75" s="265">
        <v>2597</v>
      </c>
      <c r="D75" s="266"/>
      <c r="E75" s="265">
        <v>2631</v>
      </c>
      <c r="F75" s="266"/>
      <c r="G75" s="265">
        <v>2680</v>
      </c>
      <c r="H75" s="266"/>
      <c r="I75" s="265">
        <v>2764</v>
      </c>
      <c r="J75" s="266"/>
    </row>
    <row r="76" spans="1:10" x14ac:dyDescent="0.3">
      <c r="A76" s="269" t="s">
        <v>18</v>
      </c>
      <c r="B76" s="270"/>
      <c r="C76" s="265">
        <v>6522</v>
      </c>
      <c r="D76" s="266"/>
      <c r="E76" s="265">
        <v>6618</v>
      </c>
      <c r="F76" s="266"/>
      <c r="G76" s="265">
        <v>6744</v>
      </c>
      <c r="H76" s="266"/>
      <c r="I76" s="265">
        <v>6916</v>
      </c>
      <c r="J76" s="266"/>
    </row>
    <row r="77" spans="1:10" x14ac:dyDescent="0.3">
      <c r="A77" s="267" t="s">
        <v>19</v>
      </c>
      <c r="B77" s="268"/>
      <c r="C77" s="265">
        <v>5465</v>
      </c>
      <c r="D77" s="266"/>
      <c r="E77" s="265">
        <v>5474</v>
      </c>
      <c r="F77" s="266"/>
      <c r="G77" s="265">
        <v>5446</v>
      </c>
      <c r="H77" s="266"/>
      <c r="I77" s="265">
        <v>5490</v>
      </c>
      <c r="J77" s="266"/>
    </row>
    <row r="78" spans="1:10" x14ac:dyDescent="0.3">
      <c r="A78" s="269" t="s">
        <v>20</v>
      </c>
      <c r="B78" s="270"/>
      <c r="C78" s="265">
        <v>9856</v>
      </c>
      <c r="D78" s="266"/>
      <c r="E78" s="265">
        <v>10014</v>
      </c>
      <c r="F78" s="266"/>
      <c r="G78" s="265">
        <v>10139</v>
      </c>
      <c r="H78" s="266"/>
      <c r="I78" s="265">
        <v>10298</v>
      </c>
      <c r="J78" s="266"/>
    </row>
    <row r="79" spans="1:10" x14ac:dyDescent="0.3">
      <c r="A79" s="267" t="s">
        <v>21</v>
      </c>
      <c r="B79" s="268"/>
      <c r="C79" s="265">
        <v>1876</v>
      </c>
      <c r="D79" s="266"/>
      <c r="E79" s="265">
        <v>1879</v>
      </c>
      <c r="F79" s="266"/>
      <c r="G79" s="265">
        <v>1895</v>
      </c>
      <c r="H79" s="266"/>
      <c r="I79" s="265">
        <v>1943</v>
      </c>
      <c r="J79" s="266"/>
    </row>
    <row r="80" spans="1:10" x14ac:dyDescent="0.3">
      <c r="A80" s="269" t="s">
        <v>22</v>
      </c>
      <c r="B80" s="270"/>
      <c r="C80" s="265">
        <v>7584</v>
      </c>
      <c r="D80" s="266"/>
      <c r="E80" s="265">
        <v>7657</v>
      </c>
      <c r="F80" s="266"/>
      <c r="G80" s="265">
        <v>7716</v>
      </c>
      <c r="H80" s="266"/>
      <c r="I80" s="265">
        <v>7817</v>
      </c>
      <c r="J80" s="266"/>
    </row>
    <row r="81" spans="1:10" x14ac:dyDescent="0.3">
      <c r="A81" s="263" t="s">
        <v>76</v>
      </c>
      <c r="B81" s="264"/>
      <c r="C81" s="265">
        <f>SUM(C72:C80)</f>
        <v>86827</v>
      </c>
      <c r="D81" s="266"/>
      <c r="E81" s="265">
        <v>87658</v>
      </c>
      <c r="F81" s="266"/>
      <c r="G81" s="265">
        <f>SUM(G72:G80)</f>
        <v>88573</v>
      </c>
      <c r="H81" s="266"/>
      <c r="I81" s="265">
        <f>SUM(I72:I80)</f>
        <v>89901</v>
      </c>
      <c r="J81" s="266"/>
    </row>
  </sheetData>
  <mergeCells count="330">
    <mergeCell ref="M1:M2"/>
    <mergeCell ref="N1:N2"/>
    <mergeCell ref="O1:O2"/>
    <mergeCell ref="P1:P2"/>
    <mergeCell ref="Q1:Q2"/>
    <mergeCell ref="R1:R2"/>
    <mergeCell ref="A1:B2"/>
    <mergeCell ref="C1:D2"/>
    <mergeCell ref="E1:F2"/>
    <mergeCell ref="G1:H2"/>
    <mergeCell ref="I1:J2"/>
    <mergeCell ref="K1:L2"/>
    <mergeCell ref="A5:B5"/>
    <mergeCell ref="C5:D5"/>
    <mergeCell ref="E5:F5"/>
    <mergeCell ref="G5:H5"/>
    <mergeCell ref="I5:J5"/>
    <mergeCell ref="K5:L5"/>
    <mergeCell ref="A3:B3"/>
    <mergeCell ref="C3:Q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3:B73"/>
    <mergeCell ref="E73:F73"/>
    <mergeCell ref="G73:H73"/>
    <mergeCell ref="I73:J73"/>
    <mergeCell ref="A74:B74"/>
    <mergeCell ref="E74:F74"/>
    <mergeCell ref="G74:H74"/>
    <mergeCell ref="I74:J74"/>
    <mergeCell ref="A70:B71"/>
    <mergeCell ref="G70:H71"/>
    <mergeCell ref="I70:J71"/>
    <mergeCell ref="A72:B72"/>
    <mergeCell ref="E72:F72"/>
    <mergeCell ref="G72:H72"/>
    <mergeCell ref="I72:J72"/>
    <mergeCell ref="G77:H77"/>
    <mergeCell ref="I77:J77"/>
    <mergeCell ref="A78:B78"/>
    <mergeCell ref="E78:F78"/>
    <mergeCell ref="G78:H78"/>
    <mergeCell ref="I78:J78"/>
    <mergeCell ref="C78:D78"/>
    <mergeCell ref="A75:B75"/>
    <mergeCell ref="E75:F75"/>
    <mergeCell ref="G75:H75"/>
    <mergeCell ref="I75:J75"/>
    <mergeCell ref="A76:B76"/>
    <mergeCell ref="E76:F76"/>
    <mergeCell ref="G76:H76"/>
    <mergeCell ref="I76:J76"/>
    <mergeCell ref="C81:D81"/>
    <mergeCell ref="E70:F71"/>
    <mergeCell ref="A81:B81"/>
    <mergeCell ref="E81:F81"/>
    <mergeCell ref="G81:H81"/>
    <mergeCell ref="I81:J81"/>
    <mergeCell ref="C72:D72"/>
    <mergeCell ref="C73:D73"/>
    <mergeCell ref="C74:D74"/>
    <mergeCell ref="C75:D75"/>
    <mergeCell ref="C76:D76"/>
    <mergeCell ref="C77:D77"/>
    <mergeCell ref="A79:B79"/>
    <mergeCell ref="E79:F79"/>
    <mergeCell ref="G79:H79"/>
    <mergeCell ref="I79:J79"/>
    <mergeCell ref="A80:B80"/>
    <mergeCell ref="E80:F80"/>
    <mergeCell ref="G80:H80"/>
    <mergeCell ref="I80:J80"/>
    <mergeCell ref="C79:D79"/>
    <mergeCell ref="C80:D80"/>
    <mergeCell ref="A77:B77"/>
    <mergeCell ref="E77:F7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B3A5-D10C-45E0-88BE-70CBA44F2CDD}">
  <dimension ref="A1:Z81"/>
  <sheetViews>
    <sheetView topLeftCell="A24" workbookViewId="0">
      <selection activeCell="N52" sqref="A1:XFD1048576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6640625" bestFit="1" customWidth="1"/>
    <col min="20" max="20" width="18.6640625" bestFit="1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498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95"/>
      <c r="S3" s="62"/>
      <c r="T3" s="64"/>
    </row>
    <row r="4" spans="1:26" x14ac:dyDescent="0.3">
      <c r="A4" s="763" t="s">
        <v>13</v>
      </c>
      <c r="B4" s="763"/>
      <c r="C4" s="764">
        <v>7620</v>
      </c>
      <c r="D4" s="764"/>
      <c r="E4" s="357">
        <v>108</v>
      </c>
      <c r="F4" s="357"/>
      <c r="G4" s="357">
        <v>0</v>
      </c>
      <c r="H4" s="357"/>
      <c r="I4" s="357">
        <v>0</v>
      </c>
      <c r="J4" s="357"/>
      <c r="K4" s="357">
        <v>0</v>
      </c>
      <c r="L4" s="357"/>
      <c r="M4" s="247">
        <v>3428</v>
      </c>
      <c r="N4" s="237">
        <v>350</v>
      </c>
      <c r="O4" s="237">
        <v>617</v>
      </c>
      <c r="P4" s="248">
        <v>6197</v>
      </c>
      <c r="Q4" s="248">
        <v>7376</v>
      </c>
      <c r="R4" s="248">
        <v>3964</v>
      </c>
      <c r="S4" s="64"/>
      <c r="T4" s="64"/>
    </row>
    <row r="5" spans="1:26" ht="15.75" customHeight="1" x14ac:dyDescent="0.3">
      <c r="A5" s="381" t="s">
        <v>14</v>
      </c>
      <c r="B5" s="381"/>
      <c r="C5" s="380">
        <v>828</v>
      </c>
      <c r="D5" s="380"/>
      <c r="E5" s="380">
        <v>15</v>
      </c>
      <c r="F5" s="380"/>
      <c r="G5" s="380">
        <v>0</v>
      </c>
      <c r="H5" s="380"/>
      <c r="I5" s="380">
        <v>12</v>
      </c>
      <c r="J5" s="380"/>
      <c r="K5" s="380">
        <v>8</v>
      </c>
      <c r="L5" s="380"/>
      <c r="M5" s="256">
        <v>0</v>
      </c>
      <c r="N5" s="245">
        <v>69</v>
      </c>
      <c r="O5" s="245">
        <v>39</v>
      </c>
      <c r="P5" s="245">
        <v>0</v>
      </c>
      <c r="Q5" s="245">
        <v>0</v>
      </c>
      <c r="R5" s="245">
        <v>0</v>
      </c>
      <c r="S5" s="64"/>
      <c r="T5" s="64"/>
    </row>
    <row r="6" spans="1:26" x14ac:dyDescent="0.3">
      <c r="A6" s="638" t="s">
        <v>15</v>
      </c>
      <c r="B6" s="638"/>
      <c r="C6" s="357">
        <v>460</v>
      </c>
      <c r="D6" s="357"/>
      <c r="E6" s="357">
        <v>52</v>
      </c>
      <c r="F6" s="357"/>
      <c r="G6" s="357">
        <v>42</v>
      </c>
      <c r="H6" s="357"/>
      <c r="I6" s="357">
        <v>4</v>
      </c>
      <c r="J6" s="357"/>
      <c r="K6" s="357">
        <v>0</v>
      </c>
      <c r="L6" s="357"/>
      <c r="M6" s="249">
        <v>396</v>
      </c>
      <c r="N6" s="237">
        <v>305</v>
      </c>
      <c r="O6" s="237">
        <v>113</v>
      </c>
      <c r="P6" s="237">
        <v>0</v>
      </c>
      <c r="Q6" s="237">
        <v>0</v>
      </c>
      <c r="R6" s="237">
        <v>0</v>
      </c>
      <c r="S6" s="64"/>
      <c r="T6" s="64"/>
    </row>
    <row r="7" spans="1:26" x14ac:dyDescent="0.3">
      <c r="A7" s="638" t="s">
        <v>16</v>
      </c>
      <c r="B7" s="638"/>
      <c r="C7" s="357">
        <v>343</v>
      </c>
      <c r="D7" s="357"/>
      <c r="E7" s="357">
        <v>0</v>
      </c>
      <c r="F7" s="357"/>
      <c r="G7" s="357">
        <v>0</v>
      </c>
      <c r="H7" s="357"/>
      <c r="I7" s="357">
        <v>0</v>
      </c>
      <c r="J7" s="357"/>
      <c r="K7" s="357">
        <v>0</v>
      </c>
      <c r="L7" s="357"/>
      <c r="M7" s="249">
        <v>30</v>
      </c>
      <c r="N7" s="237">
        <v>158</v>
      </c>
      <c r="O7" s="237">
        <v>25</v>
      </c>
      <c r="P7" s="237">
        <v>0</v>
      </c>
      <c r="Q7" s="237">
        <v>0</v>
      </c>
      <c r="R7" s="237">
        <v>0</v>
      </c>
      <c r="S7" s="64"/>
      <c r="T7" s="64"/>
    </row>
    <row r="8" spans="1:26" x14ac:dyDescent="0.3">
      <c r="A8" s="376" t="s">
        <v>17</v>
      </c>
      <c r="B8" s="376"/>
      <c r="C8" s="380">
        <v>500</v>
      </c>
      <c r="D8" s="380"/>
      <c r="E8" s="380">
        <v>0</v>
      </c>
      <c r="F8" s="380"/>
      <c r="G8" s="380">
        <v>0</v>
      </c>
      <c r="H8" s="380"/>
      <c r="I8" s="380">
        <v>0</v>
      </c>
      <c r="J8" s="380"/>
      <c r="K8" s="380">
        <v>0</v>
      </c>
      <c r="L8" s="380"/>
      <c r="M8" s="257">
        <v>318</v>
      </c>
      <c r="N8" s="245">
        <v>303</v>
      </c>
      <c r="O8" s="245">
        <v>0</v>
      </c>
      <c r="P8" s="245">
        <v>2</v>
      </c>
      <c r="Q8" s="245">
        <v>12</v>
      </c>
      <c r="R8" s="245">
        <v>1</v>
      </c>
      <c r="S8" s="64"/>
      <c r="T8" s="64"/>
    </row>
    <row r="9" spans="1:26" x14ac:dyDescent="0.3">
      <c r="A9" s="638" t="s">
        <v>18</v>
      </c>
      <c r="B9" s="638"/>
      <c r="C9" s="357">
        <v>121</v>
      </c>
      <c r="D9" s="357"/>
      <c r="E9" s="357">
        <v>0</v>
      </c>
      <c r="F9" s="357"/>
      <c r="G9" s="357">
        <v>0</v>
      </c>
      <c r="H9" s="357"/>
      <c r="I9" s="357">
        <v>0</v>
      </c>
      <c r="J9" s="357"/>
      <c r="K9" s="357">
        <v>0</v>
      </c>
      <c r="L9" s="357"/>
      <c r="M9" s="249">
        <v>152</v>
      </c>
      <c r="N9" s="237">
        <v>69</v>
      </c>
      <c r="O9" s="237">
        <v>79</v>
      </c>
      <c r="P9" s="237">
        <v>0</v>
      </c>
      <c r="Q9" s="237">
        <v>0</v>
      </c>
      <c r="R9" s="237">
        <v>0</v>
      </c>
      <c r="S9" s="64"/>
      <c r="T9" s="64"/>
    </row>
    <row r="10" spans="1:26" x14ac:dyDescent="0.3">
      <c r="A10" s="353" t="s">
        <v>262</v>
      </c>
      <c r="B10" s="356"/>
      <c r="C10" s="357">
        <v>149</v>
      </c>
      <c r="D10" s="357"/>
      <c r="E10" s="357">
        <v>0</v>
      </c>
      <c r="F10" s="357"/>
      <c r="G10" s="357">
        <v>0</v>
      </c>
      <c r="H10" s="357"/>
      <c r="I10" s="357">
        <v>0</v>
      </c>
      <c r="J10" s="357"/>
      <c r="K10" s="357">
        <v>0</v>
      </c>
      <c r="L10" s="357"/>
      <c r="M10" s="249">
        <v>145</v>
      </c>
      <c r="N10" s="249">
        <v>128</v>
      </c>
      <c r="O10" s="249">
        <v>26</v>
      </c>
      <c r="P10" s="237">
        <v>0</v>
      </c>
      <c r="Q10" s="237">
        <v>0</v>
      </c>
      <c r="R10" s="237">
        <v>0</v>
      </c>
      <c r="S10" s="64"/>
      <c r="T10" s="64"/>
      <c r="U10" s="64"/>
      <c r="Y10" s="64"/>
      <c r="Z10" s="64"/>
    </row>
    <row r="11" spans="1:26" x14ac:dyDescent="0.3">
      <c r="A11" s="638" t="s">
        <v>19</v>
      </c>
      <c r="B11" s="638"/>
      <c r="C11" s="357">
        <v>223</v>
      </c>
      <c r="D11" s="357"/>
      <c r="E11" s="357">
        <v>0</v>
      </c>
      <c r="F11" s="357"/>
      <c r="G11" s="357">
        <v>0</v>
      </c>
      <c r="H11" s="357"/>
      <c r="I11" s="357">
        <v>0</v>
      </c>
      <c r="J11" s="357"/>
      <c r="K11" s="357">
        <v>0</v>
      </c>
      <c r="L11" s="357"/>
      <c r="M11" s="249">
        <v>147</v>
      </c>
      <c r="N11" s="237">
        <v>166</v>
      </c>
      <c r="O11" s="237">
        <v>215</v>
      </c>
      <c r="P11" s="237">
        <v>82</v>
      </c>
      <c r="Q11" s="237">
        <v>14</v>
      </c>
      <c r="R11" s="237">
        <v>0</v>
      </c>
      <c r="T11" s="64"/>
      <c r="U11" s="64"/>
      <c r="Y11" s="64"/>
      <c r="Z11" s="64"/>
    </row>
    <row r="12" spans="1:26" x14ac:dyDescent="0.3">
      <c r="A12" s="638" t="s">
        <v>20</v>
      </c>
      <c r="B12" s="638"/>
      <c r="C12" s="357">
        <v>123</v>
      </c>
      <c r="D12" s="357"/>
      <c r="E12" s="357">
        <v>0</v>
      </c>
      <c r="F12" s="357"/>
      <c r="G12" s="357">
        <v>0</v>
      </c>
      <c r="H12" s="357"/>
      <c r="I12" s="357">
        <v>0</v>
      </c>
      <c r="J12" s="357"/>
      <c r="K12" s="357">
        <v>0</v>
      </c>
      <c r="L12" s="357"/>
      <c r="M12" s="249">
        <v>280</v>
      </c>
      <c r="N12" s="237">
        <v>319</v>
      </c>
      <c r="O12" s="237">
        <v>10</v>
      </c>
      <c r="P12" s="237">
        <v>0</v>
      </c>
      <c r="Q12" s="237">
        <v>16</v>
      </c>
      <c r="R12" s="237">
        <v>5</v>
      </c>
    </row>
    <row r="13" spans="1:26" x14ac:dyDescent="0.3">
      <c r="A13" s="638" t="s">
        <v>21</v>
      </c>
      <c r="B13" s="638"/>
      <c r="C13" s="357">
        <v>223</v>
      </c>
      <c r="D13" s="357"/>
      <c r="E13" s="357">
        <v>4</v>
      </c>
      <c r="F13" s="357"/>
      <c r="G13" s="357">
        <v>1</v>
      </c>
      <c r="H13" s="357"/>
      <c r="I13" s="357">
        <v>7</v>
      </c>
      <c r="J13" s="357"/>
      <c r="K13" s="357">
        <v>1</v>
      </c>
      <c r="L13" s="357"/>
      <c r="M13" s="249">
        <v>90</v>
      </c>
      <c r="N13" s="237">
        <v>119</v>
      </c>
      <c r="O13" s="237">
        <v>39</v>
      </c>
      <c r="P13" s="237">
        <v>0</v>
      </c>
      <c r="Q13" s="237">
        <v>0</v>
      </c>
      <c r="R13" s="237">
        <v>0</v>
      </c>
    </row>
    <row r="14" spans="1:26" x14ac:dyDescent="0.3">
      <c r="A14" s="638" t="s">
        <v>22</v>
      </c>
      <c r="B14" s="638"/>
      <c r="C14" s="357">
        <v>50</v>
      </c>
      <c r="D14" s="357"/>
      <c r="E14" s="357">
        <v>0</v>
      </c>
      <c r="F14" s="357"/>
      <c r="G14" s="357">
        <v>0</v>
      </c>
      <c r="H14" s="357"/>
      <c r="I14" s="357">
        <v>0</v>
      </c>
      <c r="J14" s="357"/>
      <c r="K14" s="357">
        <v>0</v>
      </c>
      <c r="L14" s="357"/>
      <c r="M14" s="249">
        <v>324</v>
      </c>
      <c r="N14" s="237">
        <v>349</v>
      </c>
      <c r="O14" s="237">
        <v>50</v>
      </c>
      <c r="P14" s="237">
        <v>0</v>
      </c>
      <c r="Q14" s="237">
        <v>0</v>
      </c>
      <c r="R14" s="237">
        <v>0</v>
      </c>
      <c r="V14" s="64"/>
      <c r="W14" s="64"/>
    </row>
    <row r="15" spans="1:26" ht="15" thickBot="1" x14ac:dyDescent="0.35">
      <c r="A15" s="761" t="s">
        <v>23</v>
      </c>
      <c r="B15" s="761"/>
      <c r="C15" s="765">
        <v>0</v>
      </c>
      <c r="D15" s="765"/>
      <c r="E15" s="765">
        <v>0</v>
      </c>
      <c r="F15" s="765"/>
      <c r="G15" s="765">
        <v>0</v>
      </c>
      <c r="H15" s="765"/>
      <c r="I15" s="765">
        <v>0</v>
      </c>
      <c r="J15" s="765"/>
      <c r="K15" s="765">
        <v>0</v>
      </c>
      <c r="L15" s="765"/>
      <c r="M15" s="251">
        <v>0</v>
      </c>
      <c r="N15" s="250">
        <v>0</v>
      </c>
      <c r="O15" s="250">
        <v>0</v>
      </c>
      <c r="P15" s="252">
        <v>4856</v>
      </c>
      <c r="Q15" s="252">
        <v>2220</v>
      </c>
      <c r="R15" s="248">
        <v>3536</v>
      </c>
    </row>
    <row r="16" spans="1:26" ht="15" thickBot="1" x14ac:dyDescent="0.35">
      <c r="A16" s="757" t="s">
        <v>24</v>
      </c>
      <c r="B16" s="758"/>
      <c r="C16" s="767">
        <f>SUM(C4:D15)</f>
        <v>10640</v>
      </c>
      <c r="D16" s="768"/>
      <c r="E16" s="767">
        <f>SUM(E4:F15)</f>
        <v>179</v>
      </c>
      <c r="F16" s="768"/>
      <c r="G16" s="767">
        <f>SUM(G4:H15)</f>
        <v>43</v>
      </c>
      <c r="H16" s="768"/>
      <c r="I16" s="767">
        <f>SUM(I4:J15)</f>
        <v>23</v>
      </c>
      <c r="J16" s="768"/>
      <c r="K16" s="767">
        <f>SUM(K4:L15)</f>
        <v>9</v>
      </c>
      <c r="L16" s="768"/>
      <c r="M16" s="253">
        <f t="shared" ref="M16:R16" si="0">SUM(M4:M15)</f>
        <v>5310</v>
      </c>
      <c r="N16" s="253">
        <f t="shared" si="0"/>
        <v>2335</v>
      </c>
      <c r="O16" s="253">
        <f t="shared" si="0"/>
        <v>1213</v>
      </c>
      <c r="P16" s="253">
        <f t="shared" si="0"/>
        <v>11137</v>
      </c>
      <c r="Q16" s="253">
        <f t="shared" si="0"/>
        <v>9638</v>
      </c>
      <c r="R16" s="249">
        <f t="shared" si="0"/>
        <v>7506</v>
      </c>
    </row>
    <row r="17" spans="1:23" x14ac:dyDescent="0.3">
      <c r="A17" s="756" t="s">
        <v>25</v>
      </c>
      <c r="B17" s="756"/>
      <c r="C17" s="766">
        <v>7620</v>
      </c>
      <c r="D17" s="766"/>
      <c r="E17" s="756">
        <v>108</v>
      </c>
      <c r="F17" s="756"/>
      <c r="G17" s="756">
        <v>0</v>
      </c>
      <c r="H17" s="756"/>
      <c r="I17" s="756">
        <v>0</v>
      </c>
      <c r="J17" s="756"/>
      <c r="K17" s="756">
        <v>0</v>
      </c>
      <c r="L17" s="756"/>
      <c r="M17" s="254">
        <v>3359</v>
      </c>
      <c r="N17" s="244">
        <v>350</v>
      </c>
      <c r="O17" s="255">
        <v>617</v>
      </c>
      <c r="P17" s="238">
        <v>6197</v>
      </c>
      <c r="Q17" s="242">
        <v>7376</v>
      </c>
      <c r="R17" s="238">
        <v>3964</v>
      </c>
    </row>
    <row r="18" spans="1:23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U18" s="64"/>
      <c r="W18" s="64"/>
    </row>
    <row r="19" spans="1:23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U19" s="64"/>
      <c r="W19" s="64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64"/>
      <c r="P20" s="64"/>
      <c r="Q20" s="64"/>
      <c r="S20" s="64"/>
      <c r="T20" s="64"/>
      <c r="U20" s="64"/>
      <c r="W20" s="64"/>
    </row>
    <row r="21" spans="1:23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64"/>
      <c r="P21" s="64"/>
      <c r="Q21" s="64"/>
      <c r="S21" s="64"/>
      <c r="T21" s="64"/>
      <c r="U21" s="64"/>
      <c r="W21" s="64"/>
    </row>
    <row r="22" spans="1:23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O22" s="64"/>
      <c r="P22" s="64"/>
      <c r="Q22" s="64"/>
      <c r="U22" s="64"/>
      <c r="W22" s="64"/>
    </row>
    <row r="23" spans="1:23" x14ac:dyDescent="0.3">
      <c r="A23" s="331" t="s">
        <v>11</v>
      </c>
      <c r="B23" s="332"/>
      <c r="C23" s="333" t="s">
        <v>498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O23" s="64"/>
      <c r="P23" s="64"/>
      <c r="Q23" s="64"/>
      <c r="R23" s="141"/>
    </row>
    <row r="24" spans="1:23" x14ac:dyDescent="0.3">
      <c r="A24" s="353" t="s">
        <v>15</v>
      </c>
      <c r="B24" s="354"/>
      <c r="C24" s="325">
        <v>625</v>
      </c>
      <c r="D24" s="325"/>
      <c r="E24" s="355" t="s">
        <v>226</v>
      </c>
      <c r="F24" s="355"/>
      <c r="G24" s="325">
        <v>0</v>
      </c>
      <c r="H24" s="325"/>
      <c r="I24" s="325">
        <v>23</v>
      </c>
      <c r="J24" s="325"/>
      <c r="K24" s="173">
        <v>0</v>
      </c>
      <c r="L24" s="175">
        <v>9</v>
      </c>
      <c r="M24" s="175">
        <v>4</v>
      </c>
      <c r="O24" s="64"/>
      <c r="P24" s="64"/>
      <c r="Q24" s="64"/>
    </row>
    <row r="25" spans="1:23" x14ac:dyDescent="0.3">
      <c r="A25" s="353" t="s">
        <v>16</v>
      </c>
      <c r="B25" s="354"/>
      <c r="C25" s="325">
        <v>354</v>
      </c>
      <c r="D25" s="325"/>
      <c r="E25" s="355" t="s">
        <v>494</v>
      </c>
      <c r="F25" s="355"/>
      <c r="G25" s="325">
        <v>0</v>
      </c>
      <c r="H25" s="325"/>
      <c r="I25" s="325">
        <v>55</v>
      </c>
      <c r="J25" s="325"/>
      <c r="K25" s="173">
        <v>0</v>
      </c>
      <c r="L25" s="175">
        <v>7</v>
      </c>
      <c r="M25" s="175">
        <v>2</v>
      </c>
      <c r="O25" s="64"/>
      <c r="P25" s="64"/>
      <c r="Q25" s="64"/>
    </row>
    <row r="26" spans="1:23" x14ac:dyDescent="0.3">
      <c r="A26" s="378" t="s">
        <v>17</v>
      </c>
      <c r="B26" s="617"/>
      <c r="C26" s="377">
        <v>143</v>
      </c>
      <c r="D26" s="377"/>
      <c r="E26" s="609" t="s">
        <v>81</v>
      </c>
      <c r="F26" s="609"/>
      <c r="G26" s="377">
        <v>9</v>
      </c>
      <c r="H26" s="377"/>
      <c r="I26" s="377">
        <v>36</v>
      </c>
      <c r="J26" s="377"/>
      <c r="K26" s="9">
        <v>0</v>
      </c>
      <c r="L26" s="28">
        <v>4</v>
      </c>
      <c r="M26" s="28">
        <v>2</v>
      </c>
      <c r="O26" s="64"/>
      <c r="P26" s="64"/>
      <c r="Q26" s="64"/>
    </row>
    <row r="27" spans="1:23" x14ac:dyDescent="0.3">
      <c r="A27" s="353" t="s">
        <v>18</v>
      </c>
      <c r="B27" s="354"/>
      <c r="C27" s="355" t="s">
        <v>452</v>
      </c>
      <c r="D27" s="355"/>
      <c r="E27" s="355" t="s">
        <v>253</v>
      </c>
      <c r="F27" s="355"/>
      <c r="G27" s="325">
        <v>0</v>
      </c>
      <c r="H27" s="325"/>
      <c r="I27" s="325">
        <v>25</v>
      </c>
      <c r="J27" s="325"/>
      <c r="K27" s="173">
        <v>4</v>
      </c>
      <c r="L27" s="175">
        <v>1</v>
      </c>
      <c r="M27" s="175">
        <v>0</v>
      </c>
      <c r="O27" s="64"/>
      <c r="P27" s="64"/>
      <c r="Q27" s="64"/>
    </row>
    <row r="28" spans="1:23" x14ac:dyDescent="0.3">
      <c r="A28" s="353" t="s">
        <v>262</v>
      </c>
      <c r="B28" s="356"/>
      <c r="C28" s="355" t="s">
        <v>492</v>
      </c>
      <c r="D28" s="357"/>
      <c r="E28" s="355" t="s">
        <v>35</v>
      </c>
      <c r="F28" s="357"/>
      <c r="G28" s="325">
        <v>0</v>
      </c>
      <c r="H28" s="357"/>
      <c r="I28" s="325">
        <v>8</v>
      </c>
      <c r="J28" s="357"/>
      <c r="K28" s="173">
        <v>0</v>
      </c>
      <c r="L28" s="175">
        <v>10</v>
      </c>
      <c r="M28" s="175">
        <v>8</v>
      </c>
      <c r="P28" s="64"/>
      <c r="Q28" s="64"/>
    </row>
    <row r="29" spans="1:23" x14ac:dyDescent="0.3">
      <c r="A29" s="353" t="s">
        <v>19</v>
      </c>
      <c r="B29" s="354"/>
      <c r="C29" s="355" t="s">
        <v>245</v>
      </c>
      <c r="D29" s="355"/>
      <c r="E29" s="355" t="s">
        <v>253</v>
      </c>
      <c r="F29" s="355"/>
      <c r="G29" s="325">
        <v>0</v>
      </c>
      <c r="H29" s="325"/>
      <c r="I29" s="325">
        <v>20</v>
      </c>
      <c r="J29" s="325"/>
      <c r="K29" s="173">
        <v>3</v>
      </c>
      <c r="L29" s="175">
        <v>6</v>
      </c>
      <c r="M29" s="175">
        <v>9</v>
      </c>
    </row>
    <row r="30" spans="1:23" x14ac:dyDescent="0.3">
      <c r="A30" s="353" t="s">
        <v>20</v>
      </c>
      <c r="B30" s="354"/>
      <c r="C30" s="325">
        <v>190</v>
      </c>
      <c r="D30" s="325"/>
      <c r="E30" s="355" t="s">
        <v>35</v>
      </c>
      <c r="F30" s="355"/>
      <c r="G30" s="325">
        <v>0</v>
      </c>
      <c r="H30" s="325"/>
      <c r="I30" s="325">
        <v>0</v>
      </c>
      <c r="J30" s="325"/>
      <c r="K30" s="173">
        <v>0</v>
      </c>
      <c r="L30" s="175">
        <v>0</v>
      </c>
      <c r="M30" s="175">
        <v>0</v>
      </c>
    </row>
    <row r="31" spans="1:23" x14ac:dyDescent="0.3">
      <c r="A31" s="353" t="s">
        <v>21</v>
      </c>
      <c r="B31" s="354"/>
      <c r="C31" s="355" t="s">
        <v>327</v>
      </c>
      <c r="D31" s="355"/>
      <c r="E31" s="355" t="s">
        <v>466</v>
      </c>
      <c r="F31" s="355"/>
      <c r="G31" s="325">
        <v>0</v>
      </c>
      <c r="H31" s="325"/>
      <c r="I31" s="325">
        <v>10</v>
      </c>
      <c r="J31" s="325"/>
      <c r="K31" s="173">
        <v>0</v>
      </c>
      <c r="L31" s="175">
        <v>10</v>
      </c>
      <c r="M31" s="175">
        <v>0</v>
      </c>
    </row>
    <row r="32" spans="1:23" x14ac:dyDescent="0.3">
      <c r="A32" s="353" t="s">
        <v>22</v>
      </c>
      <c r="B32" s="354"/>
      <c r="C32" s="325">
        <v>0</v>
      </c>
      <c r="D32" s="325"/>
      <c r="E32" s="355" t="s">
        <v>35</v>
      </c>
      <c r="F32" s="355"/>
      <c r="G32" s="325">
        <v>0</v>
      </c>
      <c r="H32" s="325"/>
      <c r="I32" s="325">
        <v>0</v>
      </c>
      <c r="J32" s="325"/>
      <c r="K32" s="173">
        <v>0</v>
      </c>
      <c r="L32" s="175">
        <v>0</v>
      </c>
      <c r="M32" s="175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498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321" t="s">
        <v>15</v>
      </c>
      <c r="B38" s="322"/>
      <c r="C38" s="323">
        <v>22</v>
      </c>
      <c r="D38" s="324"/>
      <c r="E38" s="326" t="s">
        <v>485</v>
      </c>
      <c r="F38" s="327"/>
      <c r="G38" s="323" t="s">
        <v>40</v>
      </c>
      <c r="H38" s="324"/>
      <c r="I38" s="323">
        <v>0</v>
      </c>
      <c r="J38" s="324"/>
      <c r="K38" s="232">
        <v>1</v>
      </c>
      <c r="L38" s="233" t="s">
        <v>497</v>
      </c>
      <c r="M38" s="233" t="s">
        <v>401</v>
      </c>
    </row>
    <row r="39" spans="1:13" x14ac:dyDescent="0.3">
      <c r="A39" s="321" t="s">
        <v>16</v>
      </c>
      <c r="B39" s="322"/>
      <c r="C39" s="323">
        <v>0</v>
      </c>
      <c r="D39" s="324"/>
      <c r="E39" s="326" t="s">
        <v>495</v>
      </c>
      <c r="F39" s="327"/>
      <c r="G39" s="323" t="s">
        <v>496</v>
      </c>
      <c r="H39" s="324"/>
      <c r="I39" s="323">
        <v>0</v>
      </c>
      <c r="J39" s="324"/>
      <c r="K39" s="173">
        <v>0</v>
      </c>
      <c r="L39" s="175">
        <v>0</v>
      </c>
      <c r="M39" s="175">
        <v>0</v>
      </c>
    </row>
    <row r="40" spans="1:13" x14ac:dyDescent="0.3">
      <c r="A40" s="622" t="s">
        <v>17</v>
      </c>
      <c r="B40" s="623"/>
      <c r="C40" s="409" t="s">
        <v>500</v>
      </c>
      <c r="D40" s="410"/>
      <c r="E40" s="437" t="s">
        <v>501</v>
      </c>
      <c r="F40" s="438"/>
      <c r="G40" s="409" t="s">
        <v>82</v>
      </c>
      <c r="H40" s="410"/>
      <c r="I40" s="323" t="s">
        <v>491</v>
      </c>
      <c r="J40" s="324"/>
      <c r="K40" s="173" t="s">
        <v>45</v>
      </c>
      <c r="L40" s="175" t="s">
        <v>42</v>
      </c>
      <c r="M40" s="175" t="s">
        <v>204</v>
      </c>
    </row>
    <row r="41" spans="1:13" x14ac:dyDescent="0.3">
      <c r="A41" s="321" t="s">
        <v>18</v>
      </c>
      <c r="B41" s="322"/>
      <c r="C41" s="323">
        <v>0</v>
      </c>
      <c r="D41" s="324"/>
      <c r="E41" s="326" t="s">
        <v>488</v>
      </c>
      <c r="F41" s="327"/>
      <c r="G41" s="323" t="s">
        <v>139</v>
      </c>
      <c r="H41" s="324"/>
      <c r="I41" s="323">
        <v>0</v>
      </c>
      <c r="J41" s="324"/>
      <c r="K41" s="173">
        <v>0</v>
      </c>
      <c r="L41" s="175">
        <v>0</v>
      </c>
      <c r="M41" s="175">
        <v>0</v>
      </c>
    </row>
    <row r="42" spans="1:13" x14ac:dyDescent="0.3">
      <c r="A42" s="321" t="s">
        <v>262</v>
      </c>
      <c r="B42" s="328"/>
      <c r="C42" s="323">
        <v>0</v>
      </c>
      <c r="D42" s="329"/>
      <c r="E42" s="326" t="s">
        <v>440</v>
      </c>
      <c r="F42" s="330"/>
      <c r="G42" s="323">
        <v>7</v>
      </c>
      <c r="H42" s="329"/>
      <c r="I42" s="323">
        <v>0</v>
      </c>
      <c r="J42" s="329"/>
      <c r="K42" s="173">
        <v>0</v>
      </c>
      <c r="L42" s="175">
        <v>0</v>
      </c>
      <c r="M42" s="175">
        <v>0</v>
      </c>
    </row>
    <row r="43" spans="1:13" x14ac:dyDescent="0.3">
      <c r="A43" s="321" t="s">
        <v>19</v>
      </c>
      <c r="B43" s="322"/>
      <c r="C43" s="323" t="s">
        <v>209</v>
      </c>
      <c r="D43" s="324"/>
      <c r="E43" s="326" t="s">
        <v>445</v>
      </c>
      <c r="F43" s="327"/>
      <c r="G43" s="323">
        <v>0</v>
      </c>
      <c r="H43" s="324"/>
      <c r="I43" s="323" t="s">
        <v>293</v>
      </c>
      <c r="J43" s="324"/>
      <c r="K43" s="173" t="s">
        <v>99</v>
      </c>
      <c r="L43" s="175">
        <v>0</v>
      </c>
      <c r="M43" s="175">
        <v>0</v>
      </c>
    </row>
    <row r="44" spans="1:13" x14ac:dyDescent="0.3">
      <c r="A44" s="321" t="s">
        <v>20</v>
      </c>
      <c r="B44" s="322"/>
      <c r="C44" s="323">
        <v>0</v>
      </c>
      <c r="D44" s="324"/>
      <c r="E44" s="323" t="s">
        <v>493</v>
      </c>
      <c r="F44" s="324"/>
      <c r="G44" s="323" t="s">
        <v>347</v>
      </c>
      <c r="H44" s="324"/>
      <c r="I44" s="323">
        <v>0</v>
      </c>
      <c r="J44" s="324"/>
      <c r="K44" s="173">
        <v>0</v>
      </c>
      <c r="L44" s="175">
        <v>0</v>
      </c>
      <c r="M44" s="175">
        <v>0</v>
      </c>
    </row>
    <row r="45" spans="1:13" x14ac:dyDescent="0.3">
      <c r="A45" s="321" t="s">
        <v>21</v>
      </c>
      <c r="B45" s="322"/>
      <c r="C45" s="323" t="s">
        <v>143</v>
      </c>
      <c r="D45" s="324"/>
      <c r="E45" s="325" t="s">
        <v>406</v>
      </c>
      <c r="F45" s="325"/>
      <c r="G45" s="325">
        <v>0</v>
      </c>
      <c r="H45" s="325"/>
      <c r="I45" s="325">
        <v>0</v>
      </c>
      <c r="J45" s="325"/>
      <c r="K45" s="173">
        <v>0</v>
      </c>
      <c r="L45" s="175" t="s">
        <v>280</v>
      </c>
      <c r="M45" s="175" t="s">
        <v>40</v>
      </c>
    </row>
    <row r="46" spans="1:13" x14ac:dyDescent="0.3">
      <c r="A46" s="321" t="s">
        <v>22</v>
      </c>
      <c r="B46" s="322"/>
      <c r="C46" s="323">
        <v>0</v>
      </c>
      <c r="D46" s="324"/>
      <c r="E46" s="326" t="s">
        <v>454</v>
      </c>
      <c r="F46" s="327"/>
      <c r="G46" s="323">
        <v>0</v>
      </c>
      <c r="H46" s="324"/>
      <c r="I46" s="323" t="s">
        <v>99</v>
      </c>
      <c r="J46" s="324"/>
      <c r="K46" s="173" t="s">
        <v>100</v>
      </c>
      <c r="L46" s="175">
        <v>0</v>
      </c>
      <c r="M46" s="175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620" t="s">
        <v>56</v>
      </c>
      <c r="B51" s="621"/>
      <c r="C51" s="319" t="s">
        <v>474</v>
      </c>
      <c r="D51" s="320"/>
      <c r="E51" s="319" t="s">
        <v>482</v>
      </c>
      <c r="F51" s="320"/>
      <c r="G51" s="319" t="s">
        <v>489</v>
      </c>
      <c r="H51" s="320"/>
      <c r="I51" s="291" t="s">
        <v>499</v>
      </c>
      <c r="J51" s="292"/>
    </row>
    <row r="52" spans="1:10" x14ac:dyDescent="0.3">
      <c r="A52" s="331" t="s">
        <v>59</v>
      </c>
      <c r="B52" s="383"/>
      <c r="C52" s="311">
        <v>8161</v>
      </c>
      <c r="D52" s="312"/>
      <c r="E52" s="311">
        <v>8135</v>
      </c>
      <c r="F52" s="312"/>
      <c r="G52" s="311">
        <v>8108</v>
      </c>
      <c r="H52" s="312"/>
      <c r="I52" s="309"/>
      <c r="J52" s="310"/>
    </row>
    <row r="53" spans="1:10" ht="15" customHeight="1" x14ac:dyDescent="0.3">
      <c r="A53" s="331" t="s">
        <v>60</v>
      </c>
      <c r="B53" s="383"/>
      <c r="C53" s="311">
        <v>13458</v>
      </c>
      <c r="D53" s="312"/>
      <c r="E53" s="311">
        <v>13449</v>
      </c>
      <c r="F53" s="312"/>
      <c r="G53" s="311">
        <v>13452</v>
      </c>
      <c r="H53" s="312"/>
      <c r="I53" s="309"/>
      <c r="J53" s="310"/>
    </row>
    <row r="54" spans="1:10" x14ac:dyDescent="0.3">
      <c r="A54" s="331" t="s">
        <v>61</v>
      </c>
      <c r="B54" s="383"/>
      <c r="C54" s="311">
        <v>108000</v>
      </c>
      <c r="D54" s="312"/>
      <c r="E54" s="311">
        <v>107930</v>
      </c>
      <c r="F54" s="312"/>
      <c r="G54" s="311">
        <v>107940</v>
      </c>
      <c r="H54" s="312"/>
      <c r="I54" s="309"/>
      <c r="J54" s="310"/>
    </row>
    <row r="55" spans="1:10" x14ac:dyDescent="0.3">
      <c r="A55" s="331" t="s">
        <v>62</v>
      </c>
      <c r="B55" s="383"/>
      <c r="C55" s="311">
        <v>208</v>
      </c>
      <c r="D55" s="312"/>
      <c r="E55" s="311">
        <v>208</v>
      </c>
      <c r="F55" s="312"/>
      <c r="G55" s="311">
        <v>208</v>
      </c>
      <c r="H55" s="312"/>
      <c r="I55" s="309"/>
      <c r="J55" s="310"/>
    </row>
    <row r="56" spans="1:10" x14ac:dyDescent="0.3">
      <c r="A56" s="331" t="s">
        <v>63</v>
      </c>
      <c r="B56" s="383"/>
      <c r="C56" s="303">
        <v>48365</v>
      </c>
      <c r="D56" s="283"/>
      <c r="E56" s="303">
        <v>48343</v>
      </c>
      <c r="F56" s="283"/>
      <c r="G56" s="303">
        <v>48369</v>
      </c>
      <c r="H56" s="283"/>
      <c r="I56" s="301"/>
      <c r="J56" s="302"/>
    </row>
    <row r="57" spans="1:10" x14ac:dyDescent="0.3">
      <c r="A57" s="331" t="s">
        <v>64</v>
      </c>
      <c r="B57" s="383"/>
      <c r="C57" s="303">
        <v>5469</v>
      </c>
      <c r="D57" s="283"/>
      <c r="E57" s="303">
        <v>5874</v>
      </c>
      <c r="F57" s="283"/>
      <c r="G57" s="303">
        <v>5866</v>
      </c>
      <c r="H57" s="283"/>
      <c r="I57" s="301"/>
      <c r="J57" s="302"/>
    </row>
    <row r="58" spans="1:10" x14ac:dyDescent="0.3">
      <c r="A58" s="331" t="s">
        <v>65</v>
      </c>
      <c r="B58" s="383"/>
      <c r="C58" s="303">
        <v>26133</v>
      </c>
      <c r="D58" s="283"/>
      <c r="E58" s="303">
        <v>26072</v>
      </c>
      <c r="F58" s="283"/>
      <c r="G58" s="303">
        <v>26083</v>
      </c>
      <c r="H58" s="283"/>
      <c r="I58" s="301"/>
      <c r="J58" s="302"/>
    </row>
    <row r="59" spans="1:10" x14ac:dyDescent="0.3">
      <c r="A59" s="331" t="s">
        <v>66</v>
      </c>
      <c r="B59" s="383"/>
      <c r="C59" s="303">
        <v>4504</v>
      </c>
      <c r="D59" s="283"/>
      <c r="E59" s="303">
        <v>4497</v>
      </c>
      <c r="F59" s="283"/>
      <c r="G59" s="303">
        <v>4495</v>
      </c>
      <c r="H59" s="283"/>
      <c r="I59" s="301"/>
      <c r="J59" s="302"/>
    </row>
    <row r="60" spans="1:10" x14ac:dyDescent="0.3">
      <c r="A60" s="165"/>
      <c r="B60" s="166" t="s">
        <v>251</v>
      </c>
      <c r="C60" s="303">
        <v>5469</v>
      </c>
      <c r="D60" s="283"/>
      <c r="E60" s="303">
        <v>5761</v>
      </c>
      <c r="F60" s="283"/>
      <c r="G60" s="303">
        <v>6037</v>
      </c>
      <c r="H60" s="283"/>
      <c r="I60" s="301"/>
      <c r="J60" s="302"/>
    </row>
    <row r="61" spans="1:10" x14ac:dyDescent="0.3">
      <c r="A61" s="331" t="s">
        <v>67</v>
      </c>
      <c r="B61" s="332"/>
      <c r="C61" s="307">
        <v>220194</v>
      </c>
      <c r="D61" s="307"/>
      <c r="E61" s="307">
        <f>SUM(E52:E60)</f>
        <v>220269</v>
      </c>
      <c r="F61" s="307"/>
      <c r="G61" s="307">
        <v>220558</v>
      </c>
      <c r="H61" s="307"/>
      <c r="I61" s="306"/>
      <c r="J61" s="306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246"/>
      <c r="J62" s="246"/>
    </row>
    <row r="63" spans="1:10" ht="15" customHeight="1" x14ac:dyDescent="0.3">
      <c r="A63" s="275" t="s">
        <v>68</v>
      </c>
      <c r="B63" s="276"/>
      <c r="C63" s="319" t="s">
        <v>474</v>
      </c>
      <c r="D63" s="320"/>
      <c r="E63" s="319" t="s">
        <v>482</v>
      </c>
      <c r="F63" s="320"/>
      <c r="G63" s="319" t="s">
        <v>489</v>
      </c>
      <c r="H63" s="320"/>
      <c r="I63" s="291" t="s">
        <v>499</v>
      </c>
      <c r="J63" s="292"/>
    </row>
    <row r="64" spans="1:10" x14ac:dyDescent="0.3">
      <c r="A64" s="618"/>
      <c r="B64" s="619"/>
      <c r="C64" s="297">
        <v>145242</v>
      </c>
      <c r="D64" s="298"/>
      <c r="E64" s="297">
        <v>145237</v>
      </c>
      <c r="F64" s="298"/>
      <c r="G64" s="297">
        <v>145400</v>
      </c>
      <c r="H64" s="298"/>
      <c r="I64" s="293"/>
      <c r="J64" s="294"/>
    </row>
    <row r="65" spans="1:10" x14ac:dyDescent="0.3">
      <c r="A65" s="277"/>
      <c r="B65" s="278"/>
      <c r="C65" s="299"/>
      <c r="D65" s="300"/>
      <c r="E65" s="299"/>
      <c r="F65" s="300"/>
      <c r="G65" s="299"/>
      <c r="H65" s="300"/>
      <c r="I65" s="295"/>
      <c r="J65" s="296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352</v>
      </c>
      <c r="D69" s="284"/>
      <c r="E69" s="282" t="s">
        <v>409</v>
      </c>
      <c r="F69" s="284"/>
      <c r="G69" s="282" t="s">
        <v>483</v>
      </c>
      <c r="H69" s="284"/>
      <c r="I69" s="282" t="s">
        <v>474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37120</v>
      </c>
      <c r="D72" s="266"/>
      <c r="E72" s="265">
        <v>37446</v>
      </c>
      <c r="F72" s="266"/>
      <c r="G72" s="265">
        <v>37809</v>
      </c>
      <c r="H72" s="266"/>
      <c r="I72" s="265">
        <v>38276</v>
      </c>
      <c r="J72" s="266"/>
    </row>
    <row r="73" spans="1:10" x14ac:dyDescent="0.3">
      <c r="A73" s="269" t="s">
        <v>16</v>
      </c>
      <c r="B73" s="270"/>
      <c r="C73" s="265">
        <v>8384</v>
      </c>
      <c r="D73" s="266"/>
      <c r="E73" s="265">
        <v>8441</v>
      </c>
      <c r="F73" s="266"/>
      <c r="G73" s="265">
        <v>8538</v>
      </c>
      <c r="H73" s="266"/>
      <c r="I73" s="265">
        <v>8649</v>
      </c>
      <c r="J73" s="266"/>
    </row>
    <row r="74" spans="1:10" x14ac:dyDescent="0.3">
      <c r="A74" s="267" t="s">
        <v>17</v>
      </c>
      <c r="B74" s="268"/>
      <c r="C74" s="265">
        <v>7423</v>
      </c>
      <c r="D74" s="266"/>
      <c r="E74" s="265">
        <v>7498</v>
      </c>
      <c r="F74" s="266"/>
      <c r="G74" s="265">
        <v>7606</v>
      </c>
      <c r="H74" s="266"/>
      <c r="I74" s="265">
        <v>7748</v>
      </c>
      <c r="J74" s="266"/>
    </row>
    <row r="75" spans="1:10" x14ac:dyDescent="0.3">
      <c r="A75" s="267" t="s">
        <v>75</v>
      </c>
      <c r="B75" s="268"/>
      <c r="C75" s="265">
        <v>2597</v>
      </c>
      <c r="D75" s="266"/>
      <c r="E75" s="265">
        <v>2631</v>
      </c>
      <c r="F75" s="266"/>
      <c r="G75" s="265">
        <v>2680</v>
      </c>
      <c r="H75" s="266"/>
      <c r="I75" s="265">
        <v>2764</v>
      </c>
      <c r="J75" s="266"/>
    </row>
    <row r="76" spans="1:10" x14ac:dyDescent="0.3">
      <c r="A76" s="269" t="s">
        <v>18</v>
      </c>
      <c r="B76" s="270"/>
      <c r="C76" s="265">
        <v>6522</v>
      </c>
      <c r="D76" s="266"/>
      <c r="E76" s="265">
        <v>6618</v>
      </c>
      <c r="F76" s="266"/>
      <c r="G76" s="265">
        <v>6744</v>
      </c>
      <c r="H76" s="266"/>
      <c r="I76" s="265">
        <v>6916</v>
      </c>
      <c r="J76" s="266"/>
    </row>
    <row r="77" spans="1:10" x14ac:dyDescent="0.3">
      <c r="A77" s="267" t="s">
        <v>19</v>
      </c>
      <c r="B77" s="268"/>
      <c r="C77" s="265">
        <v>5465</v>
      </c>
      <c r="D77" s="266"/>
      <c r="E77" s="265">
        <v>5474</v>
      </c>
      <c r="F77" s="266"/>
      <c r="G77" s="265">
        <v>5446</v>
      </c>
      <c r="H77" s="266"/>
      <c r="I77" s="265">
        <v>5490</v>
      </c>
      <c r="J77" s="266"/>
    </row>
    <row r="78" spans="1:10" x14ac:dyDescent="0.3">
      <c r="A78" s="269" t="s">
        <v>20</v>
      </c>
      <c r="B78" s="270"/>
      <c r="C78" s="265">
        <v>9856</v>
      </c>
      <c r="D78" s="266"/>
      <c r="E78" s="265">
        <v>10014</v>
      </c>
      <c r="F78" s="266"/>
      <c r="G78" s="265">
        <v>10139</v>
      </c>
      <c r="H78" s="266"/>
      <c r="I78" s="265">
        <v>10298</v>
      </c>
      <c r="J78" s="266"/>
    </row>
    <row r="79" spans="1:10" x14ac:dyDescent="0.3">
      <c r="A79" s="267" t="s">
        <v>21</v>
      </c>
      <c r="B79" s="268"/>
      <c r="C79" s="265">
        <v>1876</v>
      </c>
      <c r="D79" s="266"/>
      <c r="E79" s="265">
        <v>1879</v>
      </c>
      <c r="F79" s="266"/>
      <c r="G79" s="265">
        <v>1895</v>
      </c>
      <c r="H79" s="266"/>
      <c r="I79" s="265">
        <v>1943</v>
      </c>
      <c r="J79" s="266"/>
    </row>
    <row r="80" spans="1:10" x14ac:dyDescent="0.3">
      <c r="A80" s="269" t="s">
        <v>22</v>
      </c>
      <c r="B80" s="270"/>
      <c r="C80" s="265">
        <v>7584</v>
      </c>
      <c r="D80" s="266"/>
      <c r="E80" s="265">
        <v>7657</v>
      </c>
      <c r="F80" s="266"/>
      <c r="G80" s="265">
        <v>7716</v>
      </c>
      <c r="H80" s="266"/>
      <c r="I80" s="265">
        <v>7817</v>
      </c>
      <c r="J80" s="266"/>
    </row>
    <row r="81" spans="1:10" x14ac:dyDescent="0.3">
      <c r="A81" s="263" t="s">
        <v>76</v>
      </c>
      <c r="B81" s="264"/>
      <c r="C81" s="265">
        <f>SUM(C72:C80)</f>
        <v>86827</v>
      </c>
      <c r="D81" s="266"/>
      <c r="E81" s="265">
        <v>87658</v>
      </c>
      <c r="F81" s="266"/>
      <c r="G81" s="265">
        <f>SUM(G72:G80)</f>
        <v>88573</v>
      </c>
      <c r="H81" s="266"/>
      <c r="I81" s="265">
        <f>SUM(I72:I80)</f>
        <v>89901</v>
      </c>
      <c r="J81" s="266"/>
    </row>
  </sheetData>
  <mergeCells count="330"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0:B71"/>
    <mergeCell ref="E70:F71"/>
    <mergeCell ref="G70:H71"/>
    <mergeCell ref="I70:J71"/>
    <mergeCell ref="A72:B72"/>
    <mergeCell ref="C72:D72"/>
    <mergeCell ref="E72:F72"/>
    <mergeCell ref="G72:H72"/>
    <mergeCell ref="I72:J72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K11:L11"/>
    <mergeCell ref="K12:L12"/>
    <mergeCell ref="A13:B13"/>
    <mergeCell ref="C13:D13"/>
    <mergeCell ref="E13:F13"/>
    <mergeCell ref="G13:H13"/>
    <mergeCell ref="I13:J13"/>
    <mergeCell ref="K13:L13"/>
    <mergeCell ref="Q1:Q2"/>
    <mergeCell ref="K7:L7"/>
    <mergeCell ref="K8:L8"/>
    <mergeCell ref="K9:L9"/>
    <mergeCell ref="K10:L1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9:B9"/>
    <mergeCell ref="R1:R2"/>
    <mergeCell ref="C3:Q3"/>
    <mergeCell ref="K4:L4"/>
    <mergeCell ref="K5:L5"/>
    <mergeCell ref="K6:L6"/>
    <mergeCell ref="K1:L2"/>
    <mergeCell ref="M1:M2"/>
    <mergeCell ref="N1:N2"/>
    <mergeCell ref="O1:O2"/>
    <mergeCell ref="P1:P2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3:B3"/>
    <mergeCell ref="A4:B4"/>
    <mergeCell ref="C4:D4"/>
    <mergeCell ref="E4:F4"/>
    <mergeCell ref="G4:H4"/>
    <mergeCell ref="I4:J4"/>
    <mergeCell ref="A1:B2"/>
    <mergeCell ref="C1:D2"/>
    <mergeCell ref="E1:F2"/>
    <mergeCell ref="G1:H2"/>
    <mergeCell ref="I1:J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20F4-B516-4709-926C-3AB6A5FEE865}">
  <dimension ref="A1:Z81"/>
  <sheetViews>
    <sheetView topLeftCell="A30" workbookViewId="0">
      <selection activeCell="A43" sqref="A43:B43"/>
    </sheetView>
  </sheetViews>
  <sheetFormatPr defaultRowHeight="14.4" x14ac:dyDescent="0.3"/>
  <cols>
    <col min="2" max="2" width="25" customWidth="1"/>
    <col min="3" max="3" width="13.88671875" customWidth="1"/>
    <col min="4" max="4" width="6.88671875" customWidth="1"/>
    <col min="13" max="13" width="14.44140625" customWidth="1"/>
    <col min="14" max="14" width="13.33203125" customWidth="1"/>
    <col min="15" max="15" width="12.6640625" customWidth="1"/>
    <col min="16" max="16" width="10.109375" customWidth="1"/>
    <col min="17" max="17" width="11.88671875" customWidth="1"/>
    <col min="18" max="18" width="15.33203125" customWidth="1"/>
    <col min="19" max="19" width="19.6640625" bestFit="1" customWidth="1"/>
    <col min="20" max="20" width="18.6640625" bestFit="1" customWidth="1"/>
  </cols>
  <sheetData>
    <row r="1" spans="1:26" ht="67.5" customHeight="1" x14ac:dyDescent="0.3">
      <c r="A1" s="335" t="s">
        <v>0</v>
      </c>
      <c r="B1" s="336"/>
      <c r="C1" s="393" t="s">
        <v>395</v>
      </c>
      <c r="D1" s="340"/>
      <c r="E1" s="343" t="s">
        <v>175</v>
      </c>
      <c r="F1" s="344"/>
      <c r="G1" s="343" t="s">
        <v>3</v>
      </c>
      <c r="H1" s="344"/>
      <c r="I1" s="343" t="s">
        <v>4</v>
      </c>
      <c r="J1" s="344"/>
      <c r="K1" s="343" t="s">
        <v>5</v>
      </c>
      <c r="L1" s="344"/>
      <c r="M1" s="388" t="s">
        <v>239</v>
      </c>
      <c r="N1" s="351" t="s">
        <v>6</v>
      </c>
      <c r="O1" s="351" t="s">
        <v>7</v>
      </c>
      <c r="P1" s="390" t="s">
        <v>8</v>
      </c>
      <c r="Q1" s="391" t="s">
        <v>9</v>
      </c>
      <c r="R1" s="392" t="s">
        <v>10</v>
      </c>
    </row>
    <row r="2" spans="1:26" ht="9" customHeight="1" x14ac:dyDescent="0.3">
      <c r="A2" s="337"/>
      <c r="B2" s="338"/>
      <c r="C2" s="394"/>
      <c r="D2" s="361"/>
      <c r="E2" s="362"/>
      <c r="F2" s="363"/>
      <c r="G2" s="362"/>
      <c r="H2" s="363"/>
      <c r="I2" s="362"/>
      <c r="J2" s="363"/>
      <c r="K2" s="362"/>
      <c r="L2" s="363"/>
      <c r="M2" s="389"/>
      <c r="N2" s="366"/>
      <c r="O2" s="366"/>
      <c r="P2" s="390"/>
      <c r="Q2" s="391"/>
      <c r="R2" s="392"/>
    </row>
    <row r="3" spans="1:26" x14ac:dyDescent="0.3">
      <c r="A3" s="331" t="s">
        <v>11</v>
      </c>
      <c r="B3" s="383"/>
      <c r="C3" s="384" t="s">
        <v>498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95"/>
      <c r="S3" s="62"/>
      <c r="T3" s="64"/>
    </row>
    <row r="4" spans="1:26" x14ac:dyDescent="0.3">
      <c r="A4" s="381" t="s">
        <v>13</v>
      </c>
      <c r="B4" s="381"/>
      <c r="C4" s="772">
        <v>7265</v>
      </c>
      <c r="D4" s="772"/>
      <c r="E4" s="380">
        <v>108</v>
      </c>
      <c r="F4" s="380"/>
      <c r="G4" s="380">
        <v>0</v>
      </c>
      <c r="H4" s="380"/>
      <c r="I4" s="380">
        <v>0</v>
      </c>
      <c r="J4" s="380"/>
      <c r="K4" s="380">
        <v>0</v>
      </c>
      <c r="L4" s="380"/>
      <c r="M4" s="256">
        <v>2828</v>
      </c>
      <c r="N4" s="245">
        <v>150</v>
      </c>
      <c r="O4" s="245">
        <v>627</v>
      </c>
      <c r="P4" s="258">
        <v>5887</v>
      </c>
      <c r="Q4" s="258">
        <v>7296</v>
      </c>
      <c r="R4" s="258">
        <v>3884</v>
      </c>
      <c r="S4" s="64"/>
      <c r="T4" s="64"/>
    </row>
    <row r="5" spans="1:26" ht="15.75" customHeight="1" x14ac:dyDescent="0.3">
      <c r="A5" s="381" t="s">
        <v>14</v>
      </c>
      <c r="B5" s="381"/>
      <c r="C5" s="380">
        <v>828</v>
      </c>
      <c r="D5" s="380"/>
      <c r="E5" s="380">
        <v>15</v>
      </c>
      <c r="F5" s="380"/>
      <c r="G5" s="380">
        <v>0</v>
      </c>
      <c r="H5" s="380"/>
      <c r="I5" s="380">
        <v>12</v>
      </c>
      <c r="J5" s="380"/>
      <c r="K5" s="380">
        <v>8</v>
      </c>
      <c r="L5" s="380"/>
      <c r="M5" s="256">
        <v>0</v>
      </c>
      <c r="N5" s="245">
        <v>69</v>
      </c>
      <c r="O5" s="245">
        <v>39</v>
      </c>
      <c r="P5" s="245">
        <v>0</v>
      </c>
      <c r="Q5" s="245">
        <v>0</v>
      </c>
      <c r="R5" s="245">
        <v>0</v>
      </c>
      <c r="S5" s="64"/>
      <c r="T5" s="64"/>
    </row>
    <row r="6" spans="1:26" x14ac:dyDescent="0.3">
      <c r="A6" s="376" t="s">
        <v>15</v>
      </c>
      <c r="B6" s="376"/>
      <c r="C6" s="380">
        <f>235+421</f>
        <v>656</v>
      </c>
      <c r="D6" s="380"/>
      <c r="E6" s="380">
        <v>52</v>
      </c>
      <c r="F6" s="380"/>
      <c r="G6" s="380">
        <v>42</v>
      </c>
      <c r="H6" s="380"/>
      <c r="I6" s="380">
        <v>4</v>
      </c>
      <c r="J6" s="380"/>
      <c r="K6" s="380">
        <v>0</v>
      </c>
      <c r="L6" s="380"/>
      <c r="M6" s="257">
        <v>471</v>
      </c>
      <c r="N6" s="245">
        <v>356</v>
      </c>
      <c r="O6" s="245">
        <v>106</v>
      </c>
      <c r="P6" s="245">
        <v>0</v>
      </c>
      <c r="Q6" s="245">
        <v>0</v>
      </c>
      <c r="R6" s="245">
        <v>0</v>
      </c>
      <c r="S6" s="64"/>
      <c r="T6" s="64"/>
    </row>
    <row r="7" spans="1:26" x14ac:dyDescent="0.3">
      <c r="A7" s="376" t="s">
        <v>16</v>
      </c>
      <c r="B7" s="376"/>
      <c r="C7" s="380">
        <v>540</v>
      </c>
      <c r="D7" s="380"/>
      <c r="E7" s="380">
        <v>0</v>
      </c>
      <c r="F7" s="380"/>
      <c r="G7" s="380">
        <v>0</v>
      </c>
      <c r="H7" s="380"/>
      <c r="I7" s="380">
        <v>0</v>
      </c>
      <c r="J7" s="380"/>
      <c r="K7" s="380">
        <v>0</v>
      </c>
      <c r="L7" s="380"/>
      <c r="M7" s="257">
        <v>212</v>
      </c>
      <c r="N7" s="245">
        <v>105</v>
      </c>
      <c r="O7" s="245">
        <v>25</v>
      </c>
      <c r="P7" s="245">
        <v>0</v>
      </c>
      <c r="Q7" s="245">
        <v>0</v>
      </c>
      <c r="R7" s="245">
        <v>0</v>
      </c>
      <c r="S7" s="64"/>
      <c r="T7" s="64"/>
    </row>
    <row r="8" spans="1:26" x14ac:dyDescent="0.3">
      <c r="A8" s="376" t="s">
        <v>17</v>
      </c>
      <c r="B8" s="376"/>
      <c r="C8" s="380">
        <v>500</v>
      </c>
      <c r="D8" s="380"/>
      <c r="E8" s="380">
        <v>0</v>
      </c>
      <c r="F8" s="380"/>
      <c r="G8" s="380">
        <v>0</v>
      </c>
      <c r="H8" s="380"/>
      <c r="I8" s="380">
        <v>0</v>
      </c>
      <c r="J8" s="380"/>
      <c r="K8" s="380">
        <v>0</v>
      </c>
      <c r="L8" s="380"/>
      <c r="M8" s="257">
        <v>318</v>
      </c>
      <c r="N8" s="245">
        <v>303</v>
      </c>
      <c r="O8" s="245">
        <v>0</v>
      </c>
      <c r="P8" s="245">
        <v>2</v>
      </c>
      <c r="Q8" s="245">
        <v>12</v>
      </c>
      <c r="R8" s="245">
        <v>1</v>
      </c>
      <c r="S8" s="64"/>
      <c r="T8" s="64"/>
    </row>
    <row r="9" spans="1:26" x14ac:dyDescent="0.3">
      <c r="A9" s="376" t="s">
        <v>18</v>
      </c>
      <c r="B9" s="376"/>
      <c r="C9" s="380">
        <v>111</v>
      </c>
      <c r="D9" s="380"/>
      <c r="E9" s="380">
        <v>0</v>
      </c>
      <c r="F9" s="380"/>
      <c r="G9" s="380">
        <v>0</v>
      </c>
      <c r="H9" s="380"/>
      <c r="I9" s="380">
        <v>0</v>
      </c>
      <c r="J9" s="380"/>
      <c r="K9" s="380">
        <v>0</v>
      </c>
      <c r="L9" s="380"/>
      <c r="M9" s="257">
        <v>113</v>
      </c>
      <c r="N9" s="245">
        <v>50</v>
      </c>
      <c r="O9" s="245">
        <v>35</v>
      </c>
      <c r="P9" s="245">
        <v>0</v>
      </c>
      <c r="Q9" s="245">
        <v>0</v>
      </c>
      <c r="R9" s="245">
        <v>0</v>
      </c>
      <c r="S9" s="64"/>
      <c r="T9" s="64"/>
    </row>
    <row r="10" spans="1:26" x14ac:dyDescent="0.3">
      <c r="A10" s="378" t="s">
        <v>262</v>
      </c>
      <c r="B10" s="379"/>
      <c r="C10" s="380">
        <v>142</v>
      </c>
      <c r="D10" s="380"/>
      <c r="E10" s="380">
        <v>0</v>
      </c>
      <c r="F10" s="380"/>
      <c r="G10" s="380">
        <v>0</v>
      </c>
      <c r="H10" s="380"/>
      <c r="I10" s="380">
        <v>0</v>
      </c>
      <c r="J10" s="380"/>
      <c r="K10" s="380">
        <v>0</v>
      </c>
      <c r="L10" s="380"/>
      <c r="M10" s="257">
        <v>123</v>
      </c>
      <c r="N10" s="257">
        <v>97</v>
      </c>
      <c r="O10" s="257">
        <v>27</v>
      </c>
      <c r="P10" s="245">
        <v>0</v>
      </c>
      <c r="Q10" s="245">
        <v>0</v>
      </c>
      <c r="R10" s="245">
        <v>0</v>
      </c>
      <c r="S10" s="64"/>
      <c r="T10" s="64"/>
      <c r="U10" s="64"/>
      <c r="Y10" s="64"/>
      <c r="Z10" s="64"/>
    </row>
    <row r="11" spans="1:26" x14ac:dyDescent="0.3">
      <c r="A11" s="376" t="s">
        <v>19</v>
      </c>
      <c r="B11" s="376"/>
      <c r="C11" s="380">
        <v>197</v>
      </c>
      <c r="D11" s="380"/>
      <c r="E11" s="380">
        <v>0</v>
      </c>
      <c r="F11" s="380"/>
      <c r="G11" s="380">
        <v>0</v>
      </c>
      <c r="H11" s="380"/>
      <c r="I11" s="380">
        <v>0</v>
      </c>
      <c r="J11" s="380"/>
      <c r="K11" s="380">
        <v>0</v>
      </c>
      <c r="L11" s="380"/>
      <c r="M11" s="257">
        <v>195</v>
      </c>
      <c r="N11" s="245">
        <v>147</v>
      </c>
      <c r="O11" s="245">
        <v>210</v>
      </c>
      <c r="P11" s="245">
        <v>82</v>
      </c>
      <c r="Q11" s="245">
        <v>14</v>
      </c>
      <c r="R11" s="245">
        <v>0</v>
      </c>
      <c r="T11" s="64"/>
      <c r="U11" s="64"/>
      <c r="Y11" s="64"/>
      <c r="Z11" s="64"/>
    </row>
    <row r="12" spans="1:26" x14ac:dyDescent="0.3">
      <c r="A12" s="376" t="s">
        <v>20</v>
      </c>
      <c r="B12" s="376"/>
      <c r="C12" s="380">
        <v>95</v>
      </c>
      <c r="D12" s="380"/>
      <c r="E12" s="380">
        <v>0</v>
      </c>
      <c r="F12" s="380"/>
      <c r="G12" s="380">
        <v>0</v>
      </c>
      <c r="H12" s="380"/>
      <c r="I12" s="380">
        <v>0</v>
      </c>
      <c r="J12" s="380"/>
      <c r="K12" s="380">
        <v>0</v>
      </c>
      <c r="L12" s="380"/>
      <c r="M12" s="257">
        <v>221</v>
      </c>
      <c r="N12" s="245">
        <v>280</v>
      </c>
      <c r="O12" s="245">
        <v>10</v>
      </c>
      <c r="P12" s="245">
        <v>0</v>
      </c>
      <c r="Q12" s="245">
        <v>16</v>
      </c>
      <c r="R12" s="245">
        <v>5</v>
      </c>
    </row>
    <row r="13" spans="1:26" x14ac:dyDescent="0.3">
      <c r="A13" s="376" t="s">
        <v>21</v>
      </c>
      <c r="B13" s="376"/>
      <c r="C13" s="380">
        <v>180</v>
      </c>
      <c r="D13" s="380"/>
      <c r="E13" s="380">
        <v>4</v>
      </c>
      <c r="F13" s="380"/>
      <c r="G13" s="380">
        <v>1</v>
      </c>
      <c r="H13" s="380"/>
      <c r="I13" s="380">
        <v>7</v>
      </c>
      <c r="J13" s="380"/>
      <c r="K13" s="380">
        <v>1</v>
      </c>
      <c r="L13" s="380"/>
      <c r="M13" s="257">
        <v>158</v>
      </c>
      <c r="N13" s="245">
        <v>87</v>
      </c>
      <c r="O13" s="245">
        <v>39</v>
      </c>
      <c r="P13" s="245">
        <v>0</v>
      </c>
      <c r="Q13" s="245">
        <v>0</v>
      </c>
      <c r="R13" s="245">
        <v>0</v>
      </c>
    </row>
    <row r="14" spans="1:26" x14ac:dyDescent="0.3">
      <c r="A14" s="376" t="s">
        <v>22</v>
      </c>
      <c r="B14" s="376"/>
      <c r="C14" s="380">
        <v>28</v>
      </c>
      <c r="D14" s="380"/>
      <c r="E14" s="380">
        <v>0</v>
      </c>
      <c r="F14" s="380"/>
      <c r="G14" s="380">
        <v>0</v>
      </c>
      <c r="H14" s="380"/>
      <c r="I14" s="380">
        <v>0</v>
      </c>
      <c r="J14" s="380"/>
      <c r="K14" s="380">
        <v>0</v>
      </c>
      <c r="L14" s="380"/>
      <c r="M14" s="257">
        <v>491</v>
      </c>
      <c r="N14" s="245">
        <v>274</v>
      </c>
      <c r="O14" s="245">
        <v>48</v>
      </c>
      <c r="P14" s="245">
        <v>0</v>
      </c>
      <c r="Q14" s="245">
        <v>0</v>
      </c>
      <c r="R14" s="245">
        <v>0</v>
      </c>
      <c r="V14" s="64"/>
      <c r="W14" s="64"/>
    </row>
    <row r="15" spans="1:26" ht="15" thickBot="1" x14ac:dyDescent="0.35">
      <c r="A15" s="374" t="s">
        <v>23</v>
      </c>
      <c r="B15" s="374"/>
      <c r="C15" s="771">
        <v>0</v>
      </c>
      <c r="D15" s="771"/>
      <c r="E15" s="771">
        <v>0</v>
      </c>
      <c r="F15" s="771"/>
      <c r="G15" s="771">
        <v>0</v>
      </c>
      <c r="H15" s="771"/>
      <c r="I15" s="771">
        <v>0</v>
      </c>
      <c r="J15" s="771"/>
      <c r="K15" s="771">
        <v>0</v>
      </c>
      <c r="L15" s="771"/>
      <c r="M15" s="260">
        <v>0</v>
      </c>
      <c r="N15" s="259">
        <v>0</v>
      </c>
      <c r="O15" s="259">
        <v>0</v>
      </c>
      <c r="P15" s="74">
        <v>4514</v>
      </c>
      <c r="Q15" s="74">
        <v>2020</v>
      </c>
      <c r="R15" s="258">
        <v>3253</v>
      </c>
    </row>
    <row r="16" spans="1:26" ht="15" thickBot="1" x14ac:dyDescent="0.35">
      <c r="A16" s="370" t="s">
        <v>24</v>
      </c>
      <c r="B16" s="371"/>
      <c r="C16" s="769">
        <f>SUM(C4:D15)</f>
        <v>10542</v>
      </c>
      <c r="D16" s="770"/>
      <c r="E16" s="769">
        <f>SUM(E4:F15)</f>
        <v>179</v>
      </c>
      <c r="F16" s="770"/>
      <c r="G16" s="769">
        <f>SUM(G4:H15)</f>
        <v>43</v>
      </c>
      <c r="H16" s="770"/>
      <c r="I16" s="769">
        <f>SUM(I4:J15)</f>
        <v>23</v>
      </c>
      <c r="J16" s="770"/>
      <c r="K16" s="769">
        <f>SUM(K4:L15)</f>
        <v>9</v>
      </c>
      <c r="L16" s="770"/>
      <c r="M16" s="261">
        <f t="shared" ref="M16:R16" si="0">SUM(M4:M15)</f>
        <v>5130</v>
      </c>
      <c r="N16" s="261">
        <f t="shared" si="0"/>
        <v>1918</v>
      </c>
      <c r="O16" s="261">
        <f t="shared" si="0"/>
        <v>1166</v>
      </c>
      <c r="P16" s="261">
        <f t="shared" si="0"/>
        <v>10485</v>
      </c>
      <c r="Q16" s="261">
        <f t="shared" si="0"/>
        <v>9358</v>
      </c>
      <c r="R16" s="257">
        <f t="shared" si="0"/>
        <v>7143</v>
      </c>
    </row>
    <row r="17" spans="1:23" x14ac:dyDescent="0.3">
      <c r="A17" s="368" t="s">
        <v>25</v>
      </c>
      <c r="B17" s="368"/>
      <c r="C17" s="369">
        <v>7265</v>
      </c>
      <c r="D17" s="369"/>
      <c r="E17" s="368">
        <v>108</v>
      </c>
      <c r="F17" s="368"/>
      <c r="G17" s="368">
        <v>0</v>
      </c>
      <c r="H17" s="368"/>
      <c r="I17" s="368">
        <v>0</v>
      </c>
      <c r="J17" s="368"/>
      <c r="K17" s="368">
        <v>0</v>
      </c>
      <c r="L17" s="368"/>
      <c r="M17" s="137">
        <v>2759</v>
      </c>
      <c r="N17" s="131">
        <v>150</v>
      </c>
      <c r="O17" s="91">
        <v>627</v>
      </c>
      <c r="P17" s="258">
        <v>5887</v>
      </c>
      <c r="Q17" s="236">
        <v>7296</v>
      </c>
      <c r="R17" s="7">
        <v>3884</v>
      </c>
    </row>
    <row r="18" spans="1:23" x14ac:dyDescent="0.3">
      <c r="A18" s="358" t="s">
        <v>26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9"/>
      <c r="O18" s="358"/>
      <c r="P18" s="358"/>
      <c r="Q18" s="358"/>
      <c r="U18" s="64"/>
      <c r="W18" s="64"/>
    </row>
    <row r="19" spans="1:23" x14ac:dyDescent="0.3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U19" s="64"/>
      <c r="W19" s="64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64"/>
      <c r="P20" s="64"/>
      <c r="Q20" s="64"/>
      <c r="S20" s="64"/>
      <c r="T20" s="64"/>
      <c r="U20" s="64"/>
      <c r="W20" s="64"/>
    </row>
    <row r="21" spans="1:23" ht="15" customHeight="1" x14ac:dyDescent="0.3">
      <c r="A21" s="335" t="s">
        <v>191</v>
      </c>
      <c r="B21" s="336"/>
      <c r="C21" s="339" t="s">
        <v>395</v>
      </c>
      <c r="D21" s="340"/>
      <c r="E21" s="343" t="s">
        <v>28</v>
      </c>
      <c r="F21" s="344"/>
      <c r="G21" s="343" t="s">
        <v>3</v>
      </c>
      <c r="H21" s="344"/>
      <c r="I21" s="347" t="s">
        <v>29</v>
      </c>
      <c r="J21" s="348"/>
      <c r="K21" s="351" t="s">
        <v>7</v>
      </c>
      <c r="L21" s="20"/>
      <c r="M21" s="20"/>
      <c r="O21" s="64"/>
      <c r="P21" s="64"/>
      <c r="Q21" s="64"/>
      <c r="S21" s="64"/>
      <c r="T21" s="64"/>
      <c r="U21" s="64"/>
      <c r="W21" s="64"/>
    </row>
    <row r="22" spans="1:23" ht="57.6" x14ac:dyDescent="0.3">
      <c r="A22" s="337"/>
      <c r="B22" s="338"/>
      <c r="C22" s="360"/>
      <c r="D22" s="361"/>
      <c r="E22" s="362"/>
      <c r="F22" s="363"/>
      <c r="G22" s="362"/>
      <c r="H22" s="363"/>
      <c r="I22" s="364"/>
      <c r="J22" s="365"/>
      <c r="K22" s="366"/>
      <c r="L22" s="22" t="s">
        <v>30</v>
      </c>
      <c r="M22" s="213" t="s">
        <v>31</v>
      </c>
      <c r="O22" s="64"/>
      <c r="P22" s="64"/>
      <c r="Q22" s="64"/>
      <c r="U22" s="64"/>
      <c r="W22" s="64"/>
    </row>
    <row r="23" spans="1:23" x14ac:dyDescent="0.3">
      <c r="A23" s="331" t="s">
        <v>11</v>
      </c>
      <c r="B23" s="332"/>
      <c r="C23" s="333" t="s">
        <v>498</v>
      </c>
      <c r="D23" s="334"/>
      <c r="E23" s="334"/>
      <c r="F23" s="334"/>
      <c r="G23" s="334"/>
      <c r="H23" s="334"/>
      <c r="I23" s="334"/>
      <c r="J23" s="334"/>
      <c r="K23" s="334"/>
      <c r="L23" s="24"/>
      <c r="M23" s="25"/>
      <c r="O23" s="64"/>
      <c r="P23" s="64"/>
      <c r="Q23" s="64"/>
      <c r="R23" s="141"/>
    </row>
    <row r="24" spans="1:23" x14ac:dyDescent="0.3">
      <c r="A24" s="378" t="s">
        <v>15</v>
      </c>
      <c r="B24" s="617"/>
      <c r="C24" s="377">
        <v>632</v>
      </c>
      <c r="D24" s="377"/>
      <c r="E24" s="609" t="s">
        <v>78</v>
      </c>
      <c r="F24" s="609"/>
      <c r="G24" s="377">
        <v>2</v>
      </c>
      <c r="H24" s="377"/>
      <c r="I24" s="377">
        <v>9</v>
      </c>
      <c r="J24" s="377"/>
      <c r="K24" s="9">
        <v>0</v>
      </c>
      <c r="L24" s="28">
        <v>7</v>
      </c>
      <c r="M24" s="28">
        <v>4</v>
      </c>
      <c r="O24" s="64"/>
      <c r="P24" s="64"/>
      <c r="Q24" s="64"/>
    </row>
    <row r="25" spans="1:23" x14ac:dyDescent="0.3">
      <c r="A25" s="378" t="s">
        <v>16</v>
      </c>
      <c r="B25" s="617"/>
      <c r="C25" s="377">
        <v>365</v>
      </c>
      <c r="D25" s="377"/>
      <c r="E25" s="609" t="s">
        <v>149</v>
      </c>
      <c r="F25" s="609"/>
      <c r="G25" s="377">
        <v>0</v>
      </c>
      <c r="H25" s="377"/>
      <c r="I25" s="377">
        <v>45</v>
      </c>
      <c r="J25" s="377"/>
      <c r="K25" s="9">
        <v>0</v>
      </c>
      <c r="L25" s="28">
        <v>7</v>
      </c>
      <c r="M25" s="28">
        <v>2</v>
      </c>
      <c r="O25" s="64"/>
      <c r="P25" s="64"/>
      <c r="Q25" s="64"/>
    </row>
    <row r="26" spans="1:23" x14ac:dyDescent="0.3">
      <c r="A26" s="378" t="s">
        <v>17</v>
      </c>
      <c r="B26" s="617"/>
      <c r="C26" s="377">
        <v>143</v>
      </c>
      <c r="D26" s="377"/>
      <c r="E26" s="609" t="s">
        <v>81</v>
      </c>
      <c r="F26" s="609"/>
      <c r="G26" s="377">
        <v>9</v>
      </c>
      <c r="H26" s="377"/>
      <c r="I26" s="377">
        <v>36</v>
      </c>
      <c r="J26" s="377"/>
      <c r="K26" s="9">
        <v>0</v>
      </c>
      <c r="L26" s="28">
        <v>4</v>
      </c>
      <c r="M26" s="28">
        <v>2</v>
      </c>
      <c r="O26" s="64"/>
      <c r="P26" s="64"/>
      <c r="Q26" s="64"/>
    </row>
    <row r="27" spans="1:23" x14ac:dyDescent="0.3">
      <c r="A27" s="378" t="s">
        <v>18</v>
      </c>
      <c r="B27" s="617"/>
      <c r="C27" s="609" t="s">
        <v>502</v>
      </c>
      <c r="D27" s="609"/>
      <c r="E27" s="609" t="s">
        <v>253</v>
      </c>
      <c r="F27" s="609"/>
      <c r="G27" s="377">
        <v>0</v>
      </c>
      <c r="H27" s="377"/>
      <c r="I27" s="377">
        <v>26</v>
      </c>
      <c r="J27" s="377"/>
      <c r="K27" s="9">
        <v>1</v>
      </c>
      <c r="L27" s="28">
        <v>3</v>
      </c>
      <c r="M27" s="28">
        <v>0</v>
      </c>
      <c r="O27" s="64"/>
      <c r="P27" s="64"/>
      <c r="Q27" s="64"/>
    </row>
    <row r="28" spans="1:23" x14ac:dyDescent="0.3">
      <c r="A28" s="378" t="s">
        <v>262</v>
      </c>
      <c r="B28" s="379"/>
      <c r="C28" s="609" t="s">
        <v>492</v>
      </c>
      <c r="D28" s="380"/>
      <c r="E28" s="609" t="s">
        <v>35</v>
      </c>
      <c r="F28" s="380"/>
      <c r="G28" s="377">
        <v>0</v>
      </c>
      <c r="H28" s="380"/>
      <c r="I28" s="377">
        <v>8</v>
      </c>
      <c r="J28" s="380"/>
      <c r="K28" s="9">
        <v>0</v>
      </c>
      <c r="L28" s="28">
        <v>10</v>
      </c>
      <c r="M28" s="28">
        <v>8</v>
      </c>
      <c r="P28" s="64"/>
      <c r="Q28" s="64"/>
    </row>
    <row r="29" spans="1:23" x14ac:dyDescent="0.3">
      <c r="A29" s="378" t="s">
        <v>19</v>
      </c>
      <c r="B29" s="617"/>
      <c r="C29" s="609" t="s">
        <v>341</v>
      </c>
      <c r="D29" s="609"/>
      <c r="E29" s="609" t="s">
        <v>253</v>
      </c>
      <c r="F29" s="609"/>
      <c r="G29" s="377">
        <v>0</v>
      </c>
      <c r="H29" s="377"/>
      <c r="I29" s="377">
        <v>20</v>
      </c>
      <c r="J29" s="377"/>
      <c r="K29" s="9">
        <v>3</v>
      </c>
      <c r="L29" s="28">
        <v>6</v>
      </c>
      <c r="M29" s="28">
        <v>9</v>
      </c>
    </row>
    <row r="30" spans="1:23" x14ac:dyDescent="0.3">
      <c r="A30" s="378" t="s">
        <v>20</v>
      </c>
      <c r="B30" s="617"/>
      <c r="C30" s="377">
        <v>180</v>
      </c>
      <c r="D30" s="377"/>
      <c r="E30" s="609" t="s">
        <v>35</v>
      </c>
      <c r="F30" s="609"/>
      <c r="G30" s="377">
        <v>0</v>
      </c>
      <c r="H30" s="377"/>
      <c r="I30" s="377">
        <v>0</v>
      </c>
      <c r="J30" s="377"/>
      <c r="K30" s="9">
        <v>0</v>
      </c>
      <c r="L30" s="28">
        <v>0</v>
      </c>
      <c r="M30" s="28">
        <v>0</v>
      </c>
    </row>
    <row r="31" spans="1:23" x14ac:dyDescent="0.3">
      <c r="A31" s="378" t="s">
        <v>21</v>
      </c>
      <c r="B31" s="617"/>
      <c r="C31" s="609" t="s">
        <v>316</v>
      </c>
      <c r="D31" s="609"/>
      <c r="E31" s="609" t="s">
        <v>392</v>
      </c>
      <c r="F31" s="609"/>
      <c r="G31" s="377">
        <v>0</v>
      </c>
      <c r="H31" s="377"/>
      <c r="I31" s="377">
        <v>19</v>
      </c>
      <c r="J31" s="377"/>
      <c r="K31" s="9">
        <v>0</v>
      </c>
      <c r="L31" s="28">
        <v>10</v>
      </c>
      <c r="M31" s="28">
        <v>0</v>
      </c>
    </row>
    <row r="32" spans="1:23" x14ac:dyDescent="0.3">
      <c r="A32" s="378" t="s">
        <v>22</v>
      </c>
      <c r="B32" s="617"/>
      <c r="C32" s="377">
        <v>0</v>
      </c>
      <c r="D32" s="377"/>
      <c r="E32" s="609" t="s">
        <v>35</v>
      </c>
      <c r="F32" s="609"/>
      <c r="G32" s="377">
        <v>0</v>
      </c>
      <c r="H32" s="377"/>
      <c r="I32" s="377">
        <v>0</v>
      </c>
      <c r="J32" s="377"/>
      <c r="K32" s="9">
        <v>0</v>
      </c>
      <c r="L32" s="28">
        <v>0</v>
      </c>
      <c r="M32" s="28">
        <v>0</v>
      </c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3">
      <c r="A35" s="335" t="s">
        <v>201</v>
      </c>
      <c r="B35" s="336"/>
      <c r="C35" s="339" t="s">
        <v>411</v>
      </c>
      <c r="D35" s="340"/>
      <c r="E35" s="343" t="s">
        <v>28</v>
      </c>
      <c r="F35" s="344"/>
      <c r="G35" s="343" t="s">
        <v>3</v>
      </c>
      <c r="H35" s="344"/>
      <c r="I35" s="347" t="s">
        <v>29</v>
      </c>
      <c r="J35" s="348"/>
      <c r="K35" s="351" t="s">
        <v>7</v>
      </c>
      <c r="L35" s="20"/>
      <c r="M35" s="21"/>
    </row>
    <row r="36" spans="1:13" ht="57.6" x14ac:dyDescent="0.3">
      <c r="A36" s="337"/>
      <c r="B36" s="338"/>
      <c r="C36" s="341"/>
      <c r="D36" s="342"/>
      <c r="E36" s="345"/>
      <c r="F36" s="346"/>
      <c r="G36" s="345"/>
      <c r="H36" s="346"/>
      <c r="I36" s="349"/>
      <c r="J36" s="350"/>
      <c r="K36" s="352"/>
      <c r="L36" s="22" t="s">
        <v>30</v>
      </c>
      <c r="M36" s="23" t="s">
        <v>31</v>
      </c>
    </row>
    <row r="37" spans="1:13" x14ac:dyDescent="0.3">
      <c r="A37" s="331" t="s">
        <v>11</v>
      </c>
      <c r="B37" s="332"/>
      <c r="C37" s="333" t="s">
        <v>498</v>
      </c>
      <c r="D37" s="334"/>
      <c r="E37" s="334"/>
      <c r="F37" s="334"/>
      <c r="G37" s="334"/>
      <c r="H37" s="334"/>
      <c r="I37" s="334"/>
      <c r="J37" s="334"/>
      <c r="K37" s="334"/>
      <c r="L37" s="24"/>
      <c r="M37" s="25"/>
    </row>
    <row r="38" spans="1:13" x14ac:dyDescent="0.3">
      <c r="A38" s="622" t="s">
        <v>15</v>
      </c>
      <c r="B38" s="623"/>
      <c r="C38" s="409">
        <v>15</v>
      </c>
      <c r="D38" s="410"/>
      <c r="E38" s="437" t="s">
        <v>450</v>
      </c>
      <c r="F38" s="438"/>
      <c r="G38" s="409" t="s">
        <v>40</v>
      </c>
      <c r="H38" s="410"/>
      <c r="I38" s="409">
        <v>0</v>
      </c>
      <c r="J38" s="410"/>
      <c r="K38" s="26">
        <v>0</v>
      </c>
      <c r="L38" s="27" t="s">
        <v>295</v>
      </c>
      <c r="M38" s="27" t="s">
        <v>401</v>
      </c>
    </row>
    <row r="39" spans="1:13" x14ac:dyDescent="0.3">
      <c r="A39" s="622" t="s">
        <v>16</v>
      </c>
      <c r="B39" s="623"/>
      <c r="C39" s="409">
        <v>0</v>
      </c>
      <c r="D39" s="410"/>
      <c r="E39" s="437" t="s">
        <v>505</v>
      </c>
      <c r="F39" s="438"/>
      <c r="G39" s="409" t="s">
        <v>496</v>
      </c>
      <c r="H39" s="410"/>
      <c r="I39" s="409">
        <v>0</v>
      </c>
      <c r="J39" s="410"/>
      <c r="K39" s="9">
        <v>0</v>
      </c>
      <c r="L39" s="28">
        <v>0</v>
      </c>
      <c r="M39" s="28">
        <v>0</v>
      </c>
    </row>
    <row r="40" spans="1:13" x14ac:dyDescent="0.3">
      <c r="A40" s="622" t="s">
        <v>17</v>
      </c>
      <c r="B40" s="623"/>
      <c r="C40" s="409" t="s">
        <v>500</v>
      </c>
      <c r="D40" s="410"/>
      <c r="E40" s="437" t="s">
        <v>501</v>
      </c>
      <c r="F40" s="438"/>
      <c r="G40" s="409" t="s">
        <v>82</v>
      </c>
      <c r="H40" s="410"/>
      <c r="I40" s="409" t="s">
        <v>399</v>
      </c>
      <c r="J40" s="410"/>
      <c r="K40" s="9" t="s">
        <v>45</v>
      </c>
      <c r="L40" s="28" t="s">
        <v>42</v>
      </c>
      <c r="M40" s="28" t="s">
        <v>204</v>
      </c>
    </row>
    <row r="41" spans="1:13" x14ac:dyDescent="0.3">
      <c r="A41" s="622" t="s">
        <v>18</v>
      </c>
      <c r="B41" s="623"/>
      <c r="C41" s="409">
        <v>0</v>
      </c>
      <c r="D41" s="410"/>
      <c r="E41" s="437" t="s">
        <v>503</v>
      </c>
      <c r="F41" s="438"/>
      <c r="G41" s="409" t="s">
        <v>47</v>
      </c>
      <c r="H41" s="410"/>
      <c r="I41" s="409">
        <v>0</v>
      </c>
      <c r="J41" s="410"/>
      <c r="K41" s="9">
        <v>0</v>
      </c>
      <c r="L41" s="28">
        <v>0</v>
      </c>
      <c r="M41" s="28">
        <v>0</v>
      </c>
    </row>
    <row r="42" spans="1:13" x14ac:dyDescent="0.3">
      <c r="A42" s="622" t="s">
        <v>262</v>
      </c>
      <c r="B42" s="610"/>
      <c r="C42" s="409">
        <v>0</v>
      </c>
      <c r="D42" s="611"/>
      <c r="E42" s="437" t="s">
        <v>440</v>
      </c>
      <c r="F42" s="612"/>
      <c r="G42" s="409">
        <v>7</v>
      </c>
      <c r="H42" s="611"/>
      <c r="I42" s="409">
        <v>0</v>
      </c>
      <c r="J42" s="611"/>
      <c r="K42" s="9">
        <v>0</v>
      </c>
      <c r="L42" s="28">
        <v>0</v>
      </c>
      <c r="M42" s="28">
        <v>0</v>
      </c>
    </row>
    <row r="43" spans="1:13" x14ac:dyDescent="0.3">
      <c r="A43" s="622" t="s">
        <v>19</v>
      </c>
      <c r="B43" s="623"/>
      <c r="C43" s="409" t="s">
        <v>506</v>
      </c>
      <c r="D43" s="410"/>
      <c r="E43" s="437" t="s">
        <v>445</v>
      </c>
      <c r="F43" s="438"/>
      <c r="G43" s="409">
        <v>0</v>
      </c>
      <c r="H43" s="410"/>
      <c r="I43" s="409" t="s">
        <v>293</v>
      </c>
      <c r="J43" s="410"/>
      <c r="K43" s="9" t="s">
        <v>99</v>
      </c>
      <c r="L43" s="28">
        <v>0</v>
      </c>
      <c r="M43" s="28">
        <v>0</v>
      </c>
    </row>
    <row r="44" spans="1:13" x14ac:dyDescent="0.3">
      <c r="A44" s="622" t="s">
        <v>20</v>
      </c>
      <c r="B44" s="623"/>
      <c r="C44" s="409">
        <v>0</v>
      </c>
      <c r="D44" s="410"/>
      <c r="E44" s="409" t="s">
        <v>504</v>
      </c>
      <c r="F44" s="410"/>
      <c r="G44" s="409" t="s">
        <v>473</v>
      </c>
      <c r="H44" s="410"/>
      <c r="I44" s="409">
        <v>0</v>
      </c>
      <c r="J44" s="410"/>
      <c r="K44" s="9">
        <v>0</v>
      </c>
      <c r="L44" s="28">
        <v>0</v>
      </c>
      <c r="M44" s="28">
        <v>0</v>
      </c>
    </row>
    <row r="45" spans="1:13" x14ac:dyDescent="0.3">
      <c r="A45" s="622" t="s">
        <v>21</v>
      </c>
      <c r="B45" s="623"/>
      <c r="C45" s="409" t="s">
        <v>143</v>
      </c>
      <c r="D45" s="410"/>
      <c r="E45" s="377" t="s">
        <v>104</v>
      </c>
      <c r="F45" s="377"/>
      <c r="G45" s="377">
        <v>0</v>
      </c>
      <c r="H45" s="377"/>
      <c r="I45" s="377">
        <v>0</v>
      </c>
      <c r="J45" s="377"/>
      <c r="K45" s="9">
        <v>0</v>
      </c>
      <c r="L45" s="28" t="s">
        <v>280</v>
      </c>
      <c r="M45" s="28" t="s">
        <v>40</v>
      </c>
    </row>
    <row r="46" spans="1:13" x14ac:dyDescent="0.3">
      <c r="A46" s="622" t="s">
        <v>22</v>
      </c>
      <c r="B46" s="623"/>
      <c r="C46" s="409">
        <v>0</v>
      </c>
      <c r="D46" s="410"/>
      <c r="E46" s="437" t="s">
        <v>454</v>
      </c>
      <c r="F46" s="438"/>
      <c r="G46" s="409">
        <v>0</v>
      </c>
      <c r="H46" s="410"/>
      <c r="I46" s="409" t="s">
        <v>99</v>
      </c>
      <c r="J46" s="410"/>
      <c r="K46" s="9" t="s">
        <v>100</v>
      </c>
      <c r="L46" s="28">
        <v>0</v>
      </c>
      <c r="M46" s="28">
        <v>0</v>
      </c>
    </row>
    <row r="47" spans="1:13" x14ac:dyDescent="0.3">
      <c r="A47" s="313" t="s">
        <v>54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314" t="s">
        <v>55</v>
      </c>
      <c r="B50" s="315"/>
      <c r="C50" s="315"/>
      <c r="D50" s="315"/>
      <c r="E50" s="315"/>
      <c r="F50" s="315"/>
      <c r="G50" s="315"/>
      <c r="H50" s="315"/>
      <c r="I50" s="315"/>
      <c r="J50" s="316"/>
    </row>
    <row r="51" spans="1:10" x14ac:dyDescent="0.3">
      <c r="A51" s="620" t="s">
        <v>56</v>
      </c>
      <c r="B51" s="621"/>
      <c r="C51" s="319" t="s">
        <v>474</v>
      </c>
      <c r="D51" s="320"/>
      <c r="E51" s="319" t="s">
        <v>482</v>
      </c>
      <c r="F51" s="320"/>
      <c r="G51" s="319" t="s">
        <v>489</v>
      </c>
      <c r="H51" s="320"/>
      <c r="I51" s="319" t="s">
        <v>499</v>
      </c>
      <c r="J51" s="320"/>
    </row>
    <row r="52" spans="1:10" x14ac:dyDescent="0.3">
      <c r="A52" s="331" t="s">
        <v>59</v>
      </c>
      <c r="B52" s="383"/>
      <c r="C52" s="311">
        <v>8161</v>
      </c>
      <c r="D52" s="312"/>
      <c r="E52" s="311">
        <v>8135</v>
      </c>
      <c r="F52" s="312"/>
      <c r="G52" s="311">
        <v>8108</v>
      </c>
      <c r="H52" s="312"/>
      <c r="I52" s="311">
        <v>8043</v>
      </c>
      <c r="J52" s="312"/>
    </row>
    <row r="53" spans="1:10" ht="15" customHeight="1" x14ac:dyDescent="0.3">
      <c r="A53" s="331" t="s">
        <v>60</v>
      </c>
      <c r="B53" s="383"/>
      <c r="C53" s="311">
        <v>13458</v>
      </c>
      <c r="D53" s="312"/>
      <c r="E53" s="311">
        <v>13449</v>
      </c>
      <c r="F53" s="312"/>
      <c r="G53" s="311">
        <v>13452</v>
      </c>
      <c r="H53" s="312"/>
      <c r="I53" s="311">
        <v>13445</v>
      </c>
      <c r="J53" s="312"/>
    </row>
    <row r="54" spans="1:10" x14ac:dyDescent="0.3">
      <c r="A54" s="331" t="s">
        <v>61</v>
      </c>
      <c r="B54" s="383"/>
      <c r="C54" s="311">
        <v>108000</v>
      </c>
      <c r="D54" s="312"/>
      <c r="E54" s="311">
        <v>107930</v>
      </c>
      <c r="F54" s="312"/>
      <c r="G54" s="311">
        <v>107940</v>
      </c>
      <c r="H54" s="312"/>
      <c r="I54" s="311">
        <v>107837</v>
      </c>
      <c r="J54" s="312"/>
    </row>
    <row r="55" spans="1:10" x14ac:dyDescent="0.3">
      <c r="A55" s="331" t="s">
        <v>62</v>
      </c>
      <c r="B55" s="383"/>
      <c r="C55" s="311">
        <v>208</v>
      </c>
      <c r="D55" s="312"/>
      <c r="E55" s="311">
        <v>208</v>
      </c>
      <c r="F55" s="312"/>
      <c r="G55" s="311">
        <v>208</v>
      </c>
      <c r="H55" s="312"/>
      <c r="I55" s="311">
        <v>208</v>
      </c>
      <c r="J55" s="312"/>
    </row>
    <row r="56" spans="1:10" x14ac:dyDescent="0.3">
      <c r="A56" s="331" t="s">
        <v>63</v>
      </c>
      <c r="B56" s="383"/>
      <c r="C56" s="303">
        <v>48365</v>
      </c>
      <c r="D56" s="283"/>
      <c r="E56" s="303">
        <v>48343</v>
      </c>
      <c r="F56" s="283"/>
      <c r="G56" s="303">
        <v>48369</v>
      </c>
      <c r="H56" s="283"/>
      <c r="I56" s="303">
        <v>48346</v>
      </c>
      <c r="J56" s="283"/>
    </row>
    <row r="57" spans="1:10" x14ac:dyDescent="0.3">
      <c r="A57" s="331" t="s">
        <v>64</v>
      </c>
      <c r="B57" s="383"/>
      <c r="C57" s="303">
        <v>5469</v>
      </c>
      <c r="D57" s="283"/>
      <c r="E57" s="303">
        <v>5874</v>
      </c>
      <c r="F57" s="283"/>
      <c r="G57" s="303">
        <v>5866</v>
      </c>
      <c r="H57" s="283"/>
      <c r="I57" s="303">
        <v>5855</v>
      </c>
      <c r="J57" s="283"/>
    </row>
    <row r="58" spans="1:10" x14ac:dyDescent="0.3">
      <c r="A58" s="331" t="s">
        <v>65</v>
      </c>
      <c r="B58" s="383"/>
      <c r="C58" s="303">
        <v>26133</v>
      </c>
      <c r="D58" s="283"/>
      <c r="E58" s="303">
        <v>26072</v>
      </c>
      <c r="F58" s="283"/>
      <c r="G58" s="303">
        <v>26083</v>
      </c>
      <c r="H58" s="283"/>
      <c r="I58" s="303">
        <v>26046</v>
      </c>
      <c r="J58" s="283"/>
    </row>
    <row r="59" spans="1:10" x14ac:dyDescent="0.3">
      <c r="A59" s="331" t="s">
        <v>66</v>
      </c>
      <c r="B59" s="383"/>
      <c r="C59" s="303">
        <v>4504</v>
      </c>
      <c r="D59" s="283"/>
      <c r="E59" s="303">
        <v>4497</v>
      </c>
      <c r="F59" s="283"/>
      <c r="G59" s="303">
        <v>4495</v>
      </c>
      <c r="H59" s="283"/>
      <c r="I59" s="303">
        <v>4497</v>
      </c>
      <c r="J59" s="283"/>
    </row>
    <row r="60" spans="1:10" x14ac:dyDescent="0.3">
      <c r="A60" s="165"/>
      <c r="B60" s="166" t="s">
        <v>251</v>
      </c>
      <c r="C60" s="303">
        <v>5469</v>
      </c>
      <c r="D60" s="283"/>
      <c r="E60" s="303">
        <v>5761</v>
      </c>
      <c r="F60" s="283"/>
      <c r="G60" s="303">
        <v>6037</v>
      </c>
      <c r="H60" s="283"/>
      <c r="I60" s="303">
        <v>6575</v>
      </c>
      <c r="J60" s="283"/>
    </row>
    <row r="61" spans="1:10" x14ac:dyDescent="0.3">
      <c r="A61" s="331" t="s">
        <v>67</v>
      </c>
      <c r="B61" s="332"/>
      <c r="C61" s="307">
        <v>220194</v>
      </c>
      <c r="D61" s="307"/>
      <c r="E61" s="307">
        <f>SUM(E52:E60)</f>
        <v>220269</v>
      </c>
      <c r="F61" s="307"/>
      <c r="G61" s="307">
        <v>220558</v>
      </c>
      <c r="H61" s="307"/>
      <c r="I61" s="307">
        <v>220852</v>
      </c>
      <c r="J61" s="307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3">
      <c r="A63" s="275" t="s">
        <v>68</v>
      </c>
      <c r="B63" s="276"/>
      <c r="C63" s="319" t="s">
        <v>474</v>
      </c>
      <c r="D63" s="320"/>
      <c r="E63" s="319" t="s">
        <v>482</v>
      </c>
      <c r="F63" s="320"/>
      <c r="G63" s="319" t="s">
        <v>489</v>
      </c>
      <c r="H63" s="320"/>
      <c r="I63" s="319" t="s">
        <v>499</v>
      </c>
      <c r="J63" s="320"/>
    </row>
    <row r="64" spans="1:10" x14ac:dyDescent="0.3">
      <c r="A64" s="618"/>
      <c r="B64" s="619"/>
      <c r="C64" s="297">
        <v>145242</v>
      </c>
      <c r="D64" s="298"/>
      <c r="E64" s="297">
        <v>145237</v>
      </c>
      <c r="F64" s="298"/>
      <c r="G64" s="297">
        <v>145400</v>
      </c>
      <c r="H64" s="298"/>
      <c r="I64" s="297">
        <v>145604</v>
      </c>
      <c r="J64" s="298"/>
    </row>
    <row r="65" spans="1:10" x14ac:dyDescent="0.3">
      <c r="A65" s="277"/>
      <c r="B65" s="278"/>
      <c r="C65" s="299"/>
      <c r="D65" s="300"/>
      <c r="E65" s="299"/>
      <c r="F65" s="300"/>
      <c r="G65" s="299"/>
      <c r="H65" s="300"/>
      <c r="I65" s="299"/>
      <c r="J65" s="300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79" t="s">
        <v>69</v>
      </c>
      <c r="B68" s="280"/>
      <c r="C68" s="280"/>
      <c r="D68" s="280"/>
      <c r="E68" s="280"/>
      <c r="F68" s="280"/>
      <c r="G68" s="280"/>
      <c r="H68" s="280"/>
      <c r="I68" s="280"/>
      <c r="J68" s="281"/>
    </row>
    <row r="69" spans="1:10" x14ac:dyDescent="0.3">
      <c r="A69" s="279" t="s">
        <v>11</v>
      </c>
      <c r="B69" s="281"/>
      <c r="C69" s="282" t="s">
        <v>352</v>
      </c>
      <c r="D69" s="284"/>
      <c r="E69" s="282" t="s">
        <v>409</v>
      </c>
      <c r="F69" s="284"/>
      <c r="G69" s="282" t="s">
        <v>483</v>
      </c>
      <c r="H69" s="284"/>
      <c r="I69" s="282" t="s">
        <v>474</v>
      </c>
      <c r="J69" s="284"/>
    </row>
    <row r="70" spans="1:10" ht="15" customHeight="1" x14ac:dyDescent="0.3">
      <c r="A70" s="271" t="s">
        <v>73</v>
      </c>
      <c r="B70" s="272"/>
      <c r="C70" s="220" t="s">
        <v>74</v>
      </c>
      <c r="D70" s="221"/>
      <c r="E70" s="275" t="s">
        <v>74</v>
      </c>
      <c r="F70" s="276"/>
      <c r="G70" s="275" t="s">
        <v>74</v>
      </c>
      <c r="H70" s="276"/>
      <c r="I70" s="275" t="s">
        <v>74</v>
      </c>
      <c r="J70" s="276"/>
    </row>
    <row r="71" spans="1:10" x14ac:dyDescent="0.3">
      <c r="A71" s="273"/>
      <c r="B71" s="274"/>
      <c r="C71" s="222"/>
      <c r="D71" s="223"/>
      <c r="E71" s="277"/>
      <c r="F71" s="278"/>
      <c r="G71" s="277"/>
      <c r="H71" s="278"/>
      <c r="I71" s="277"/>
      <c r="J71" s="278"/>
    </row>
    <row r="72" spans="1:10" x14ac:dyDescent="0.3">
      <c r="A72" s="267" t="s">
        <v>15</v>
      </c>
      <c r="B72" s="268"/>
      <c r="C72" s="265">
        <v>37120</v>
      </c>
      <c r="D72" s="266"/>
      <c r="E72" s="265">
        <v>37446</v>
      </c>
      <c r="F72" s="266"/>
      <c r="G72" s="265">
        <v>37809</v>
      </c>
      <c r="H72" s="266"/>
      <c r="I72" s="265">
        <v>38276</v>
      </c>
      <c r="J72" s="266"/>
    </row>
    <row r="73" spans="1:10" x14ac:dyDescent="0.3">
      <c r="A73" s="269" t="s">
        <v>16</v>
      </c>
      <c r="B73" s="270"/>
      <c r="C73" s="265">
        <v>8384</v>
      </c>
      <c r="D73" s="266"/>
      <c r="E73" s="265">
        <v>8441</v>
      </c>
      <c r="F73" s="266"/>
      <c r="G73" s="265">
        <v>8538</v>
      </c>
      <c r="H73" s="266"/>
      <c r="I73" s="265">
        <v>8649</v>
      </c>
      <c r="J73" s="266"/>
    </row>
    <row r="74" spans="1:10" x14ac:dyDescent="0.3">
      <c r="A74" s="267" t="s">
        <v>17</v>
      </c>
      <c r="B74" s="268"/>
      <c r="C74" s="265">
        <v>7423</v>
      </c>
      <c r="D74" s="266"/>
      <c r="E74" s="265">
        <v>7498</v>
      </c>
      <c r="F74" s="266"/>
      <c r="G74" s="265">
        <v>7606</v>
      </c>
      <c r="H74" s="266"/>
      <c r="I74" s="265">
        <v>7748</v>
      </c>
      <c r="J74" s="266"/>
    </row>
    <row r="75" spans="1:10" x14ac:dyDescent="0.3">
      <c r="A75" s="267" t="s">
        <v>75</v>
      </c>
      <c r="B75" s="268"/>
      <c r="C75" s="265">
        <v>2597</v>
      </c>
      <c r="D75" s="266"/>
      <c r="E75" s="265">
        <v>2631</v>
      </c>
      <c r="F75" s="266"/>
      <c r="G75" s="265">
        <v>2680</v>
      </c>
      <c r="H75" s="266"/>
      <c r="I75" s="265">
        <v>2764</v>
      </c>
      <c r="J75" s="266"/>
    </row>
    <row r="76" spans="1:10" x14ac:dyDescent="0.3">
      <c r="A76" s="269" t="s">
        <v>18</v>
      </c>
      <c r="B76" s="270"/>
      <c r="C76" s="265">
        <v>6522</v>
      </c>
      <c r="D76" s="266"/>
      <c r="E76" s="265">
        <v>6618</v>
      </c>
      <c r="F76" s="266"/>
      <c r="G76" s="265">
        <v>6744</v>
      </c>
      <c r="H76" s="266"/>
      <c r="I76" s="265">
        <v>6916</v>
      </c>
      <c r="J76" s="266"/>
    </row>
    <row r="77" spans="1:10" x14ac:dyDescent="0.3">
      <c r="A77" s="267" t="s">
        <v>19</v>
      </c>
      <c r="B77" s="268"/>
      <c r="C77" s="265">
        <v>5465</v>
      </c>
      <c r="D77" s="266"/>
      <c r="E77" s="265">
        <v>5474</v>
      </c>
      <c r="F77" s="266"/>
      <c r="G77" s="265">
        <v>5446</v>
      </c>
      <c r="H77" s="266"/>
      <c r="I77" s="265">
        <v>5490</v>
      </c>
      <c r="J77" s="266"/>
    </row>
    <row r="78" spans="1:10" x14ac:dyDescent="0.3">
      <c r="A78" s="269" t="s">
        <v>20</v>
      </c>
      <c r="B78" s="270"/>
      <c r="C78" s="265">
        <v>9856</v>
      </c>
      <c r="D78" s="266"/>
      <c r="E78" s="265">
        <v>10014</v>
      </c>
      <c r="F78" s="266"/>
      <c r="G78" s="265">
        <v>10139</v>
      </c>
      <c r="H78" s="266"/>
      <c r="I78" s="265">
        <v>10298</v>
      </c>
      <c r="J78" s="266"/>
    </row>
    <row r="79" spans="1:10" x14ac:dyDescent="0.3">
      <c r="A79" s="267" t="s">
        <v>21</v>
      </c>
      <c r="B79" s="268"/>
      <c r="C79" s="265">
        <v>1876</v>
      </c>
      <c r="D79" s="266"/>
      <c r="E79" s="265">
        <v>1879</v>
      </c>
      <c r="F79" s="266"/>
      <c r="G79" s="265">
        <v>1895</v>
      </c>
      <c r="H79" s="266"/>
      <c r="I79" s="265">
        <v>1943</v>
      </c>
      <c r="J79" s="266"/>
    </row>
    <row r="80" spans="1:10" x14ac:dyDescent="0.3">
      <c r="A80" s="269" t="s">
        <v>22</v>
      </c>
      <c r="B80" s="270"/>
      <c r="C80" s="265">
        <v>7584</v>
      </c>
      <c r="D80" s="266"/>
      <c r="E80" s="265">
        <v>7657</v>
      </c>
      <c r="F80" s="266"/>
      <c r="G80" s="265">
        <v>7716</v>
      </c>
      <c r="H80" s="266"/>
      <c r="I80" s="265">
        <v>7817</v>
      </c>
      <c r="J80" s="266"/>
    </row>
    <row r="81" spans="1:10" x14ac:dyDescent="0.3">
      <c r="A81" s="263" t="s">
        <v>76</v>
      </c>
      <c r="B81" s="264"/>
      <c r="C81" s="265">
        <f>SUM(C72:C80)</f>
        <v>86827</v>
      </c>
      <c r="D81" s="266"/>
      <c r="E81" s="265">
        <v>87658</v>
      </c>
      <c r="F81" s="266"/>
      <c r="G81" s="265">
        <f>SUM(G72:G80)</f>
        <v>88573</v>
      </c>
      <c r="H81" s="266"/>
      <c r="I81" s="265">
        <f>SUM(I72:I80)</f>
        <v>89901</v>
      </c>
      <c r="J81" s="266"/>
    </row>
  </sheetData>
  <mergeCells count="330">
    <mergeCell ref="A3:B3"/>
    <mergeCell ref="A4:B4"/>
    <mergeCell ref="C4:D4"/>
    <mergeCell ref="E4:F4"/>
    <mergeCell ref="G4:H4"/>
    <mergeCell ref="I4:J4"/>
    <mergeCell ref="A1:B2"/>
    <mergeCell ref="C1:D2"/>
    <mergeCell ref="E1:F2"/>
    <mergeCell ref="G1:H2"/>
    <mergeCell ref="I1:J2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R1:R2"/>
    <mergeCell ref="C3:Q3"/>
    <mergeCell ref="K4:L4"/>
    <mergeCell ref="K5:L5"/>
    <mergeCell ref="K6:L6"/>
    <mergeCell ref="K1:L2"/>
    <mergeCell ref="M1:M2"/>
    <mergeCell ref="N1:N2"/>
    <mergeCell ref="O1:O2"/>
    <mergeCell ref="P1:P2"/>
    <mergeCell ref="K11:L11"/>
    <mergeCell ref="K12:L12"/>
    <mergeCell ref="A13:B13"/>
    <mergeCell ref="C13:D13"/>
    <mergeCell ref="E13:F13"/>
    <mergeCell ref="G13:H13"/>
    <mergeCell ref="I13:J13"/>
    <mergeCell ref="K13:L13"/>
    <mergeCell ref="Q1:Q2"/>
    <mergeCell ref="K7:L7"/>
    <mergeCell ref="K8:L8"/>
    <mergeCell ref="K9:L9"/>
    <mergeCell ref="K10:L1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9:B9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7:B37"/>
    <mergeCell ref="C37:K37"/>
    <mergeCell ref="A38:B38"/>
    <mergeCell ref="C38:D38"/>
    <mergeCell ref="E38:F38"/>
    <mergeCell ref="G38:H38"/>
    <mergeCell ref="I38:J38"/>
    <mergeCell ref="A35:B36"/>
    <mergeCell ref="C35:D36"/>
    <mergeCell ref="E35:F36"/>
    <mergeCell ref="G35:H36"/>
    <mergeCell ref="I35:J36"/>
    <mergeCell ref="K35:K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7:K47"/>
    <mergeCell ref="A50:J50"/>
    <mergeCell ref="A51:B51"/>
    <mergeCell ref="C51:D51"/>
    <mergeCell ref="E51:F51"/>
    <mergeCell ref="G51:H51"/>
    <mergeCell ref="I51:J51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8:J68"/>
    <mergeCell ref="A69:B69"/>
    <mergeCell ref="C69:D69"/>
    <mergeCell ref="E69:F69"/>
    <mergeCell ref="G69:H69"/>
    <mergeCell ref="I69:J69"/>
    <mergeCell ref="A63:B65"/>
    <mergeCell ref="C63:D63"/>
    <mergeCell ref="E63:F63"/>
    <mergeCell ref="G63:H63"/>
    <mergeCell ref="I63:J63"/>
    <mergeCell ref="C64:D65"/>
    <mergeCell ref="E64:F65"/>
    <mergeCell ref="G64:H65"/>
    <mergeCell ref="I64:J65"/>
    <mergeCell ref="A70:B71"/>
    <mergeCell ref="E70:F71"/>
    <mergeCell ref="G70:H71"/>
    <mergeCell ref="I70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81:B81"/>
    <mergeCell ref="C81:D81"/>
    <mergeCell ref="E81:F81"/>
    <mergeCell ref="G81:H81"/>
    <mergeCell ref="I81:J81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EEA10160B3C4F8EF2E1D8A29BCCF5" ma:contentTypeVersion="6" ma:contentTypeDescription="Create a new document." ma:contentTypeScope="" ma:versionID="df92596a1350978379de19a89f229994">
  <xsd:schema xmlns:xsd="http://www.w3.org/2001/XMLSchema" xmlns:xs="http://www.w3.org/2001/XMLSchema" xmlns:p="http://schemas.microsoft.com/office/2006/metadata/properties" xmlns:ns3="b16bdd36-2797-45d6-a671-f91292095287" targetNamespace="http://schemas.microsoft.com/office/2006/metadata/properties" ma:root="true" ma:fieldsID="78179ed3668ad21d40143378356e66b8" ns3:_="">
    <xsd:import namespace="b16bdd36-2797-45d6-a671-f912920952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bdd36-2797-45d6-a671-f912920952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460F5E-F8DC-44DE-8FBF-FCF99FD1B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A209FE-9986-4B3E-9CB5-01C55E4D2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bdd36-2797-45d6-a671-f91292095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164DD9-0E1F-4465-83D4-40A4626ADBBB}">
  <ds:schemaRefs>
    <ds:schemaRef ds:uri="http://www.w3.org/XML/1998/namespace"/>
    <ds:schemaRef ds:uri="b16bdd36-2797-45d6-a671-f91292095287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07.02.2025.</vt:lpstr>
      <vt:lpstr>14.02.2025.</vt:lpstr>
      <vt:lpstr>21.02.2025.</vt:lpstr>
      <vt:lpstr>28.02.2025.</vt:lpstr>
      <vt:lpstr>07.03.2025</vt:lpstr>
      <vt:lpstr>14.03.2025.</vt:lpstr>
      <vt:lpstr>21.03.2025.</vt:lpstr>
      <vt:lpstr>09.05.2025.</vt:lpstr>
      <vt:lpstr>16.05.2025.</vt:lpstr>
      <vt:lpstr>23.05.2025</vt:lpstr>
      <vt:lpstr>30.05.2025.</vt:lpstr>
      <vt:lpstr>06.06.2025</vt:lpstr>
      <vt:lpstr>13.06.2025</vt:lpstr>
      <vt:lpstr>20.06.2025</vt:lpstr>
      <vt:lpstr>27.06.2025</vt:lpstr>
      <vt:lpstr>11.07.2025.</vt:lpstr>
      <vt:lpstr>18.07.2025.</vt:lpstr>
      <vt:lpstr>25.07.2025.</vt:lpstr>
      <vt:lpstr>01.08.2025.</vt:lpstr>
      <vt:lpstr>08.08.2025.</vt:lpstr>
      <vt:lpstr>15.08.2025.</vt:lpstr>
      <vt:lpstr>22.08.2025.</vt:lpstr>
      <vt:lpstr>29.08.2025</vt:lpstr>
      <vt:lpstr>05.09.2025</vt:lpstr>
      <vt:lpstr>12.09.2025</vt:lpstr>
      <vt:lpstr>19.09.2025.</vt:lpstr>
      <vt:lpstr>26.09.2025.</vt:lpstr>
      <vt:lpstr>10.10.2025.</vt:lpstr>
      <vt:lpstr>17.10.2025.</vt:lpstr>
      <vt:lpstr>24.10.2025.</vt:lpstr>
      <vt:lpstr>31.10.2025</vt:lpstr>
      <vt:lpstr>07.11.2025.</vt:lpstr>
      <vt:lpstr>14.11.2025</vt:lpstr>
      <vt:lpstr>28.11.2025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Milana Gluvić</dc:creator>
  <cp:lastModifiedBy>Zoran Dašić</cp:lastModifiedBy>
  <dcterms:created xsi:type="dcterms:W3CDTF">2025-02-07T08:30:15Z</dcterms:created>
  <dcterms:modified xsi:type="dcterms:W3CDTF">2026-05-12T11:45:55Z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42c8a0-bfc0-4da4-80ec-310dc1a49565_Enabled">
    <vt:lpwstr>true</vt:lpwstr>
  </property>
  <property fmtid="{D5CDD505-2E9C-101B-9397-08002B2CF9AE}" pid="3" name="MSIP_Label_d642c8a0-bfc0-4da4-80ec-310dc1a49565_SetDate">
    <vt:lpwstr>2025-02-07T08:34:32Z</vt:lpwstr>
  </property>
  <property fmtid="{D5CDD505-2E9C-101B-9397-08002B2CF9AE}" pid="4" name="MSIP_Label_d642c8a0-bfc0-4da4-80ec-310dc1a49565_Method">
    <vt:lpwstr>Privileged</vt:lpwstr>
  </property>
  <property fmtid="{D5CDD505-2E9C-101B-9397-08002B2CF9AE}" pid="5" name="MSIP_Label_d642c8a0-bfc0-4da4-80ec-310dc1a49565_Name">
    <vt:lpwstr>d642c8a0-bfc0-4da4-80ec-310dc1a49565</vt:lpwstr>
  </property>
  <property fmtid="{D5CDD505-2E9C-101B-9397-08002B2CF9AE}" pid="6" name="MSIP_Label_d642c8a0-bfc0-4da4-80ec-310dc1a49565_SiteId">
    <vt:lpwstr>3443867a-5529-464d-aabc-c7a9ce7e9a52</vt:lpwstr>
  </property>
  <property fmtid="{D5CDD505-2E9C-101B-9397-08002B2CF9AE}" pid="7" name="MSIP_Label_d642c8a0-bfc0-4da4-80ec-310dc1a49565_ActionId">
    <vt:lpwstr>3c46f156-05ee-4aab-be8a-26770736b77e</vt:lpwstr>
  </property>
  <property fmtid="{D5CDD505-2E9C-101B-9397-08002B2CF9AE}" pid="8" name="MSIP_Label_d642c8a0-bfc0-4da4-80ec-310dc1a49565_ContentBits">
    <vt:lpwstr>0</vt:lpwstr>
  </property>
  <property fmtid="{D5CDD505-2E9C-101B-9397-08002B2CF9AE}" pid="9" name="ContentTypeId">
    <vt:lpwstr>0x010100E32EEA10160B3C4F8EF2E1D8A29BCCF5</vt:lpwstr>
  </property>
</Properties>
</file>