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oran.dasic\Desktop\"/>
    </mc:Choice>
  </mc:AlternateContent>
  <xr:revisionPtr revIDLastSave="0" documentId="8_{2A63E189-8A14-4E6F-9EC5-1B22D9A099C4}" xr6:coauthVersionLast="47" xr6:coauthVersionMax="47" xr10:uidLastSave="{00000000-0000-0000-0000-000000000000}"/>
  <bookViews>
    <workbookView xWindow="-108" yWindow="-108" windowWidth="23256" windowHeight="12456" xr2:uid="{1E9E6173-3A11-4336-AC7A-650B02244BEE}"/>
  </bookViews>
  <sheets>
    <sheet name="19.01.2024.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8" i="1" l="1"/>
  <c r="G78" i="1"/>
  <c r="E78" i="1"/>
  <c r="C78" i="1"/>
  <c r="I58" i="1"/>
  <c r="G58" i="1"/>
  <c r="E58" i="1"/>
  <c r="C58" i="1"/>
  <c r="Q16" i="1"/>
  <c r="P16" i="1"/>
  <c r="O16" i="1"/>
  <c r="N16" i="1"/>
  <c r="M16" i="1"/>
  <c r="K16" i="1"/>
  <c r="I16" i="1"/>
  <c r="G16" i="1"/>
  <c r="E16" i="1"/>
  <c r="C16" i="1"/>
</calcChain>
</file>

<file path=xl/sharedStrings.xml><?xml version="1.0" encoding="utf-8"?>
<sst xmlns="http://schemas.openxmlformats.org/spreadsheetml/2006/main" count="124" uniqueCount="76">
  <si>
    <t>Stanje</t>
  </si>
  <si>
    <r>
      <rPr>
        <b/>
        <sz val="12"/>
        <color theme="1"/>
        <rFont val="Calibri"/>
        <family val="2"/>
        <charset val="238"/>
        <scheme val="minor"/>
      </rPr>
      <t xml:space="preserve">IAD-a </t>
    </r>
    <r>
      <rPr>
        <b/>
        <sz val="11"/>
        <color theme="1"/>
        <rFont val="Calibri"/>
        <family val="2"/>
        <charset val="238"/>
        <scheme val="minor"/>
      </rPr>
      <t xml:space="preserve"> 
      H267N /  HG658V2 / Zyxel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</si>
  <si>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Arris VIP4205/ VIP4302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</si>
  <si>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Arris VIP5305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</si>
  <si>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EKT DIN4805V 4K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</si>
  <si>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EKT DIN7005V HD</t>
    </r>
  </si>
  <si>
    <t>ONT 
(HUAWEI)</t>
  </si>
  <si>
    <t>ONT
(NOKIA)</t>
  </si>
  <si>
    <t>UREĐAJ STB DTH</t>
  </si>
  <si>
    <t>ANTENA SATELITSKA DTH</t>
  </si>
  <si>
    <t>LNB DUO TWIN</t>
  </si>
  <si>
    <t>Datum:</t>
  </si>
  <si>
    <t>19.01.2024.</t>
  </si>
  <si>
    <t>Centralno skladište</t>
  </si>
  <si>
    <t>Skladište servisirane opreme</t>
  </si>
  <si>
    <t xml:space="preserve">IJ Banja Luka </t>
  </si>
  <si>
    <t>IJ Prijedor</t>
  </si>
  <si>
    <t>IJ Doboj</t>
  </si>
  <si>
    <t>IJ Bijeljina</t>
  </si>
  <si>
    <t>IJ Zvornik</t>
  </si>
  <si>
    <t>IJ I.Sarajevo</t>
  </si>
  <si>
    <t>IJ Foča</t>
  </si>
  <si>
    <t>IJ Trebinje</t>
  </si>
  <si>
    <t>Posrednička skladišta DTH</t>
  </si>
  <si>
    <t xml:space="preserve">UKUPNO </t>
  </si>
  <si>
    <t>Raspoloživa oprema</t>
  </si>
  <si>
    <t>* Razlika u stanju Centralnog skladišta i raspoloživog stanja se može pojaviti u nalozima koji su  odrađeni, ali oprema još nije izuzeta iz magacina.</t>
  </si>
  <si>
    <r>
      <t xml:space="preserve">Stanje demontirane ispravne i </t>
    </r>
    <r>
      <rPr>
        <b/>
        <sz val="14"/>
        <color rgb="FFFF0000"/>
        <rFont val="Calibri"/>
        <family val="2"/>
        <charset val="238"/>
        <scheme val="minor"/>
      </rPr>
      <t>kompletne</t>
    </r>
    <r>
      <rPr>
        <b/>
        <sz val="14"/>
        <color theme="1"/>
        <rFont val="Calibri"/>
        <family val="2"/>
        <charset val="238"/>
        <scheme val="minor"/>
      </rPr>
      <t xml:space="preserve"> TO</t>
    </r>
  </si>
  <si>
    <r>
      <rPr>
        <b/>
        <sz val="12"/>
        <color theme="1"/>
        <rFont val="Calibri"/>
        <family val="2"/>
        <charset val="238"/>
        <scheme val="minor"/>
      </rPr>
      <t xml:space="preserve">STB-ova </t>
    </r>
    <r>
      <rPr>
        <b/>
        <sz val="11"/>
        <color theme="1"/>
        <rFont val="Calibri"/>
        <family val="2"/>
        <charset val="238"/>
        <scheme val="minor"/>
      </rPr>
      <t xml:space="preserve"> 
Arris VIP4205/Arris VIP1113</t>
    </r>
  </si>
  <si>
    <r>
      <rPr>
        <b/>
        <sz val="12"/>
        <color theme="1"/>
        <rFont val="Calibri"/>
        <family val="2"/>
        <charset val="238"/>
        <scheme val="minor"/>
      </rPr>
      <t>ONT</t>
    </r>
    <r>
      <rPr>
        <b/>
        <sz val="11"/>
        <color theme="1"/>
        <rFont val="Calibri"/>
        <family val="2"/>
        <charset val="238"/>
        <scheme val="minor"/>
      </rPr>
      <t xml:space="preserve"> 
(HUAWEI)</t>
    </r>
  </si>
  <si>
    <t>62</t>
  </si>
  <si>
    <t>0</t>
  </si>
  <si>
    <t>20</t>
  </si>
  <si>
    <t>100/40</t>
  </si>
  <si>
    <t>0/0</t>
  </si>
  <si>
    <t>10/0/0</t>
  </si>
  <si>
    <t>14/0</t>
  </si>
  <si>
    <t>3</t>
  </si>
  <si>
    <r>
      <t xml:space="preserve">Stanje demontirane ispravne i </t>
    </r>
    <r>
      <rPr>
        <b/>
        <sz val="14"/>
        <color rgb="FFFF0000"/>
        <rFont val="Calibri"/>
        <family val="2"/>
        <charset val="238"/>
        <scheme val="minor"/>
      </rPr>
      <t>nekompletne</t>
    </r>
    <r>
      <rPr>
        <b/>
        <sz val="14"/>
        <color theme="1"/>
        <rFont val="Calibri"/>
        <family val="2"/>
        <charset val="238"/>
        <scheme val="minor"/>
      </rPr>
      <t xml:space="preserve"> TO</t>
    </r>
  </si>
  <si>
    <t>16 NDiA</t>
  </si>
  <si>
    <t>638 ND</t>
  </si>
  <si>
    <t>29 NA</t>
  </si>
  <si>
    <t>119 NDiA</t>
  </si>
  <si>
    <t>23 NA</t>
  </si>
  <si>
    <t>185 ND/ 640 ND</t>
  </si>
  <si>
    <t xml:space="preserve">16 NA </t>
  </si>
  <si>
    <t>12 ND / 117 ND</t>
  </si>
  <si>
    <t>50 NA</t>
  </si>
  <si>
    <t>3 NA</t>
  </si>
  <si>
    <t>22 NDiA</t>
  </si>
  <si>
    <t>95 ND</t>
  </si>
  <si>
    <t>*Napomena: ND- nema daljinski,  NA- nema adapter, NDiA- nema daljinski i adapter</t>
  </si>
  <si>
    <t>Stanje STB uređaja - IPTV platforma</t>
  </si>
  <si>
    <t>STB-uređaji</t>
  </si>
  <si>
    <t>29.12.2023.</t>
  </si>
  <si>
    <t>05.01.2024.</t>
  </si>
  <si>
    <t>12.01.2024.</t>
  </si>
  <si>
    <t>Amino 139</t>
  </si>
  <si>
    <t xml:space="preserve">VIP 4302 </t>
  </si>
  <si>
    <t>Arris VIP1113</t>
  </si>
  <si>
    <t>Arris VIP1113W</t>
  </si>
  <si>
    <t>VIP 4205</t>
  </si>
  <si>
    <t>EKT 7005v HD</t>
  </si>
  <si>
    <t>EKT 4805v 4K</t>
  </si>
  <si>
    <t>VIP5305</t>
  </si>
  <si>
    <t>UKUPNO:</t>
  </si>
  <si>
    <t>Ukupan broj korisnika na IPTV platformi</t>
  </si>
  <si>
    <t>Mjesečno stanje - broj ONT uređaja u radu</t>
  </si>
  <si>
    <t>30.09.2023.</t>
  </si>
  <si>
    <t>31.10.2023.</t>
  </si>
  <si>
    <t>30.11.2023.</t>
  </si>
  <si>
    <t>31.12.2023.</t>
  </si>
  <si>
    <t>ONT-GPON</t>
  </si>
  <si>
    <t>U radu FTTH</t>
  </si>
  <si>
    <t>RC Brčko</t>
  </si>
  <si>
    <t>UKUPNO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</si>
</sst>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.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center" vertical="center" wrapText="1"/>
    </xf>
    <xf numFmtId="49" fontId="2" fillId="6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49" fontId="2" fillId="5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7" fillId="7" borderId="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" fontId="2" fillId="0" borderId="16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top"/>
    </xf>
    <xf numFmtId="0" fontId="8" fillId="0" borderId="19" xfId="0" applyFont="1" applyBorder="1" applyAlignment="1">
      <alignment horizontal="left" vertical="center" wrapText="1"/>
    </xf>
    <xf numFmtId="0" fontId="9" fillId="8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 wrapText="1"/>
    </xf>
    <xf numFmtId="49" fontId="2" fillId="9" borderId="2" xfId="0" applyNumberFormat="1" applyFont="1" applyFill="1" applyBorder="1" applyAlignment="1">
      <alignment horizontal="center" vertical="center" wrapText="1"/>
    </xf>
    <xf numFmtId="49" fontId="2" fillId="5" borderId="4" xfId="0" applyNumberFormat="1" applyFont="1" applyFill="1" applyBorder="1" applyAlignment="1">
      <alignment horizontal="center" vertical="center" wrapText="1"/>
    </xf>
    <xf numFmtId="49" fontId="2" fillId="9" borderId="13" xfId="0" applyNumberFormat="1" applyFont="1" applyFill="1" applyBorder="1" applyAlignment="1">
      <alignment horizontal="center" vertical="center" wrapText="1"/>
    </xf>
    <xf numFmtId="49" fontId="2" fillId="9" borderId="20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7" borderId="8" xfId="0" applyNumberFormat="1" applyFont="1" applyFill="1" applyBorder="1" applyAlignment="1">
      <alignment horizontal="center" vertical="center"/>
    </xf>
    <xf numFmtId="49" fontId="7" fillId="7" borderId="9" xfId="0" applyNumberFormat="1" applyFont="1" applyFill="1" applyBorder="1" applyAlignment="1">
      <alignment horizontal="center" vertical="center"/>
    </xf>
    <xf numFmtId="0" fontId="1" fillId="0" borderId="0" xfId="0" applyFont="1"/>
    <xf numFmtId="0" fontId="11" fillId="0" borderId="0" xfId="0" applyFont="1" applyAlignment="1">
      <alignment vertical="center" wrapText="1"/>
    </xf>
    <xf numFmtId="49" fontId="2" fillId="9" borderId="5" xfId="0" applyNumberFormat="1" applyFont="1" applyFill="1" applyBorder="1" applyAlignment="1">
      <alignment horizontal="center" vertical="center" wrapText="1"/>
    </xf>
    <xf numFmtId="49" fontId="2" fillId="9" borderId="6" xfId="0" applyNumberFormat="1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/>
    </xf>
    <xf numFmtId="0" fontId="2" fillId="10" borderId="8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49" fontId="2" fillId="10" borderId="8" xfId="0" applyNumberFormat="1" applyFont="1" applyFill="1" applyBorder="1" applyAlignment="1">
      <alignment horizontal="center"/>
    </xf>
    <xf numFmtId="49" fontId="2" fillId="10" borderId="9" xfId="0" applyNumberFormat="1" applyFont="1" applyFill="1" applyBorder="1" applyAlignment="1">
      <alignment horizontal="center"/>
    </xf>
    <xf numFmtId="49" fontId="12" fillId="10" borderId="8" xfId="0" applyNumberFormat="1" applyFont="1" applyFill="1" applyBorder="1" applyAlignment="1">
      <alignment horizontal="center"/>
    </xf>
    <xf numFmtId="49" fontId="12" fillId="10" borderId="9" xfId="0" applyNumberFormat="1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1" fontId="12" fillId="0" borderId="9" xfId="0" applyNumberFormat="1" applyFont="1" applyBorder="1" applyAlignment="1">
      <alignment horizontal="center"/>
    </xf>
    <xf numFmtId="0" fontId="5" fillId="0" borderId="0" xfId="0" applyFont="1"/>
    <xf numFmtId="1" fontId="8" fillId="0" borderId="8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49" fontId="2" fillId="11" borderId="1" xfId="0" applyNumberFormat="1" applyFont="1" applyFill="1" applyBorder="1" applyAlignment="1">
      <alignment horizontal="center" vertical="center" wrapText="1"/>
    </xf>
    <xf numFmtId="49" fontId="2" fillId="11" borderId="2" xfId="0" applyNumberFormat="1" applyFont="1" applyFill="1" applyBorder="1" applyAlignment="1">
      <alignment horizontal="center" vertical="center" wrapText="1"/>
    </xf>
    <xf numFmtId="49" fontId="2" fillId="11" borderId="8" xfId="0" applyNumberFormat="1" applyFont="1" applyFill="1" applyBorder="1" applyAlignment="1">
      <alignment horizontal="center"/>
    </xf>
    <xf numFmtId="49" fontId="2" fillId="11" borderId="9" xfId="0" applyNumberFormat="1" applyFont="1" applyFill="1" applyBorder="1" applyAlignment="1">
      <alignment horizontal="center"/>
    </xf>
    <xf numFmtId="49" fontId="2" fillId="11" borderId="13" xfId="0" applyNumberFormat="1" applyFont="1" applyFill="1" applyBorder="1" applyAlignment="1">
      <alignment horizontal="center" vertical="center" wrapText="1"/>
    </xf>
    <xf numFmtId="49" fontId="2" fillId="11" borderId="2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11" borderId="5" xfId="0" applyNumberFormat="1" applyFont="1" applyFill="1" applyBorder="1" applyAlignment="1">
      <alignment horizontal="center" vertical="center" wrapText="1"/>
    </xf>
    <xf numFmtId="49" fontId="2" fillId="11" borderId="6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49" fontId="2" fillId="6" borderId="5" xfId="0" applyNumberFormat="1" applyFont="1" applyFill="1" applyBorder="1" applyAlignment="1">
      <alignment horizontal="center"/>
    </xf>
    <xf numFmtId="49" fontId="2" fillId="6" borderId="6" xfId="0" applyNumberFormat="1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6" borderId="2" xfId="0" applyNumberFormat="1" applyFont="1" applyFill="1" applyBorder="1" applyAlignment="1">
      <alignment horizontal="center" vertical="center" wrapText="1"/>
    </xf>
    <xf numFmtId="49" fontId="2" fillId="6" borderId="5" xfId="0" applyNumberFormat="1" applyFont="1" applyFill="1" applyBorder="1" applyAlignment="1">
      <alignment horizontal="center" vertical="center" wrapText="1"/>
    </xf>
    <xf numFmtId="49" fontId="2" fillId="6" borderId="6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/>
    <xf numFmtId="0" fontId="2" fillId="2" borderId="9" xfId="0" applyFont="1" applyFill="1" applyBorder="1"/>
    <xf numFmtId="1" fontId="2" fillId="0" borderId="8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0DA0-8424-46A8-99D5-B78FD8185861}">
  <dimension ref="A1:T78"/>
  <sheetViews>
    <sheetView tabSelected="1" workbookViewId="0">
      <selection activeCell="O22" sqref="O22"/>
    </sheetView>
  </sheetViews>
  <sheetFormatPr defaultColWidth="9.109375" defaultRowHeight="14.4" x14ac:dyDescent="0.3"/>
  <cols>
    <col min="1" max="1" width="9.109375" style="1"/>
    <col min="2" max="2" width="22.109375" style="1" customWidth="1"/>
    <col min="3" max="3" width="9.109375" style="1"/>
    <col min="4" max="4" width="7" style="1" customWidth="1"/>
    <col min="5" max="5" width="9.109375" style="1"/>
    <col min="6" max="6" width="5.109375" style="1" customWidth="1"/>
    <col min="7" max="7" width="9.109375" style="1"/>
    <col min="8" max="8" width="8.5546875" style="1" customWidth="1"/>
    <col min="9" max="9" width="9.109375" style="1"/>
    <col min="10" max="10" width="7.109375" style="1" customWidth="1"/>
    <col min="11" max="11" width="9.109375" style="1"/>
    <col min="12" max="12" width="6.6640625" style="1" customWidth="1"/>
    <col min="13" max="13" width="9.88671875" style="1" customWidth="1"/>
    <col min="14" max="14" width="8.33203125" style="1" customWidth="1"/>
    <col min="15" max="15" width="8.6640625" style="1" customWidth="1"/>
    <col min="16" max="16" width="11.5546875" style="1" customWidth="1"/>
    <col min="17" max="17" width="7.44140625" style="1" customWidth="1"/>
    <col min="18" max="16384" width="9.109375" style="1"/>
  </cols>
  <sheetData>
    <row r="1" spans="1:18" x14ac:dyDescent="0.3">
      <c r="C1" s="2"/>
      <c r="G1" s="2"/>
      <c r="M1" s="3"/>
      <c r="N1" s="2"/>
      <c r="O1" s="2"/>
      <c r="P1" s="2"/>
      <c r="Q1" s="2"/>
    </row>
    <row r="2" spans="1:18" x14ac:dyDescent="0.3">
      <c r="A2" s="4" t="s">
        <v>0</v>
      </c>
      <c r="B2" s="5"/>
      <c r="C2" s="6" t="s">
        <v>1</v>
      </c>
      <c r="D2" s="7"/>
      <c r="E2" s="8" t="s">
        <v>2</v>
      </c>
      <c r="F2" s="9"/>
      <c r="G2" s="8" t="s">
        <v>3</v>
      </c>
      <c r="H2" s="9"/>
      <c r="I2" s="8" t="s">
        <v>4</v>
      </c>
      <c r="J2" s="9"/>
      <c r="K2" s="8" t="s">
        <v>5</v>
      </c>
      <c r="L2" s="9"/>
      <c r="M2" s="10" t="s">
        <v>6</v>
      </c>
      <c r="N2" s="10" t="s">
        <v>7</v>
      </c>
      <c r="O2" s="11" t="s">
        <v>8</v>
      </c>
      <c r="P2" s="12" t="s">
        <v>9</v>
      </c>
      <c r="Q2" s="12" t="s">
        <v>10</v>
      </c>
    </row>
    <row r="3" spans="1:18" ht="35.25" customHeight="1" x14ac:dyDescent="0.3">
      <c r="A3" s="13"/>
      <c r="B3" s="14"/>
      <c r="C3" s="15"/>
      <c r="D3" s="16"/>
      <c r="E3" s="17"/>
      <c r="F3" s="18"/>
      <c r="G3" s="17"/>
      <c r="H3" s="18"/>
      <c r="I3" s="17"/>
      <c r="J3" s="18"/>
      <c r="K3" s="17"/>
      <c r="L3" s="18"/>
      <c r="M3" s="19"/>
      <c r="N3" s="19"/>
      <c r="O3" s="11"/>
      <c r="P3" s="12"/>
      <c r="Q3" s="12"/>
    </row>
    <row r="4" spans="1:18" ht="15" thickBot="1" x14ac:dyDescent="0.35">
      <c r="A4" s="20" t="s">
        <v>11</v>
      </c>
      <c r="B4" s="21"/>
      <c r="C4" s="22" t="s">
        <v>12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4"/>
    </row>
    <row r="5" spans="1:18" x14ac:dyDescent="0.3">
      <c r="A5" s="25" t="s">
        <v>13</v>
      </c>
      <c r="B5" s="26"/>
      <c r="C5" s="27">
        <v>10166</v>
      </c>
      <c r="D5" s="28"/>
      <c r="E5" s="29">
        <v>1022</v>
      </c>
      <c r="F5" s="30"/>
      <c r="G5" s="29">
        <v>1562</v>
      </c>
      <c r="H5" s="30"/>
      <c r="I5" s="29">
        <v>1823</v>
      </c>
      <c r="J5" s="30"/>
      <c r="K5" s="31">
        <v>0</v>
      </c>
      <c r="L5" s="32"/>
      <c r="M5" s="33">
        <v>472</v>
      </c>
      <c r="N5" s="34">
        <v>2060</v>
      </c>
      <c r="O5" s="35">
        <v>928</v>
      </c>
      <c r="P5" s="34">
        <v>2065</v>
      </c>
      <c r="Q5" s="34">
        <v>1783</v>
      </c>
    </row>
    <row r="6" spans="1:18" ht="13.5" customHeight="1" x14ac:dyDescent="0.3">
      <c r="A6" s="25" t="s">
        <v>14</v>
      </c>
      <c r="B6" s="26"/>
      <c r="C6" s="36">
        <v>1518</v>
      </c>
      <c r="D6" s="37"/>
      <c r="E6" s="36">
        <v>54</v>
      </c>
      <c r="F6" s="37"/>
      <c r="G6" s="36">
        <v>1</v>
      </c>
      <c r="H6" s="37"/>
      <c r="I6" s="36">
        <v>0</v>
      </c>
      <c r="J6" s="37"/>
      <c r="K6" s="36">
        <v>0</v>
      </c>
      <c r="L6" s="37"/>
      <c r="M6" s="34">
        <v>7</v>
      </c>
      <c r="N6" s="34">
        <v>0</v>
      </c>
      <c r="O6" s="34">
        <v>0</v>
      </c>
      <c r="P6" s="34">
        <v>0</v>
      </c>
      <c r="Q6" s="34">
        <v>0</v>
      </c>
    </row>
    <row r="7" spans="1:18" x14ac:dyDescent="0.3">
      <c r="A7" s="38" t="s">
        <v>15</v>
      </c>
      <c r="B7" s="39"/>
      <c r="C7" s="40">
        <v>292</v>
      </c>
      <c r="D7" s="41"/>
      <c r="E7" s="40">
        <v>338</v>
      </c>
      <c r="F7" s="41"/>
      <c r="G7" s="40">
        <v>240</v>
      </c>
      <c r="H7" s="41"/>
      <c r="I7" s="40">
        <v>211</v>
      </c>
      <c r="J7" s="41"/>
      <c r="K7" s="40">
        <v>37</v>
      </c>
      <c r="L7" s="41"/>
      <c r="M7" s="42">
        <v>295</v>
      </c>
      <c r="N7" s="42">
        <v>45</v>
      </c>
      <c r="O7" s="42">
        <v>0</v>
      </c>
      <c r="P7" s="42">
        <v>0</v>
      </c>
      <c r="Q7" s="42">
        <v>0</v>
      </c>
    </row>
    <row r="8" spans="1:18" x14ac:dyDescent="0.3">
      <c r="A8" s="38" t="s">
        <v>16</v>
      </c>
      <c r="B8" s="39"/>
      <c r="C8" s="40">
        <v>155</v>
      </c>
      <c r="D8" s="41"/>
      <c r="E8" s="40">
        <v>159</v>
      </c>
      <c r="F8" s="41"/>
      <c r="G8" s="40">
        <v>0</v>
      </c>
      <c r="H8" s="41"/>
      <c r="I8" s="40">
        <v>173</v>
      </c>
      <c r="J8" s="41"/>
      <c r="K8" s="40">
        <v>0</v>
      </c>
      <c r="L8" s="41"/>
      <c r="M8" s="42">
        <v>105</v>
      </c>
      <c r="N8" s="42">
        <v>15</v>
      </c>
      <c r="O8" s="42">
        <v>0</v>
      </c>
      <c r="P8" s="42">
        <v>0</v>
      </c>
      <c r="Q8" s="42">
        <v>2</v>
      </c>
      <c r="R8" s="43"/>
    </row>
    <row r="9" spans="1:18" x14ac:dyDescent="0.3">
      <c r="A9" s="38" t="s">
        <v>17</v>
      </c>
      <c r="B9" s="39"/>
      <c r="C9" s="40">
        <v>310</v>
      </c>
      <c r="D9" s="41"/>
      <c r="E9" s="40">
        <v>7</v>
      </c>
      <c r="F9" s="41"/>
      <c r="G9" s="40">
        <v>0</v>
      </c>
      <c r="H9" s="41"/>
      <c r="I9" s="40">
        <v>301</v>
      </c>
      <c r="J9" s="41"/>
      <c r="K9" s="40">
        <v>8</v>
      </c>
      <c r="L9" s="41"/>
      <c r="M9" s="42">
        <v>323</v>
      </c>
      <c r="N9" s="42">
        <v>70</v>
      </c>
      <c r="O9" s="42">
        <v>0</v>
      </c>
      <c r="P9" s="42">
        <v>12</v>
      </c>
      <c r="Q9" s="42">
        <v>1</v>
      </c>
    </row>
    <row r="10" spans="1:18" x14ac:dyDescent="0.3">
      <c r="A10" s="38" t="s">
        <v>18</v>
      </c>
      <c r="B10" s="39"/>
      <c r="C10" s="40">
        <v>288</v>
      </c>
      <c r="D10" s="41"/>
      <c r="E10" s="40">
        <v>201</v>
      </c>
      <c r="F10" s="41"/>
      <c r="G10" s="40">
        <v>29</v>
      </c>
      <c r="H10" s="41"/>
      <c r="I10" s="40">
        <v>40</v>
      </c>
      <c r="J10" s="41"/>
      <c r="K10" s="40">
        <v>0</v>
      </c>
      <c r="L10" s="41"/>
      <c r="M10" s="42">
        <v>125</v>
      </c>
      <c r="N10" s="42">
        <v>75</v>
      </c>
      <c r="O10" s="42">
        <v>0</v>
      </c>
      <c r="P10" s="42">
        <v>0</v>
      </c>
      <c r="Q10" s="42">
        <v>0</v>
      </c>
    </row>
    <row r="11" spans="1:18" x14ac:dyDescent="0.3">
      <c r="A11" s="38" t="s">
        <v>19</v>
      </c>
      <c r="B11" s="39"/>
      <c r="C11" s="44">
        <v>407</v>
      </c>
      <c r="D11" s="45"/>
      <c r="E11" s="40">
        <v>85</v>
      </c>
      <c r="F11" s="41"/>
      <c r="G11" s="40">
        <v>0</v>
      </c>
      <c r="H11" s="41"/>
      <c r="I11" s="40">
        <v>25</v>
      </c>
      <c r="J11" s="41"/>
      <c r="K11" s="40">
        <v>6</v>
      </c>
      <c r="L11" s="41"/>
      <c r="M11" s="42">
        <v>298</v>
      </c>
      <c r="N11" s="42">
        <v>304</v>
      </c>
      <c r="O11" s="42">
        <v>82</v>
      </c>
      <c r="P11" s="42">
        <v>14</v>
      </c>
      <c r="Q11" s="42">
        <v>0</v>
      </c>
    </row>
    <row r="12" spans="1:18" x14ac:dyDescent="0.3">
      <c r="A12" s="38" t="s">
        <v>20</v>
      </c>
      <c r="B12" s="39"/>
      <c r="C12" s="44">
        <v>12</v>
      </c>
      <c r="D12" s="45"/>
      <c r="E12" s="40">
        <v>50</v>
      </c>
      <c r="F12" s="41"/>
      <c r="G12" s="40">
        <v>100</v>
      </c>
      <c r="H12" s="41"/>
      <c r="I12" s="40">
        <v>62</v>
      </c>
      <c r="J12" s="41"/>
      <c r="K12" s="40">
        <v>0</v>
      </c>
      <c r="L12" s="41"/>
      <c r="M12" s="42">
        <v>115</v>
      </c>
      <c r="N12" s="42">
        <v>190</v>
      </c>
      <c r="O12" s="42">
        <v>0</v>
      </c>
      <c r="P12" s="42">
        <v>16</v>
      </c>
      <c r="Q12" s="42">
        <v>5</v>
      </c>
    </row>
    <row r="13" spans="1:18" x14ac:dyDescent="0.3">
      <c r="A13" s="38" t="s">
        <v>21</v>
      </c>
      <c r="B13" s="39"/>
      <c r="C13" s="44">
        <v>272</v>
      </c>
      <c r="D13" s="45"/>
      <c r="E13" s="40">
        <v>111</v>
      </c>
      <c r="F13" s="41"/>
      <c r="G13" s="40">
        <v>0</v>
      </c>
      <c r="H13" s="41"/>
      <c r="I13" s="40">
        <v>0</v>
      </c>
      <c r="J13" s="41"/>
      <c r="K13" s="40">
        <v>0</v>
      </c>
      <c r="L13" s="41"/>
      <c r="M13" s="42">
        <v>96</v>
      </c>
      <c r="N13" s="42">
        <v>45</v>
      </c>
      <c r="O13" s="42">
        <v>0</v>
      </c>
      <c r="P13" s="42">
        <v>0</v>
      </c>
      <c r="Q13" s="42">
        <v>0</v>
      </c>
    </row>
    <row r="14" spans="1:18" x14ac:dyDescent="0.3">
      <c r="A14" s="46" t="s">
        <v>22</v>
      </c>
      <c r="B14" s="47"/>
      <c r="C14" s="48">
        <v>236</v>
      </c>
      <c r="D14" s="49"/>
      <c r="E14" s="48">
        <v>7</v>
      </c>
      <c r="F14" s="49"/>
      <c r="G14" s="48">
        <v>13</v>
      </c>
      <c r="H14" s="49"/>
      <c r="I14" s="40">
        <v>223</v>
      </c>
      <c r="J14" s="41"/>
      <c r="K14" s="48">
        <v>0</v>
      </c>
      <c r="L14" s="49"/>
      <c r="M14" s="50">
        <v>230</v>
      </c>
      <c r="N14" s="50">
        <v>9</v>
      </c>
      <c r="O14" s="42">
        <v>0</v>
      </c>
      <c r="P14" s="42">
        <v>0</v>
      </c>
      <c r="Q14" s="42">
        <v>0</v>
      </c>
    </row>
    <row r="15" spans="1:18" ht="15" thickBot="1" x14ac:dyDescent="0.35">
      <c r="A15" s="51" t="s">
        <v>23</v>
      </c>
      <c r="B15" s="52"/>
      <c r="C15" s="48">
        <v>0</v>
      </c>
      <c r="D15" s="49"/>
      <c r="E15" s="48">
        <v>0</v>
      </c>
      <c r="F15" s="49"/>
      <c r="G15" s="48">
        <v>0</v>
      </c>
      <c r="H15" s="49"/>
      <c r="I15" s="48">
        <v>0</v>
      </c>
      <c r="J15" s="49"/>
      <c r="K15" s="48">
        <v>0</v>
      </c>
      <c r="L15" s="49"/>
      <c r="M15" s="50">
        <v>0</v>
      </c>
      <c r="N15" s="50">
        <v>0</v>
      </c>
      <c r="O15" s="53">
        <v>3423</v>
      </c>
      <c r="P15" s="42">
        <v>3127</v>
      </c>
      <c r="Q15" s="42">
        <v>2417</v>
      </c>
    </row>
    <row r="16" spans="1:18" ht="15" thickBot="1" x14ac:dyDescent="0.35">
      <c r="A16" s="54" t="s">
        <v>24</v>
      </c>
      <c r="B16" s="55"/>
      <c r="C16" s="56">
        <f>SUM(C5:D15)</f>
        <v>13656</v>
      </c>
      <c r="D16" s="57"/>
      <c r="E16" s="56">
        <f>SUM(E5:F15)</f>
        <v>2034</v>
      </c>
      <c r="F16" s="57"/>
      <c r="G16" s="56">
        <f>SUM(G5:H15)</f>
        <v>1945</v>
      </c>
      <c r="H16" s="57"/>
      <c r="I16" s="56">
        <f>SUM(I5:J15)</f>
        <v>2858</v>
      </c>
      <c r="J16" s="57"/>
      <c r="K16" s="56">
        <f>SUM(K5:L15)</f>
        <v>51</v>
      </c>
      <c r="L16" s="57"/>
      <c r="M16" s="58">
        <f>SUM(M5:M15)</f>
        <v>2066</v>
      </c>
      <c r="N16" s="58">
        <f>SUM(N5:N15)</f>
        <v>2813</v>
      </c>
      <c r="O16" s="58">
        <f>SUM(O5:O15)</f>
        <v>4433</v>
      </c>
      <c r="P16" s="58">
        <f>SUM(P5:P15)</f>
        <v>5234</v>
      </c>
      <c r="Q16" s="59">
        <f>SUM(Q5:Q15)</f>
        <v>4208</v>
      </c>
    </row>
    <row r="17" spans="1:20" ht="15" thickBot="1" x14ac:dyDescent="0.35">
      <c r="A17" s="60" t="s">
        <v>25</v>
      </c>
      <c r="B17" s="61"/>
      <c r="C17" s="27">
        <v>10166</v>
      </c>
      <c r="D17" s="28"/>
      <c r="E17" s="29">
        <v>1022</v>
      </c>
      <c r="F17" s="30"/>
      <c r="G17" s="29">
        <v>1562</v>
      </c>
      <c r="H17" s="30"/>
      <c r="I17" s="29">
        <v>1823</v>
      </c>
      <c r="J17" s="30"/>
      <c r="K17" s="62">
        <v>0</v>
      </c>
      <c r="L17" s="63"/>
      <c r="M17" s="64">
        <v>472</v>
      </c>
      <c r="N17" s="65">
        <v>2060</v>
      </c>
      <c r="O17" s="33">
        <v>928</v>
      </c>
      <c r="P17" s="34">
        <v>2065</v>
      </c>
      <c r="Q17" s="34">
        <v>1783</v>
      </c>
    </row>
    <row r="18" spans="1:20" x14ac:dyDescent="0.3">
      <c r="A18" s="66" t="s">
        <v>26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T18" s="67"/>
    </row>
    <row r="19" spans="1:20" x14ac:dyDescent="0.3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T19" s="67"/>
    </row>
    <row r="20" spans="1:20" x14ac:dyDescent="0.3">
      <c r="O20" s="69"/>
    </row>
    <row r="22" spans="1:20" x14ac:dyDescent="0.3">
      <c r="A22" s="4" t="s">
        <v>27</v>
      </c>
      <c r="B22" s="5"/>
      <c r="C22" s="6" t="s">
        <v>1</v>
      </c>
      <c r="D22" s="7"/>
      <c r="E22" s="8" t="s">
        <v>28</v>
      </c>
      <c r="F22" s="9"/>
      <c r="G22" s="8" t="s">
        <v>3</v>
      </c>
      <c r="H22" s="9"/>
      <c r="I22" s="70" t="s">
        <v>29</v>
      </c>
      <c r="J22" s="71"/>
      <c r="K22" s="72" t="s">
        <v>7</v>
      </c>
    </row>
    <row r="23" spans="1:20" ht="45" customHeight="1" x14ac:dyDescent="0.3">
      <c r="A23" s="13"/>
      <c r="B23" s="14"/>
      <c r="C23" s="15"/>
      <c r="D23" s="16"/>
      <c r="E23" s="17"/>
      <c r="F23" s="18"/>
      <c r="G23" s="17"/>
      <c r="H23" s="18"/>
      <c r="I23" s="73"/>
      <c r="J23" s="74"/>
      <c r="K23" s="72"/>
    </row>
    <row r="24" spans="1:20" x14ac:dyDescent="0.3">
      <c r="A24" s="20" t="s">
        <v>11</v>
      </c>
      <c r="B24" s="21"/>
      <c r="C24" s="75" t="s">
        <v>12</v>
      </c>
      <c r="D24" s="75"/>
      <c r="E24" s="75"/>
      <c r="F24" s="75"/>
      <c r="G24" s="75"/>
      <c r="H24" s="75"/>
      <c r="I24" s="75"/>
      <c r="J24" s="75"/>
      <c r="K24" s="75"/>
    </row>
    <row r="25" spans="1:20" x14ac:dyDescent="0.3">
      <c r="A25" s="38" t="s">
        <v>15</v>
      </c>
      <c r="B25" s="39"/>
      <c r="C25" s="40">
        <v>233</v>
      </c>
      <c r="D25" s="41"/>
      <c r="E25" s="76" t="s">
        <v>30</v>
      </c>
      <c r="F25" s="77"/>
      <c r="G25" s="40">
        <v>0</v>
      </c>
      <c r="H25" s="41"/>
      <c r="I25" s="40">
        <v>16</v>
      </c>
      <c r="J25" s="41"/>
      <c r="K25" s="42">
        <v>0</v>
      </c>
      <c r="N25"/>
      <c r="O25"/>
    </row>
    <row r="26" spans="1:20" x14ac:dyDescent="0.3">
      <c r="A26" s="38" t="s">
        <v>16</v>
      </c>
      <c r="B26" s="39"/>
      <c r="C26" s="40">
        <v>48</v>
      </c>
      <c r="D26" s="41"/>
      <c r="E26" s="76" t="s">
        <v>31</v>
      </c>
      <c r="F26" s="77"/>
      <c r="G26" s="40">
        <v>0</v>
      </c>
      <c r="H26" s="41"/>
      <c r="I26" s="40">
        <v>129</v>
      </c>
      <c r="J26" s="41"/>
      <c r="K26" s="42">
        <v>0</v>
      </c>
      <c r="N26"/>
      <c r="O26"/>
    </row>
    <row r="27" spans="1:20" x14ac:dyDescent="0.3">
      <c r="A27" s="38" t="s">
        <v>17</v>
      </c>
      <c r="B27" s="39"/>
      <c r="C27" s="40">
        <v>139</v>
      </c>
      <c r="D27" s="41"/>
      <c r="E27" s="76" t="s">
        <v>32</v>
      </c>
      <c r="F27" s="77"/>
      <c r="G27" s="40">
        <v>2</v>
      </c>
      <c r="H27" s="41"/>
      <c r="I27" s="40">
        <v>69</v>
      </c>
      <c r="J27" s="41"/>
      <c r="K27" s="42">
        <v>0</v>
      </c>
      <c r="N27"/>
      <c r="O27"/>
    </row>
    <row r="28" spans="1:20" ht="15" customHeight="1" x14ac:dyDescent="0.3">
      <c r="A28" s="38" t="s">
        <v>18</v>
      </c>
      <c r="B28" s="39"/>
      <c r="C28" s="76" t="s">
        <v>33</v>
      </c>
      <c r="D28" s="77"/>
      <c r="E28" s="76" t="s">
        <v>34</v>
      </c>
      <c r="F28" s="77"/>
      <c r="G28" s="40">
        <v>0</v>
      </c>
      <c r="H28" s="41"/>
      <c r="I28" s="40">
        <v>30</v>
      </c>
      <c r="J28" s="41"/>
      <c r="K28" s="42">
        <v>4</v>
      </c>
      <c r="N28"/>
      <c r="O28"/>
    </row>
    <row r="29" spans="1:20" x14ac:dyDescent="0.3">
      <c r="A29" s="38" t="s">
        <v>19</v>
      </c>
      <c r="B29" s="39"/>
      <c r="C29" s="78" t="s">
        <v>35</v>
      </c>
      <c r="D29" s="79"/>
      <c r="E29" s="76" t="s">
        <v>34</v>
      </c>
      <c r="F29" s="77"/>
      <c r="G29" s="40">
        <v>0</v>
      </c>
      <c r="H29" s="41"/>
      <c r="I29" s="40">
        <v>12</v>
      </c>
      <c r="J29" s="41"/>
      <c r="K29" s="42">
        <v>1</v>
      </c>
      <c r="N29"/>
      <c r="O29" s="80"/>
    </row>
    <row r="30" spans="1:20" x14ac:dyDescent="0.3">
      <c r="A30" s="38" t="s">
        <v>20</v>
      </c>
      <c r="B30" s="39"/>
      <c r="C30" s="44">
        <v>3</v>
      </c>
      <c r="D30" s="45"/>
      <c r="E30" s="40" t="s">
        <v>34</v>
      </c>
      <c r="F30" s="41"/>
      <c r="G30" s="40">
        <v>0</v>
      </c>
      <c r="H30" s="41"/>
      <c r="I30" s="40">
        <v>1</v>
      </c>
      <c r="J30" s="41"/>
      <c r="K30" s="42">
        <v>0</v>
      </c>
      <c r="N30"/>
      <c r="O30"/>
      <c r="P30"/>
    </row>
    <row r="31" spans="1:20" x14ac:dyDescent="0.3">
      <c r="A31" s="38" t="s">
        <v>21</v>
      </c>
      <c r="B31" s="39"/>
      <c r="C31" s="44" t="s">
        <v>36</v>
      </c>
      <c r="D31" s="45"/>
      <c r="E31" s="76" t="s">
        <v>31</v>
      </c>
      <c r="F31" s="77"/>
      <c r="G31" s="40">
        <v>0</v>
      </c>
      <c r="H31" s="41"/>
      <c r="I31" s="40">
        <v>7</v>
      </c>
      <c r="J31" s="41"/>
      <c r="K31" s="42">
        <v>0</v>
      </c>
      <c r="N31" s="81"/>
      <c r="O31"/>
      <c r="P31"/>
    </row>
    <row r="32" spans="1:20" x14ac:dyDescent="0.3">
      <c r="A32" s="38" t="s">
        <v>22</v>
      </c>
      <c r="B32" s="39"/>
      <c r="C32" s="40">
        <v>16</v>
      </c>
      <c r="D32" s="41"/>
      <c r="E32" s="76" t="s">
        <v>37</v>
      </c>
      <c r="F32" s="77"/>
      <c r="G32" s="40">
        <v>0</v>
      </c>
      <c r="H32" s="41"/>
      <c r="I32" s="40">
        <v>1</v>
      </c>
      <c r="J32" s="41"/>
      <c r="K32" s="42">
        <v>0</v>
      </c>
      <c r="N32" s="81"/>
      <c r="O32"/>
      <c r="P32"/>
    </row>
    <row r="33" spans="1:16" x14ac:dyDescent="0.3">
      <c r="N33" s="81"/>
      <c r="O33"/>
      <c r="P33"/>
    </row>
    <row r="34" spans="1:16" x14ac:dyDescent="0.3">
      <c r="N34" s="81"/>
      <c r="O34"/>
      <c r="P34"/>
    </row>
    <row r="35" spans="1:16" x14ac:dyDescent="0.3">
      <c r="A35" s="4" t="s">
        <v>38</v>
      </c>
      <c r="B35" s="5"/>
      <c r="C35" s="6" t="s">
        <v>1</v>
      </c>
      <c r="D35" s="7"/>
      <c r="E35" s="8" t="s">
        <v>28</v>
      </c>
      <c r="F35" s="9"/>
      <c r="G35" s="8" t="s">
        <v>3</v>
      </c>
      <c r="H35" s="9"/>
      <c r="I35" s="70" t="s">
        <v>29</v>
      </c>
      <c r="J35" s="71"/>
      <c r="K35" s="10" t="s">
        <v>7</v>
      </c>
    </row>
    <row r="36" spans="1:16" ht="49.5" customHeight="1" x14ac:dyDescent="0.3">
      <c r="A36" s="13"/>
      <c r="B36" s="14"/>
      <c r="C36" s="15"/>
      <c r="D36" s="16"/>
      <c r="E36" s="17"/>
      <c r="F36" s="18"/>
      <c r="G36" s="17"/>
      <c r="H36" s="18"/>
      <c r="I36" s="82"/>
      <c r="J36" s="83"/>
      <c r="K36" s="19"/>
    </row>
    <row r="37" spans="1:16" x14ac:dyDescent="0.3">
      <c r="A37" s="20" t="s">
        <v>11</v>
      </c>
      <c r="B37" s="21"/>
      <c r="C37" s="84" t="s">
        <v>12</v>
      </c>
      <c r="D37" s="85"/>
      <c r="E37" s="85"/>
      <c r="F37" s="85"/>
      <c r="G37" s="85"/>
      <c r="H37" s="85"/>
      <c r="I37" s="85"/>
      <c r="J37" s="85"/>
      <c r="K37" s="86"/>
    </row>
    <row r="38" spans="1:16" x14ac:dyDescent="0.3">
      <c r="A38" s="87" t="s">
        <v>15</v>
      </c>
      <c r="B38" s="88"/>
      <c r="C38" s="40">
        <v>0</v>
      </c>
      <c r="D38" s="41"/>
      <c r="E38" s="89" t="s">
        <v>39</v>
      </c>
      <c r="F38" s="90"/>
      <c r="G38" s="40">
        <v>0</v>
      </c>
      <c r="H38" s="41"/>
      <c r="I38" s="40">
        <v>0</v>
      </c>
      <c r="J38" s="41"/>
      <c r="K38" s="42">
        <v>0</v>
      </c>
    </row>
    <row r="39" spans="1:16" x14ac:dyDescent="0.3">
      <c r="A39" s="87" t="s">
        <v>16</v>
      </c>
      <c r="B39" s="88"/>
      <c r="C39" s="40">
        <v>0</v>
      </c>
      <c r="D39" s="41"/>
      <c r="E39" s="89" t="s">
        <v>40</v>
      </c>
      <c r="F39" s="90"/>
      <c r="G39" s="40">
        <v>0</v>
      </c>
      <c r="H39" s="41"/>
      <c r="I39" s="40">
        <v>0</v>
      </c>
      <c r="J39" s="41"/>
      <c r="K39" s="42">
        <v>0</v>
      </c>
    </row>
    <row r="40" spans="1:16" x14ac:dyDescent="0.3">
      <c r="A40" s="87" t="s">
        <v>17</v>
      </c>
      <c r="B40" s="88"/>
      <c r="C40" s="40" t="s">
        <v>41</v>
      </c>
      <c r="D40" s="41"/>
      <c r="E40" s="89" t="s">
        <v>42</v>
      </c>
      <c r="F40" s="90"/>
      <c r="G40" s="40">
        <v>6</v>
      </c>
      <c r="H40" s="41"/>
      <c r="I40" s="40" t="s">
        <v>43</v>
      </c>
      <c r="J40" s="41"/>
      <c r="K40" s="42">
        <v>0</v>
      </c>
    </row>
    <row r="41" spans="1:16" x14ac:dyDescent="0.3">
      <c r="A41" s="87" t="s">
        <v>18</v>
      </c>
      <c r="B41" s="88"/>
      <c r="C41" s="44">
        <v>0</v>
      </c>
      <c r="D41" s="45"/>
      <c r="E41" s="89" t="s">
        <v>44</v>
      </c>
      <c r="F41" s="90"/>
      <c r="G41" s="40">
        <v>0</v>
      </c>
      <c r="H41" s="41"/>
      <c r="I41" s="40">
        <v>0</v>
      </c>
      <c r="J41" s="41"/>
      <c r="K41" s="42">
        <v>0</v>
      </c>
    </row>
    <row r="42" spans="1:16" x14ac:dyDescent="0.3">
      <c r="A42" s="87" t="s">
        <v>19</v>
      </c>
      <c r="B42" s="88"/>
      <c r="C42" s="44" t="s">
        <v>45</v>
      </c>
      <c r="D42" s="45"/>
      <c r="E42" s="89" t="s">
        <v>46</v>
      </c>
      <c r="F42" s="90"/>
      <c r="G42" s="40">
        <v>0</v>
      </c>
      <c r="H42" s="41"/>
      <c r="I42" s="40" t="s">
        <v>47</v>
      </c>
      <c r="J42" s="41"/>
      <c r="K42" s="42" t="s">
        <v>48</v>
      </c>
    </row>
    <row r="43" spans="1:16" x14ac:dyDescent="0.3">
      <c r="A43" s="87" t="s">
        <v>20</v>
      </c>
      <c r="B43" s="88"/>
      <c r="C43" s="44">
        <v>0</v>
      </c>
      <c r="D43" s="45"/>
      <c r="E43" s="40" t="s">
        <v>49</v>
      </c>
      <c r="F43" s="41"/>
      <c r="G43" s="40">
        <v>0</v>
      </c>
      <c r="H43" s="41"/>
      <c r="I43" s="40">
        <v>0</v>
      </c>
      <c r="J43" s="41"/>
      <c r="K43" s="42">
        <v>0</v>
      </c>
    </row>
    <row r="44" spans="1:16" x14ac:dyDescent="0.3">
      <c r="A44" s="87" t="s">
        <v>21</v>
      </c>
      <c r="B44" s="88"/>
      <c r="C44" s="44">
        <v>2</v>
      </c>
      <c r="D44" s="45"/>
      <c r="E44" s="40" t="s">
        <v>50</v>
      </c>
      <c r="F44" s="41"/>
      <c r="G44" s="40">
        <v>0</v>
      </c>
      <c r="H44" s="41"/>
      <c r="I44" s="40">
        <v>5</v>
      </c>
      <c r="J44" s="41"/>
      <c r="K44" s="42">
        <v>0</v>
      </c>
    </row>
    <row r="45" spans="1:16" x14ac:dyDescent="0.3">
      <c r="A45" s="87" t="s">
        <v>22</v>
      </c>
      <c r="B45" s="88"/>
      <c r="C45" s="40">
        <v>0</v>
      </c>
      <c r="D45" s="41"/>
      <c r="E45" s="40">
        <v>0</v>
      </c>
      <c r="F45" s="41"/>
      <c r="G45" s="40">
        <v>0</v>
      </c>
      <c r="H45" s="41"/>
      <c r="I45" s="40">
        <v>0</v>
      </c>
      <c r="J45" s="41"/>
      <c r="K45" s="42">
        <v>0</v>
      </c>
    </row>
    <row r="46" spans="1:16" x14ac:dyDescent="0.3">
      <c r="A46" s="91" t="s">
        <v>51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</row>
    <row r="48" spans="1:16" x14ac:dyDescent="0.3">
      <c r="A48" s="92" t="s">
        <v>52</v>
      </c>
      <c r="B48" s="93"/>
      <c r="C48" s="93"/>
      <c r="D48" s="93"/>
      <c r="E48" s="93"/>
      <c r="F48" s="93"/>
      <c r="G48" s="93"/>
      <c r="H48" s="93"/>
      <c r="I48" s="93"/>
      <c r="J48" s="94"/>
    </row>
    <row r="49" spans="1:11" x14ac:dyDescent="0.3">
      <c r="A49" s="95" t="s">
        <v>53</v>
      </c>
      <c r="B49" s="96"/>
      <c r="C49" s="97" t="s">
        <v>54</v>
      </c>
      <c r="D49" s="98"/>
      <c r="E49" s="99" t="s">
        <v>55</v>
      </c>
      <c r="F49" s="100"/>
      <c r="G49" s="97" t="s">
        <v>56</v>
      </c>
      <c r="H49" s="98"/>
      <c r="I49" s="97" t="s">
        <v>12</v>
      </c>
      <c r="J49" s="98"/>
    </row>
    <row r="50" spans="1:11" x14ac:dyDescent="0.3">
      <c r="A50" s="101" t="s">
        <v>57</v>
      </c>
      <c r="B50" s="102"/>
      <c r="C50" s="103">
        <v>12556</v>
      </c>
      <c r="D50" s="104"/>
      <c r="E50" s="103">
        <v>12509</v>
      </c>
      <c r="F50" s="104"/>
      <c r="G50" s="103">
        <v>12473</v>
      </c>
      <c r="H50" s="104"/>
      <c r="I50" s="103">
        <v>12426</v>
      </c>
      <c r="J50" s="104"/>
    </row>
    <row r="51" spans="1:11" x14ac:dyDescent="0.3">
      <c r="A51" s="101" t="s">
        <v>58</v>
      </c>
      <c r="B51" s="102"/>
      <c r="C51" s="103">
        <v>9760</v>
      </c>
      <c r="D51" s="104"/>
      <c r="E51" s="103">
        <v>9804</v>
      </c>
      <c r="F51" s="104"/>
      <c r="G51" s="103">
        <v>9835</v>
      </c>
      <c r="H51" s="104"/>
      <c r="I51" s="103">
        <v>9900</v>
      </c>
      <c r="J51" s="104"/>
    </row>
    <row r="52" spans="1:11" x14ac:dyDescent="0.3">
      <c r="A52" s="101" t="s">
        <v>59</v>
      </c>
      <c r="B52" s="102"/>
      <c r="C52" s="103">
        <v>113154</v>
      </c>
      <c r="D52" s="104"/>
      <c r="E52" s="103">
        <v>113097</v>
      </c>
      <c r="F52" s="104"/>
      <c r="G52" s="103">
        <v>113032</v>
      </c>
      <c r="H52" s="104"/>
      <c r="I52" s="103">
        <v>112932</v>
      </c>
      <c r="J52" s="104"/>
    </row>
    <row r="53" spans="1:11" x14ac:dyDescent="0.3">
      <c r="A53" s="101" t="s">
        <v>60</v>
      </c>
      <c r="B53" s="102"/>
      <c r="C53" s="105">
        <v>240</v>
      </c>
      <c r="D53" s="106"/>
      <c r="E53" s="105">
        <v>239</v>
      </c>
      <c r="F53" s="106"/>
      <c r="G53" s="105">
        <v>240</v>
      </c>
      <c r="H53" s="106"/>
      <c r="I53" s="105">
        <v>240</v>
      </c>
      <c r="J53" s="106"/>
    </row>
    <row r="54" spans="1:11" x14ac:dyDescent="0.3">
      <c r="A54" s="101" t="s">
        <v>61</v>
      </c>
      <c r="B54" s="102"/>
      <c r="C54" s="103">
        <v>49983</v>
      </c>
      <c r="D54" s="104"/>
      <c r="E54" s="103">
        <v>49947</v>
      </c>
      <c r="F54" s="104"/>
      <c r="G54" s="103">
        <v>49924</v>
      </c>
      <c r="H54" s="104"/>
      <c r="I54" s="103">
        <v>49893</v>
      </c>
      <c r="J54" s="104"/>
    </row>
    <row r="55" spans="1:11" x14ac:dyDescent="0.3">
      <c r="A55" s="101" t="s">
        <v>62</v>
      </c>
      <c r="B55" s="102"/>
      <c r="C55" s="105">
        <v>4376</v>
      </c>
      <c r="D55" s="106"/>
      <c r="E55" s="105">
        <v>4378</v>
      </c>
      <c r="F55" s="106"/>
      <c r="G55" s="105">
        <v>4378</v>
      </c>
      <c r="H55" s="106"/>
      <c r="I55" s="105">
        <v>4375</v>
      </c>
      <c r="J55" s="106"/>
    </row>
    <row r="56" spans="1:11" x14ac:dyDescent="0.3">
      <c r="A56" s="101" t="s">
        <v>63</v>
      </c>
      <c r="B56" s="102"/>
      <c r="C56" s="103">
        <v>18880</v>
      </c>
      <c r="D56" s="104"/>
      <c r="E56" s="103">
        <v>19067</v>
      </c>
      <c r="F56" s="104"/>
      <c r="G56" s="103">
        <v>19189</v>
      </c>
      <c r="H56" s="104"/>
      <c r="I56" s="103">
        <v>19405</v>
      </c>
      <c r="J56" s="104"/>
      <c r="K56" s="107"/>
    </row>
    <row r="57" spans="1:11" x14ac:dyDescent="0.3">
      <c r="A57" s="101" t="s">
        <v>64</v>
      </c>
      <c r="B57" s="102"/>
      <c r="C57" s="105">
        <v>2765</v>
      </c>
      <c r="D57" s="106"/>
      <c r="E57" s="105">
        <v>2767</v>
      </c>
      <c r="F57" s="106"/>
      <c r="G57" s="105">
        <v>2764</v>
      </c>
      <c r="H57" s="106"/>
      <c r="I57" s="105">
        <v>2764</v>
      </c>
      <c r="J57" s="106"/>
    </row>
    <row r="58" spans="1:11" x14ac:dyDescent="0.3">
      <c r="A58" s="101" t="s">
        <v>65</v>
      </c>
      <c r="B58" s="102"/>
      <c r="C58" s="108">
        <f>SUM(C50:D57)</f>
        <v>211714</v>
      </c>
      <c r="D58" s="109"/>
      <c r="E58" s="108">
        <f>SUM(E50:F57)</f>
        <v>211808</v>
      </c>
      <c r="F58" s="109"/>
      <c r="G58" s="108">
        <f>SUM(G50:H57)</f>
        <v>211835</v>
      </c>
      <c r="H58" s="109"/>
      <c r="I58" s="108">
        <f>SUM(I50:J57)</f>
        <v>211935</v>
      </c>
      <c r="J58" s="109"/>
    </row>
    <row r="60" spans="1:11" x14ac:dyDescent="0.3">
      <c r="A60" s="110" t="s">
        <v>66</v>
      </c>
      <c r="B60" s="111"/>
      <c r="C60" s="112" t="s">
        <v>54</v>
      </c>
      <c r="D60" s="113"/>
      <c r="E60" s="112" t="s">
        <v>55</v>
      </c>
      <c r="F60" s="113"/>
      <c r="G60" s="112" t="s">
        <v>56</v>
      </c>
      <c r="H60" s="113"/>
      <c r="I60" s="112" t="s">
        <v>12</v>
      </c>
      <c r="J60" s="113"/>
    </row>
    <row r="61" spans="1:11" x14ac:dyDescent="0.3">
      <c r="A61" s="114"/>
      <c r="B61" s="115"/>
      <c r="C61" s="116">
        <v>139396</v>
      </c>
      <c r="D61" s="117"/>
      <c r="E61" s="116">
        <v>139443</v>
      </c>
      <c r="F61" s="117"/>
      <c r="G61" s="116">
        <v>139452</v>
      </c>
      <c r="H61" s="117"/>
      <c r="I61" s="116">
        <v>139531</v>
      </c>
      <c r="J61" s="117"/>
    </row>
    <row r="62" spans="1:11" x14ac:dyDescent="0.3">
      <c r="A62" s="118"/>
      <c r="B62" s="119"/>
      <c r="C62" s="120"/>
      <c r="D62" s="121"/>
      <c r="E62" s="120"/>
      <c r="F62" s="121"/>
      <c r="G62" s="120"/>
      <c r="H62" s="121"/>
      <c r="I62" s="120"/>
      <c r="J62" s="121"/>
    </row>
    <row r="65" spans="1:10" x14ac:dyDescent="0.3">
      <c r="A65" s="122" t="s">
        <v>67</v>
      </c>
      <c r="B65" s="123"/>
      <c r="C65" s="123"/>
      <c r="D65" s="123"/>
      <c r="E65" s="123"/>
      <c r="F65" s="123"/>
      <c r="G65" s="123"/>
      <c r="H65" s="123"/>
      <c r="I65" s="123"/>
      <c r="J65" s="124"/>
    </row>
    <row r="66" spans="1:10" ht="15" customHeight="1" x14ac:dyDescent="0.3">
      <c r="A66" s="125" t="s">
        <v>11</v>
      </c>
      <c r="B66" s="126"/>
      <c r="C66" s="127" t="s">
        <v>68</v>
      </c>
      <c r="D66" s="128"/>
      <c r="E66" s="127" t="s">
        <v>69</v>
      </c>
      <c r="F66" s="128"/>
      <c r="G66" s="127" t="s">
        <v>70</v>
      </c>
      <c r="H66" s="128"/>
      <c r="I66" s="127" t="s">
        <v>71</v>
      </c>
      <c r="J66" s="128"/>
    </row>
    <row r="67" spans="1:10" ht="15" customHeight="1" x14ac:dyDescent="0.3">
      <c r="A67" s="129" t="s">
        <v>72</v>
      </c>
      <c r="B67" s="130"/>
      <c r="C67" s="129" t="s">
        <v>73</v>
      </c>
      <c r="D67" s="130"/>
      <c r="E67" s="129" t="s">
        <v>73</v>
      </c>
      <c r="F67" s="130"/>
      <c r="G67" s="129" t="s">
        <v>73</v>
      </c>
      <c r="H67" s="130"/>
      <c r="I67" s="129" t="s">
        <v>73</v>
      </c>
      <c r="J67" s="130"/>
    </row>
    <row r="68" spans="1:10" ht="15" customHeight="1" x14ac:dyDescent="0.3">
      <c r="A68" s="131"/>
      <c r="B68" s="132"/>
      <c r="C68" s="131"/>
      <c r="D68" s="132"/>
      <c r="E68" s="131"/>
      <c r="F68" s="132"/>
      <c r="G68" s="131"/>
      <c r="H68" s="132"/>
      <c r="I68" s="131"/>
      <c r="J68" s="132"/>
    </row>
    <row r="69" spans="1:10" x14ac:dyDescent="0.3">
      <c r="A69" s="133" t="s">
        <v>15</v>
      </c>
      <c r="B69" s="134"/>
      <c r="C69" s="135">
        <v>28847</v>
      </c>
      <c r="D69" s="136"/>
      <c r="E69" s="135">
        <v>29171</v>
      </c>
      <c r="F69" s="136"/>
      <c r="G69" s="135">
        <v>29615</v>
      </c>
      <c r="H69" s="136"/>
      <c r="I69" s="135">
        <v>30064</v>
      </c>
      <c r="J69" s="136"/>
    </row>
    <row r="70" spans="1:10" x14ac:dyDescent="0.3">
      <c r="A70" s="38" t="s">
        <v>16</v>
      </c>
      <c r="B70" s="39"/>
      <c r="C70" s="135">
        <v>6964</v>
      </c>
      <c r="D70" s="136"/>
      <c r="E70" s="135">
        <v>6989</v>
      </c>
      <c r="F70" s="136"/>
      <c r="G70" s="135">
        <v>7028</v>
      </c>
      <c r="H70" s="136"/>
      <c r="I70" s="135">
        <v>7077</v>
      </c>
      <c r="J70" s="136"/>
    </row>
    <row r="71" spans="1:10" x14ac:dyDescent="0.3">
      <c r="A71" s="133" t="s">
        <v>17</v>
      </c>
      <c r="B71" s="134"/>
      <c r="C71" s="135">
        <v>6082</v>
      </c>
      <c r="D71" s="136"/>
      <c r="E71" s="135">
        <v>6128</v>
      </c>
      <c r="F71" s="136"/>
      <c r="G71" s="135">
        <v>6175</v>
      </c>
      <c r="H71" s="136"/>
      <c r="I71" s="135">
        <v>6238</v>
      </c>
      <c r="J71" s="136"/>
    </row>
    <row r="72" spans="1:10" x14ac:dyDescent="0.3">
      <c r="A72" s="133" t="s">
        <v>74</v>
      </c>
      <c r="B72" s="134"/>
      <c r="C72" s="135">
        <v>1362</v>
      </c>
      <c r="D72" s="136"/>
      <c r="E72" s="135">
        <v>1391</v>
      </c>
      <c r="F72" s="136"/>
      <c r="G72" s="135">
        <v>1420</v>
      </c>
      <c r="H72" s="136"/>
      <c r="I72" s="135">
        <v>1453</v>
      </c>
      <c r="J72" s="136"/>
    </row>
    <row r="73" spans="1:10" x14ac:dyDescent="0.3">
      <c r="A73" s="38" t="s">
        <v>18</v>
      </c>
      <c r="B73" s="39"/>
      <c r="C73" s="135">
        <v>4462</v>
      </c>
      <c r="D73" s="136"/>
      <c r="E73" s="135">
        <v>4555</v>
      </c>
      <c r="F73" s="136"/>
      <c r="G73" s="135">
        <v>4623</v>
      </c>
      <c r="H73" s="136"/>
      <c r="I73" s="135">
        <v>4727</v>
      </c>
      <c r="J73" s="136"/>
    </row>
    <row r="74" spans="1:10" x14ac:dyDescent="0.3">
      <c r="A74" s="133" t="s">
        <v>19</v>
      </c>
      <c r="B74" s="134"/>
      <c r="C74" s="135">
        <v>4736</v>
      </c>
      <c r="D74" s="136"/>
      <c r="E74" s="135">
        <v>4774</v>
      </c>
      <c r="F74" s="136"/>
      <c r="G74" s="135">
        <v>4824</v>
      </c>
      <c r="H74" s="136"/>
      <c r="I74" s="135">
        <v>4881</v>
      </c>
      <c r="J74" s="136"/>
    </row>
    <row r="75" spans="1:10" x14ac:dyDescent="0.3">
      <c r="A75" s="38" t="s">
        <v>20</v>
      </c>
      <c r="B75" s="39"/>
      <c r="C75" s="135">
        <v>7119</v>
      </c>
      <c r="D75" s="136"/>
      <c r="E75" s="135">
        <v>7241</v>
      </c>
      <c r="F75" s="136"/>
      <c r="G75" s="135">
        <v>7361</v>
      </c>
      <c r="H75" s="136"/>
      <c r="I75" s="135">
        <v>7645</v>
      </c>
      <c r="J75" s="136"/>
    </row>
    <row r="76" spans="1:10" x14ac:dyDescent="0.3">
      <c r="A76" s="133" t="s">
        <v>21</v>
      </c>
      <c r="B76" s="134"/>
      <c r="C76" s="135">
        <v>1536</v>
      </c>
      <c r="D76" s="136"/>
      <c r="E76" s="135">
        <v>1553</v>
      </c>
      <c r="F76" s="136"/>
      <c r="G76" s="135">
        <v>1582</v>
      </c>
      <c r="H76" s="136"/>
      <c r="I76" s="135">
        <v>1602</v>
      </c>
      <c r="J76" s="136"/>
    </row>
    <row r="77" spans="1:10" x14ac:dyDescent="0.3">
      <c r="A77" s="38" t="s">
        <v>22</v>
      </c>
      <c r="B77" s="39"/>
      <c r="C77" s="135">
        <v>5598</v>
      </c>
      <c r="D77" s="136"/>
      <c r="E77" s="135">
        <v>5711</v>
      </c>
      <c r="F77" s="136"/>
      <c r="G77" s="135">
        <v>5778</v>
      </c>
      <c r="H77" s="136"/>
      <c r="I77" s="135">
        <v>5885</v>
      </c>
      <c r="J77" s="136"/>
    </row>
    <row r="78" spans="1:10" x14ac:dyDescent="0.3">
      <c r="A78" s="20" t="s">
        <v>75</v>
      </c>
      <c r="B78" s="21"/>
      <c r="C78" s="135">
        <f>SUM(C69:C77)</f>
        <v>66706</v>
      </c>
      <c r="D78" s="136"/>
      <c r="E78" s="135">
        <f>SUM(E69:E77)</f>
        <v>67513</v>
      </c>
      <c r="F78" s="136"/>
      <c r="G78" s="135">
        <f>SUM(G69:G77)</f>
        <v>68406</v>
      </c>
      <c r="H78" s="136"/>
      <c r="I78" s="135">
        <f>SUM(I69:I77)</f>
        <v>69572</v>
      </c>
      <c r="J78" s="136"/>
    </row>
  </sheetData>
  <mergeCells count="310">
    <mergeCell ref="A78:B78"/>
    <mergeCell ref="C78:D78"/>
    <mergeCell ref="E78:F78"/>
    <mergeCell ref="G78:H78"/>
    <mergeCell ref="I78:J78"/>
    <mergeCell ref="A76:B76"/>
    <mergeCell ref="C76:D76"/>
    <mergeCell ref="E76:F76"/>
    <mergeCell ref="G76:H76"/>
    <mergeCell ref="I76:J76"/>
    <mergeCell ref="A77:B77"/>
    <mergeCell ref="C77:D77"/>
    <mergeCell ref="E77:F77"/>
    <mergeCell ref="G77:H77"/>
    <mergeCell ref="I77:J77"/>
    <mergeCell ref="A74:B74"/>
    <mergeCell ref="C74:D74"/>
    <mergeCell ref="E74:F74"/>
    <mergeCell ref="G74:H74"/>
    <mergeCell ref="I74:J74"/>
    <mergeCell ref="A75:B75"/>
    <mergeCell ref="C75:D75"/>
    <mergeCell ref="E75:F75"/>
    <mergeCell ref="G75:H75"/>
    <mergeCell ref="I75:J75"/>
    <mergeCell ref="A72:B72"/>
    <mergeCell ref="C72:D72"/>
    <mergeCell ref="E72:F72"/>
    <mergeCell ref="G72:H72"/>
    <mergeCell ref="I72:J72"/>
    <mergeCell ref="A73:B73"/>
    <mergeCell ref="C73:D73"/>
    <mergeCell ref="E73:F73"/>
    <mergeCell ref="G73:H73"/>
    <mergeCell ref="I73:J73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I71:J71"/>
    <mergeCell ref="A67:B68"/>
    <mergeCell ref="C67:D68"/>
    <mergeCell ref="E67:F68"/>
    <mergeCell ref="G67:H68"/>
    <mergeCell ref="I67:J68"/>
    <mergeCell ref="A69:B69"/>
    <mergeCell ref="C69:D69"/>
    <mergeCell ref="E69:F69"/>
    <mergeCell ref="G69:H69"/>
    <mergeCell ref="I69:J69"/>
    <mergeCell ref="C61:D62"/>
    <mergeCell ref="E61:F62"/>
    <mergeCell ref="G61:H62"/>
    <mergeCell ref="I61:J62"/>
    <mergeCell ref="A65:J65"/>
    <mergeCell ref="A66:B66"/>
    <mergeCell ref="C66:D66"/>
    <mergeCell ref="E66:F66"/>
    <mergeCell ref="G66:H66"/>
    <mergeCell ref="I66:J66"/>
    <mergeCell ref="A58:B58"/>
    <mergeCell ref="C58:D58"/>
    <mergeCell ref="E58:F58"/>
    <mergeCell ref="G58:H58"/>
    <mergeCell ref="I58:J58"/>
    <mergeCell ref="A60:B62"/>
    <mergeCell ref="C60:D60"/>
    <mergeCell ref="E60:F60"/>
    <mergeCell ref="G60:H60"/>
    <mergeCell ref="I60:J60"/>
    <mergeCell ref="A56:B56"/>
    <mergeCell ref="C56:D56"/>
    <mergeCell ref="E56:F56"/>
    <mergeCell ref="G56:H56"/>
    <mergeCell ref="I56:J56"/>
    <mergeCell ref="A57:B57"/>
    <mergeCell ref="C57:D57"/>
    <mergeCell ref="E57:F57"/>
    <mergeCell ref="G57:H57"/>
    <mergeCell ref="I57:J57"/>
    <mergeCell ref="A54:B54"/>
    <mergeCell ref="C54:D54"/>
    <mergeCell ref="E54:F54"/>
    <mergeCell ref="G54:H54"/>
    <mergeCell ref="I54:J54"/>
    <mergeCell ref="A55:B55"/>
    <mergeCell ref="C55:D55"/>
    <mergeCell ref="E55:F55"/>
    <mergeCell ref="G55:H55"/>
    <mergeCell ref="I55:J55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50:B50"/>
    <mergeCell ref="C50:D50"/>
    <mergeCell ref="E50:F50"/>
    <mergeCell ref="G50:H50"/>
    <mergeCell ref="I50:J50"/>
    <mergeCell ref="A51:B51"/>
    <mergeCell ref="C51:D51"/>
    <mergeCell ref="E51:F51"/>
    <mergeCell ref="G51:H51"/>
    <mergeCell ref="I51:J51"/>
    <mergeCell ref="A48:J48"/>
    <mergeCell ref="A49:B49"/>
    <mergeCell ref="C49:D49"/>
    <mergeCell ref="E49:F49"/>
    <mergeCell ref="G49:H49"/>
    <mergeCell ref="I49:J49"/>
    <mergeCell ref="A45:B45"/>
    <mergeCell ref="C45:D45"/>
    <mergeCell ref="E45:F45"/>
    <mergeCell ref="G45:H45"/>
    <mergeCell ref="I45:J45"/>
    <mergeCell ref="A46:K46"/>
    <mergeCell ref="A43:B43"/>
    <mergeCell ref="C43:D43"/>
    <mergeCell ref="E43:F43"/>
    <mergeCell ref="G43:H43"/>
    <mergeCell ref="I43:J43"/>
    <mergeCell ref="A44:B44"/>
    <mergeCell ref="C44:D44"/>
    <mergeCell ref="E44:F44"/>
    <mergeCell ref="G44:H44"/>
    <mergeCell ref="I44:J44"/>
    <mergeCell ref="A41:B41"/>
    <mergeCell ref="C41:D41"/>
    <mergeCell ref="E41:F41"/>
    <mergeCell ref="G41:H41"/>
    <mergeCell ref="I41:J41"/>
    <mergeCell ref="A42:B42"/>
    <mergeCell ref="C42:D42"/>
    <mergeCell ref="E42:F42"/>
    <mergeCell ref="G42:H42"/>
    <mergeCell ref="I42:J42"/>
    <mergeCell ref="A39:B39"/>
    <mergeCell ref="C39:D39"/>
    <mergeCell ref="E39:F39"/>
    <mergeCell ref="G39:H39"/>
    <mergeCell ref="I39:J39"/>
    <mergeCell ref="A40:B40"/>
    <mergeCell ref="C40:D40"/>
    <mergeCell ref="E40:F40"/>
    <mergeCell ref="G40:H40"/>
    <mergeCell ref="I40:J40"/>
    <mergeCell ref="K35:K36"/>
    <mergeCell ref="A37:B37"/>
    <mergeCell ref="C37:K37"/>
    <mergeCell ref="A38:B38"/>
    <mergeCell ref="C38:D38"/>
    <mergeCell ref="E38:F38"/>
    <mergeCell ref="G38:H38"/>
    <mergeCell ref="I38:J38"/>
    <mergeCell ref="A32:B32"/>
    <mergeCell ref="C32:D32"/>
    <mergeCell ref="E32:F32"/>
    <mergeCell ref="G32:H32"/>
    <mergeCell ref="I32:J32"/>
    <mergeCell ref="A35:B36"/>
    <mergeCell ref="C35:D36"/>
    <mergeCell ref="E35:F36"/>
    <mergeCell ref="G35:H36"/>
    <mergeCell ref="I35:J36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I31:J31"/>
    <mergeCell ref="A28:B28"/>
    <mergeCell ref="C28:D28"/>
    <mergeCell ref="E28:F28"/>
    <mergeCell ref="G28:H28"/>
    <mergeCell ref="I28:J28"/>
    <mergeCell ref="A29:B29"/>
    <mergeCell ref="C29:D29"/>
    <mergeCell ref="E29:F29"/>
    <mergeCell ref="G29:H29"/>
    <mergeCell ref="I29:J29"/>
    <mergeCell ref="A26:B26"/>
    <mergeCell ref="C26:D26"/>
    <mergeCell ref="E26:F26"/>
    <mergeCell ref="G26:H26"/>
    <mergeCell ref="I26:J26"/>
    <mergeCell ref="A27:B27"/>
    <mergeCell ref="C27:D27"/>
    <mergeCell ref="E27:F27"/>
    <mergeCell ref="G27:H27"/>
    <mergeCell ref="I27:J27"/>
    <mergeCell ref="A24:B24"/>
    <mergeCell ref="C24:K24"/>
    <mergeCell ref="A25:B25"/>
    <mergeCell ref="C25:D25"/>
    <mergeCell ref="E25:F25"/>
    <mergeCell ref="G25:H25"/>
    <mergeCell ref="I25:J25"/>
    <mergeCell ref="A18:Q19"/>
    <mergeCell ref="A22:B23"/>
    <mergeCell ref="C22:D23"/>
    <mergeCell ref="E22:F23"/>
    <mergeCell ref="G22:H23"/>
    <mergeCell ref="I22:J23"/>
    <mergeCell ref="K22:K23"/>
    <mergeCell ref="A17:B17"/>
    <mergeCell ref="C17:D17"/>
    <mergeCell ref="E17:F17"/>
    <mergeCell ref="G17:H17"/>
    <mergeCell ref="I17:J17"/>
    <mergeCell ref="K17:L17"/>
    <mergeCell ref="A16:B16"/>
    <mergeCell ref="C16:D16"/>
    <mergeCell ref="E16:F16"/>
    <mergeCell ref="G16:H16"/>
    <mergeCell ref="I16:J16"/>
    <mergeCell ref="K16:L16"/>
    <mergeCell ref="A15:B15"/>
    <mergeCell ref="C15:D15"/>
    <mergeCell ref="E15:F15"/>
    <mergeCell ref="G15:H15"/>
    <mergeCell ref="I15:J15"/>
    <mergeCell ref="K15:L15"/>
    <mergeCell ref="A14:B14"/>
    <mergeCell ref="C14:D14"/>
    <mergeCell ref="E14:F14"/>
    <mergeCell ref="G14:H14"/>
    <mergeCell ref="I14:J14"/>
    <mergeCell ref="K14:L14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1:B11"/>
    <mergeCell ref="C11:D11"/>
    <mergeCell ref="E11:F11"/>
    <mergeCell ref="G11:H11"/>
    <mergeCell ref="I11:J11"/>
    <mergeCell ref="K11:L11"/>
    <mergeCell ref="A10:B10"/>
    <mergeCell ref="C10:D10"/>
    <mergeCell ref="E10:F10"/>
    <mergeCell ref="G10:H10"/>
    <mergeCell ref="I10:J10"/>
    <mergeCell ref="K10:L10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7:L7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5:L5"/>
    <mergeCell ref="M2:M3"/>
    <mergeCell ref="N2:N3"/>
    <mergeCell ref="O2:O3"/>
    <mergeCell ref="P2:P3"/>
    <mergeCell ref="Q2:Q3"/>
    <mergeCell ref="A4:B4"/>
    <mergeCell ref="C4:Q4"/>
    <mergeCell ref="A2:B3"/>
    <mergeCell ref="C2:D3"/>
    <mergeCell ref="E2:F3"/>
    <mergeCell ref="G2:H3"/>
    <mergeCell ref="I2:J3"/>
    <mergeCell ref="K2:L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19.01.2024.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Zoran Dašić</dc:creator>
  <cp:lastModifiedBy>Zoran Dašić</cp:lastModifiedBy>
  <dcterms:created xsi:type="dcterms:W3CDTF">2026-05-14T14:37:49Z</dcterms:created>
  <dcterms:modified xsi:type="dcterms:W3CDTF">2026-05-14T14:38:26Z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42c8a0-bfc0-4da4-80ec-310dc1a49565_Enabled">
    <vt:lpwstr>true</vt:lpwstr>
  </property>
  <property fmtid="{D5CDD505-2E9C-101B-9397-08002B2CF9AE}" pid="3" name="MSIP_Label_d642c8a0-bfc0-4da4-80ec-310dc1a49565_SetDate">
    <vt:lpwstr>2026-05-14T14:38:25Z</vt:lpwstr>
  </property>
  <property fmtid="{D5CDD505-2E9C-101B-9397-08002B2CF9AE}" pid="4" name="MSIP_Label_d642c8a0-bfc0-4da4-80ec-310dc1a49565_Method">
    <vt:lpwstr>Privileged</vt:lpwstr>
  </property>
  <property fmtid="{D5CDD505-2E9C-101B-9397-08002B2CF9AE}" pid="5" name="MSIP_Label_d642c8a0-bfc0-4da4-80ec-310dc1a49565_Name">
    <vt:lpwstr>d642c8a0-bfc0-4da4-80ec-310dc1a49565</vt:lpwstr>
  </property>
  <property fmtid="{D5CDD505-2E9C-101B-9397-08002B2CF9AE}" pid="6" name="MSIP_Label_d642c8a0-bfc0-4da4-80ec-310dc1a49565_SiteId">
    <vt:lpwstr>3443867a-5529-464d-aabc-c7a9ce7e9a52</vt:lpwstr>
  </property>
  <property fmtid="{D5CDD505-2E9C-101B-9397-08002B2CF9AE}" pid="7" name="MSIP_Label_d642c8a0-bfc0-4da4-80ec-310dc1a49565_ActionId">
    <vt:lpwstr>a05708f1-26bd-4a31-b29e-d1150608112b</vt:lpwstr>
  </property>
  <property fmtid="{D5CDD505-2E9C-101B-9397-08002B2CF9AE}" pid="8" name="MSIP_Label_d642c8a0-bfc0-4da4-80ec-310dc1a49565_ContentBits">
    <vt:lpwstr>0</vt:lpwstr>
  </property>
  <property fmtid="{D5CDD505-2E9C-101B-9397-08002B2CF9AE}" pid="9" name="MSIP_Label_d642c8a0-bfc0-4da4-80ec-310dc1a49565_Tag">
    <vt:lpwstr>10, 0, 1, 1</vt:lpwstr>
  </property>
</Properties>
</file>