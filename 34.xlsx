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oran.dasic\Desktop\"/>
    </mc:Choice>
  </mc:AlternateContent>
  <xr:revisionPtr revIDLastSave="0" documentId="13_ncr:1_{05F77708-D8AA-4951-B5C5-6E6C3DCD4F02}" xr6:coauthVersionLast="47" xr6:coauthVersionMax="47" xr10:uidLastSave="{00000000-0000-0000-0000-000000000000}"/>
  <bookViews>
    <workbookView xWindow="-108" yWindow="-108" windowWidth="23256" windowHeight="12456" firstSheet="54" activeTab="54" xr2:uid="{00000000-000D-0000-FFFF-FFFF00000000}"/>
  </bookViews>
  <sheets>
    <sheet name="23.12.2022." sheetId="53" r:id="rId1"/>
    <sheet name="30.12.2022" sheetId="54" r:id="rId2"/>
    <sheet name="13.01.2023." sheetId="55" r:id="rId3"/>
    <sheet name="20.01.2023." sheetId="56" r:id="rId4"/>
    <sheet name="27.01.2023." sheetId="57" r:id="rId5"/>
    <sheet name="03.02.2023." sheetId="58" r:id="rId6"/>
    <sheet name="10.02.2023." sheetId="59" r:id="rId7"/>
    <sheet name="17.02.2023." sheetId="60" r:id="rId8"/>
    <sheet name="24.02.2023." sheetId="61" r:id="rId9"/>
    <sheet name="03.03.2023." sheetId="62" r:id="rId10"/>
    <sheet name="10.03.2023." sheetId="63" r:id="rId11"/>
    <sheet name="17.03.2023." sheetId="64" r:id="rId12"/>
    <sheet name="24.03.2023." sheetId="65" r:id="rId13"/>
    <sheet name="31.03.2023." sheetId="66" r:id="rId14"/>
    <sheet name="07.04.2023." sheetId="67" r:id="rId15"/>
    <sheet name="21.04.2023." sheetId="68" r:id="rId16"/>
    <sheet name="28.04.2023." sheetId="69" r:id="rId17"/>
    <sheet name="05.05.2023." sheetId="70" r:id="rId18"/>
    <sheet name="12.05.2023." sheetId="71" r:id="rId19"/>
    <sheet name="19.05.2023." sheetId="72" r:id="rId20"/>
    <sheet name="26.05.2023." sheetId="73" r:id="rId21"/>
    <sheet name="02.06.2023." sheetId="74" r:id="rId22"/>
    <sheet name="09.06.2023." sheetId="75" r:id="rId23"/>
    <sheet name="16.06.2023." sheetId="76" r:id="rId24"/>
    <sheet name="23.06.2023." sheetId="77" r:id="rId25"/>
    <sheet name="30.06.2023." sheetId="78" r:id="rId26"/>
    <sheet name="07.07.2023." sheetId="80" r:id="rId27"/>
    <sheet name="14.07.2023." sheetId="81" r:id="rId28"/>
    <sheet name="21.07.2023." sheetId="82" r:id="rId29"/>
    <sheet name="28.07.2023." sheetId="83" r:id="rId30"/>
    <sheet name="04.08.2023." sheetId="84" r:id="rId31"/>
    <sheet name="11.08.2023." sheetId="85" r:id="rId32"/>
    <sheet name="18.08.2023." sheetId="86" r:id="rId33"/>
    <sheet name="25.08.2023." sheetId="87" r:id="rId34"/>
    <sheet name="01.09.2023." sheetId="88" r:id="rId35"/>
    <sheet name="08.09.2023." sheetId="89" r:id="rId36"/>
    <sheet name="15.09.2023." sheetId="90" r:id="rId37"/>
    <sheet name="22.09.2023." sheetId="91" r:id="rId38"/>
    <sheet name="29.09.2023." sheetId="92" r:id="rId39"/>
    <sheet name="06.10.2023." sheetId="93" r:id="rId40"/>
    <sheet name="13.10.2023." sheetId="95" r:id="rId41"/>
    <sheet name="20.10.2023." sheetId="97" r:id="rId42"/>
    <sheet name="27.10.2023." sheetId="99" r:id="rId43"/>
    <sheet name="03.11.2023." sheetId="100" r:id="rId44"/>
    <sheet name="10.11.2023." sheetId="101" r:id="rId45"/>
    <sheet name="17.11.2023." sheetId="102" r:id="rId46"/>
    <sheet name="24.11.2023." sheetId="103" r:id="rId47"/>
    <sheet name="01.12.2023." sheetId="104" r:id="rId48"/>
    <sheet name="08.12.2023." sheetId="105" r:id="rId49"/>
    <sheet name="15.12.2023." sheetId="106" r:id="rId50"/>
    <sheet name="22.12.2023." sheetId="107" r:id="rId51"/>
    <sheet name="29.12.2023." sheetId="108" r:id="rId52"/>
    <sheet name="05.01.2024." sheetId="109" r:id="rId53"/>
    <sheet name="12.01.2024." sheetId="110" r:id="rId54"/>
    <sheet name="19.01.2024." sheetId="111" r:id="rId55"/>
    <sheet name="26.01.2024." sheetId="112" r:id="rId56"/>
    <sheet name="02.02.2024." sheetId="114" r:id="rId57"/>
    <sheet name="09.02.2024." sheetId="115" r:id="rId58"/>
    <sheet name="16.02.2024." sheetId="116" r:id="rId59"/>
    <sheet name="23.02.2024." sheetId="117" r:id="rId60"/>
    <sheet name="01.03.2024." sheetId="119" r:id="rId61"/>
    <sheet name="08.03.2024." sheetId="120" r:id="rId62"/>
    <sheet name="15.03.2024." sheetId="121" r:id="rId63"/>
    <sheet name="22.03.2024." sheetId="122" r:id="rId64"/>
    <sheet name="29.03.2024." sheetId="123" r:id="rId65"/>
    <sheet name="05.04.2024." sheetId="124" r:id="rId66"/>
    <sheet name="12.04.2024." sheetId="126" r:id="rId67"/>
    <sheet name="19.04.2024." sheetId="127" r:id="rId68"/>
    <sheet name="26.04.2024." sheetId="128" r:id="rId69"/>
    <sheet name="10.05.2024." sheetId="129" r:id="rId70"/>
    <sheet name="17.05.2024." sheetId="130" r:id="rId71"/>
    <sheet name="24.05.2024." sheetId="131" r:id="rId72"/>
    <sheet name="31.05.2024." sheetId="132" r:id="rId73"/>
    <sheet name="07.06.2024." sheetId="133" r:id="rId74"/>
    <sheet name="14.06.2024." sheetId="134" r:id="rId75"/>
    <sheet name="21.06.2024." sheetId="135" r:id="rId76"/>
    <sheet name="28.06.2024." sheetId="136" r:id="rId77"/>
    <sheet name="05.07.2024." sheetId="137" r:id="rId78"/>
    <sheet name="12.07.2024." sheetId="138" r:id="rId79"/>
    <sheet name="19.07.2024." sheetId="139" r:id="rId80"/>
    <sheet name="26.07.2024." sheetId="140" r:id="rId81"/>
    <sheet name="02.08.2024." sheetId="141" r:id="rId82"/>
    <sheet name="09.08.2024." sheetId="142" r:id="rId83"/>
    <sheet name="16.08.2024." sheetId="143" r:id="rId84"/>
    <sheet name="23.08.2024." sheetId="144" r:id="rId85"/>
    <sheet name="30.08.2024." sheetId="145" r:id="rId86"/>
    <sheet name="06.09.2024." sheetId="146" r:id="rId87"/>
    <sheet name="13.09.2024." sheetId="147" r:id="rId88"/>
    <sheet name="20.09.2024." sheetId="148" r:id="rId89"/>
    <sheet name="27.09.2024." sheetId="149" r:id="rId90"/>
    <sheet name="04.10.2024." sheetId="150" r:id="rId91"/>
    <sheet name="11.10.2024." sheetId="151" r:id="rId92"/>
    <sheet name="18.10.2024." sheetId="152" r:id="rId93"/>
    <sheet name="25.10.2024." sheetId="153" r:id="rId94"/>
    <sheet name="01.11.2024." sheetId="154" r:id="rId95"/>
    <sheet name="08.11.2024." sheetId="155" r:id="rId96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55" l="1"/>
  <c r="G58" i="155"/>
  <c r="E58" i="155"/>
  <c r="C58" i="155"/>
  <c r="I78" i="155"/>
  <c r="G78" i="155"/>
  <c r="E78" i="155"/>
  <c r="C78" i="155"/>
  <c r="I58" i="155"/>
  <c r="Q16" i="155"/>
  <c r="P16" i="155"/>
  <c r="N16" i="155"/>
  <c r="M16" i="155"/>
  <c r="K16" i="155"/>
  <c r="I16" i="155"/>
  <c r="G16" i="155"/>
  <c r="E16" i="155"/>
  <c r="C16" i="155"/>
  <c r="G78" i="154"/>
  <c r="E78" i="154"/>
  <c r="C78" i="154"/>
  <c r="G58" i="154"/>
  <c r="E58" i="154"/>
  <c r="C58" i="154"/>
  <c r="I78" i="154"/>
  <c r="I58" i="154"/>
  <c r="Q16" i="154"/>
  <c r="P16" i="154"/>
  <c r="O16" i="154"/>
  <c r="N16" i="154"/>
  <c r="M16" i="154"/>
  <c r="K16" i="154"/>
  <c r="I16" i="154"/>
  <c r="G16" i="154"/>
  <c r="E16" i="154"/>
  <c r="C16" i="154"/>
  <c r="G58" i="153" l="1"/>
  <c r="I58" i="153"/>
  <c r="E58" i="153"/>
  <c r="C58" i="153"/>
  <c r="I78" i="153"/>
  <c r="G78" i="153"/>
  <c r="E78" i="153"/>
  <c r="C78" i="153"/>
  <c r="Q16" i="153"/>
  <c r="P16" i="153"/>
  <c r="O16" i="153"/>
  <c r="N16" i="153"/>
  <c r="M16" i="153"/>
  <c r="K16" i="153"/>
  <c r="I16" i="153"/>
  <c r="G16" i="153"/>
  <c r="E16" i="153"/>
  <c r="C16" i="153"/>
  <c r="G58" i="152" l="1"/>
  <c r="E58" i="152"/>
  <c r="C58" i="152"/>
  <c r="I78" i="152"/>
  <c r="G78" i="152"/>
  <c r="E78" i="152"/>
  <c r="C78" i="152"/>
  <c r="I58" i="152"/>
  <c r="Q16" i="152"/>
  <c r="P16" i="152"/>
  <c r="O16" i="152"/>
  <c r="N16" i="152"/>
  <c r="M16" i="152"/>
  <c r="K16" i="152"/>
  <c r="I16" i="152"/>
  <c r="G16" i="152"/>
  <c r="E16" i="152"/>
  <c r="C16" i="152"/>
  <c r="P16" i="151" l="1"/>
  <c r="O16" i="151"/>
  <c r="G58" i="151"/>
  <c r="E58" i="151"/>
  <c r="C58" i="151"/>
  <c r="I78" i="151"/>
  <c r="G78" i="151"/>
  <c r="E78" i="151"/>
  <c r="C78" i="151"/>
  <c r="I58" i="151"/>
  <c r="Q16" i="151"/>
  <c r="N16" i="151"/>
  <c r="M16" i="151"/>
  <c r="K16" i="151"/>
  <c r="I16" i="151"/>
  <c r="G16" i="151"/>
  <c r="E16" i="151"/>
  <c r="C16" i="151"/>
  <c r="O16" i="150"/>
  <c r="G78" i="150"/>
  <c r="E78" i="150"/>
  <c r="C78" i="150"/>
  <c r="G58" i="150"/>
  <c r="G58" i="149"/>
  <c r="E58" i="150"/>
  <c r="C58" i="150"/>
  <c r="I78" i="150"/>
  <c r="I58" i="150"/>
  <c r="Q16" i="150"/>
  <c r="P16" i="150"/>
  <c r="N16" i="150"/>
  <c r="M16" i="150"/>
  <c r="K16" i="150"/>
  <c r="I16" i="150"/>
  <c r="G16" i="150"/>
  <c r="E16" i="150"/>
  <c r="C16" i="150"/>
  <c r="E58" i="149"/>
  <c r="C58" i="149"/>
  <c r="I78" i="149"/>
  <c r="G78" i="149"/>
  <c r="E78" i="149"/>
  <c r="C78" i="149"/>
  <c r="I58" i="149"/>
  <c r="Q16" i="149"/>
  <c r="P16" i="149"/>
  <c r="O16" i="149"/>
  <c r="N16" i="149"/>
  <c r="M16" i="149"/>
  <c r="K16" i="149"/>
  <c r="I16" i="149"/>
  <c r="G16" i="149"/>
  <c r="E16" i="149"/>
  <c r="C16" i="149"/>
  <c r="G58" i="148" l="1"/>
  <c r="E58" i="148"/>
  <c r="C58" i="148"/>
  <c r="I78" i="148"/>
  <c r="G78" i="148"/>
  <c r="E78" i="148"/>
  <c r="C78" i="148"/>
  <c r="I58" i="148"/>
  <c r="Q16" i="148"/>
  <c r="P16" i="148"/>
  <c r="O16" i="148"/>
  <c r="N16" i="148"/>
  <c r="M16" i="148"/>
  <c r="K16" i="148"/>
  <c r="I16" i="148"/>
  <c r="G16" i="148"/>
  <c r="E16" i="148"/>
  <c r="C16" i="148"/>
  <c r="O16" i="147" l="1"/>
  <c r="G58" i="147"/>
  <c r="E58" i="147"/>
  <c r="C58" i="147"/>
  <c r="I78" i="147"/>
  <c r="G78" i="147"/>
  <c r="E78" i="147"/>
  <c r="C78" i="147"/>
  <c r="I58" i="147"/>
  <c r="Q16" i="147"/>
  <c r="P16" i="147"/>
  <c r="N16" i="147"/>
  <c r="M16" i="147"/>
  <c r="K16" i="147"/>
  <c r="I16" i="147"/>
  <c r="G16" i="147"/>
  <c r="E16" i="147"/>
  <c r="C16" i="147"/>
  <c r="G78" i="146"/>
  <c r="E78" i="146"/>
  <c r="C78" i="146"/>
  <c r="G58" i="146"/>
  <c r="E58" i="146"/>
  <c r="C58" i="146"/>
  <c r="I78" i="146"/>
  <c r="I58" i="146"/>
  <c r="Q16" i="146"/>
  <c r="P16" i="146"/>
  <c r="O16" i="146"/>
  <c r="N16" i="146"/>
  <c r="M16" i="146"/>
  <c r="K16" i="146"/>
  <c r="I16" i="146"/>
  <c r="G16" i="146"/>
  <c r="E16" i="146"/>
  <c r="C16" i="146"/>
  <c r="G58" i="145" l="1"/>
  <c r="E58" i="145"/>
  <c r="C58" i="145"/>
  <c r="I78" i="145"/>
  <c r="G78" i="145"/>
  <c r="E78" i="145"/>
  <c r="C78" i="145"/>
  <c r="I58" i="145"/>
  <c r="Q16" i="145"/>
  <c r="P16" i="145"/>
  <c r="O16" i="145"/>
  <c r="N16" i="145"/>
  <c r="M16" i="145"/>
  <c r="K16" i="145"/>
  <c r="I16" i="145"/>
  <c r="G16" i="145"/>
  <c r="E16" i="145"/>
  <c r="C16" i="145"/>
  <c r="G58" i="144" l="1"/>
  <c r="E58" i="144"/>
  <c r="C58" i="144"/>
  <c r="I78" i="144"/>
  <c r="G78" i="144"/>
  <c r="E78" i="144"/>
  <c r="C78" i="144"/>
  <c r="I58" i="144"/>
  <c r="Q16" i="144"/>
  <c r="P16" i="144"/>
  <c r="O16" i="144"/>
  <c r="N16" i="144"/>
  <c r="M16" i="144"/>
  <c r="K16" i="144"/>
  <c r="I16" i="144"/>
  <c r="G16" i="144"/>
  <c r="E16" i="144"/>
  <c r="C16" i="144"/>
  <c r="G58" i="143" l="1"/>
  <c r="E58" i="143"/>
  <c r="C58" i="143"/>
  <c r="I78" i="143"/>
  <c r="G78" i="143"/>
  <c r="E78" i="143"/>
  <c r="C78" i="143"/>
  <c r="I58" i="143"/>
  <c r="Q16" i="143"/>
  <c r="P16" i="143"/>
  <c r="O16" i="143"/>
  <c r="N16" i="143"/>
  <c r="M16" i="143"/>
  <c r="K16" i="143"/>
  <c r="I16" i="143"/>
  <c r="G16" i="143"/>
  <c r="E16" i="143"/>
  <c r="C16" i="143"/>
  <c r="G58" i="142" l="1"/>
  <c r="E58" i="142"/>
  <c r="C58" i="142"/>
  <c r="I78" i="142"/>
  <c r="G78" i="142"/>
  <c r="E78" i="142"/>
  <c r="C78" i="142"/>
  <c r="I58" i="142"/>
  <c r="Q16" i="142"/>
  <c r="P16" i="142"/>
  <c r="O16" i="142"/>
  <c r="N16" i="142"/>
  <c r="M16" i="142"/>
  <c r="K16" i="142"/>
  <c r="I16" i="142"/>
  <c r="G16" i="142"/>
  <c r="E16" i="142"/>
  <c r="C16" i="142"/>
  <c r="G58" i="141" l="1"/>
  <c r="E58" i="141"/>
  <c r="C58" i="141"/>
  <c r="G78" i="141"/>
  <c r="E78" i="141"/>
  <c r="C78" i="141"/>
  <c r="I78" i="141"/>
  <c r="I58" i="141"/>
  <c r="Q16" i="141"/>
  <c r="P16" i="141"/>
  <c r="O16" i="141"/>
  <c r="N16" i="141"/>
  <c r="M16" i="141"/>
  <c r="K16" i="141"/>
  <c r="I16" i="141"/>
  <c r="G16" i="141"/>
  <c r="E16" i="141"/>
  <c r="C16" i="141"/>
  <c r="G58" i="140" l="1"/>
  <c r="E58" i="140"/>
  <c r="C58" i="140"/>
  <c r="I78" i="140"/>
  <c r="G78" i="140"/>
  <c r="E78" i="140"/>
  <c r="C78" i="140"/>
  <c r="I58" i="140"/>
  <c r="Q16" i="140"/>
  <c r="P16" i="140"/>
  <c r="O16" i="140"/>
  <c r="N16" i="140"/>
  <c r="M16" i="140"/>
  <c r="K16" i="140"/>
  <c r="I16" i="140"/>
  <c r="G16" i="140"/>
  <c r="E16" i="140"/>
  <c r="C16" i="140"/>
  <c r="G58" i="139" l="1"/>
  <c r="E58" i="139"/>
  <c r="C58" i="139"/>
  <c r="I78" i="139"/>
  <c r="G78" i="139"/>
  <c r="E78" i="139"/>
  <c r="C78" i="139"/>
  <c r="I58" i="139"/>
  <c r="Q16" i="139"/>
  <c r="P16" i="139"/>
  <c r="O16" i="139"/>
  <c r="N16" i="139"/>
  <c r="M16" i="139"/>
  <c r="K16" i="139"/>
  <c r="I16" i="139"/>
  <c r="G16" i="139"/>
  <c r="E16" i="139"/>
  <c r="C16" i="139"/>
  <c r="G58" i="138" l="1"/>
  <c r="E58" i="138"/>
  <c r="C58" i="138"/>
  <c r="I78" i="138"/>
  <c r="G78" i="138"/>
  <c r="E78" i="138"/>
  <c r="C78" i="138"/>
  <c r="I58" i="138"/>
  <c r="Q16" i="138"/>
  <c r="P16" i="138"/>
  <c r="O16" i="138"/>
  <c r="N16" i="138"/>
  <c r="M16" i="138"/>
  <c r="K16" i="138"/>
  <c r="I16" i="138"/>
  <c r="G16" i="138"/>
  <c r="E16" i="138"/>
  <c r="C16" i="138"/>
  <c r="G78" i="137" l="1"/>
  <c r="E78" i="137"/>
  <c r="C78" i="137"/>
  <c r="G58" i="137" l="1"/>
  <c r="E58" i="137"/>
  <c r="C58" i="137"/>
  <c r="I78" i="137"/>
  <c r="I58" i="137"/>
  <c r="Q16" i="137"/>
  <c r="P16" i="137"/>
  <c r="O16" i="137"/>
  <c r="N16" i="137"/>
  <c r="M16" i="137"/>
  <c r="K16" i="137"/>
  <c r="I16" i="137"/>
  <c r="G16" i="137"/>
  <c r="E16" i="137"/>
  <c r="C16" i="137"/>
  <c r="G58" i="136"/>
  <c r="E58" i="136"/>
  <c r="C58" i="136"/>
  <c r="I78" i="136"/>
  <c r="G78" i="136"/>
  <c r="E78" i="136"/>
  <c r="C78" i="136"/>
  <c r="I58" i="136"/>
  <c r="Q16" i="136"/>
  <c r="P16" i="136"/>
  <c r="O16" i="136"/>
  <c r="N16" i="136"/>
  <c r="M16" i="136"/>
  <c r="K16" i="136"/>
  <c r="I16" i="136"/>
  <c r="G16" i="136"/>
  <c r="E16" i="136"/>
  <c r="C16" i="136"/>
  <c r="G58" i="135" l="1"/>
  <c r="E58" i="135"/>
  <c r="C58" i="135"/>
  <c r="I78" i="135"/>
  <c r="G78" i="135"/>
  <c r="E78" i="135"/>
  <c r="C78" i="135"/>
  <c r="I58" i="135"/>
  <c r="Q16" i="135"/>
  <c r="P16" i="135"/>
  <c r="O16" i="135"/>
  <c r="N16" i="135"/>
  <c r="M16" i="135"/>
  <c r="K16" i="135"/>
  <c r="I16" i="135"/>
  <c r="G16" i="135"/>
  <c r="E16" i="135"/>
  <c r="C16" i="135"/>
  <c r="G58" i="134" l="1"/>
  <c r="E58" i="134"/>
  <c r="C58" i="134"/>
  <c r="I78" i="134"/>
  <c r="G78" i="134"/>
  <c r="E78" i="134"/>
  <c r="C78" i="134"/>
  <c r="I58" i="134"/>
  <c r="Q16" i="134"/>
  <c r="P16" i="134"/>
  <c r="O16" i="134"/>
  <c r="N16" i="134"/>
  <c r="M16" i="134"/>
  <c r="K16" i="134"/>
  <c r="I16" i="134"/>
  <c r="G16" i="134"/>
  <c r="E16" i="134"/>
  <c r="C16" i="134"/>
  <c r="G78" i="133" l="1"/>
  <c r="E78" i="133"/>
  <c r="C78" i="133"/>
  <c r="G58" i="133" l="1"/>
  <c r="E58" i="133"/>
  <c r="C58" i="133"/>
  <c r="I78" i="133"/>
  <c r="I58" i="133"/>
  <c r="Q16" i="133"/>
  <c r="P16" i="133"/>
  <c r="O16" i="133"/>
  <c r="N16" i="133"/>
  <c r="M16" i="133"/>
  <c r="K16" i="133"/>
  <c r="I16" i="133"/>
  <c r="G16" i="133"/>
  <c r="E16" i="133"/>
  <c r="C16" i="133"/>
  <c r="G58" i="132"/>
  <c r="E58" i="132"/>
  <c r="C58" i="132"/>
  <c r="I78" i="132"/>
  <c r="G78" i="132"/>
  <c r="E78" i="132"/>
  <c r="C78" i="132"/>
  <c r="I58" i="132"/>
  <c r="Q16" i="132"/>
  <c r="P16" i="132"/>
  <c r="O16" i="132"/>
  <c r="N16" i="132"/>
  <c r="M16" i="132"/>
  <c r="K16" i="132"/>
  <c r="I16" i="132"/>
  <c r="G16" i="132"/>
  <c r="E16" i="132"/>
  <c r="C16" i="132"/>
  <c r="G58" i="131"/>
  <c r="E58" i="131"/>
  <c r="C58" i="131"/>
  <c r="I78" i="131"/>
  <c r="G78" i="131"/>
  <c r="E78" i="131"/>
  <c r="C78" i="131"/>
  <c r="I58" i="131"/>
  <c r="Q16" i="131"/>
  <c r="P16" i="131"/>
  <c r="O16" i="131"/>
  <c r="N16" i="131"/>
  <c r="M16" i="131"/>
  <c r="K16" i="131"/>
  <c r="I16" i="131"/>
  <c r="G16" i="131"/>
  <c r="E16" i="131"/>
  <c r="C16" i="131"/>
  <c r="C16" i="129"/>
  <c r="E16" i="129"/>
  <c r="G16" i="129"/>
  <c r="C58" i="129"/>
  <c r="E58" i="129"/>
  <c r="G58" i="129"/>
  <c r="C78" i="129"/>
  <c r="E78" i="129"/>
  <c r="G78" i="129"/>
  <c r="M16" i="129"/>
  <c r="N16" i="129"/>
  <c r="O16" i="129"/>
  <c r="P16" i="129"/>
  <c r="Q16" i="129"/>
  <c r="G58" i="130" l="1"/>
  <c r="E58" i="130"/>
  <c r="C58" i="130"/>
  <c r="I78" i="130"/>
  <c r="G78" i="130"/>
  <c r="E78" i="130"/>
  <c r="C78" i="130"/>
  <c r="I58" i="130"/>
  <c r="Q16" i="130"/>
  <c r="P16" i="130"/>
  <c r="O16" i="130"/>
  <c r="N16" i="130"/>
  <c r="M16" i="130"/>
  <c r="K16" i="130"/>
  <c r="I16" i="130"/>
  <c r="G16" i="130"/>
  <c r="E16" i="130"/>
  <c r="C16" i="130"/>
  <c r="I16" i="129" l="1"/>
  <c r="K16" i="129"/>
  <c r="I78" i="129"/>
  <c r="I58" i="129"/>
  <c r="G58" i="128"/>
  <c r="E58" i="128"/>
  <c r="C58" i="128"/>
  <c r="I78" i="128"/>
  <c r="G78" i="128"/>
  <c r="E78" i="128"/>
  <c r="C78" i="128"/>
  <c r="I58" i="128"/>
  <c r="Q16" i="128"/>
  <c r="P16" i="128"/>
  <c r="O16" i="128"/>
  <c r="N16" i="128"/>
  <c r="M16" i="128"/>
  <c r="K16" i="128"/>
  <c r="I16" i="128"/>
  <c r="G16" i="128"/>
  <c r="E16" i="128"/>
  <c r="C16" i="128"/>
  <c r="G58" i="127" l="1"/>
  <c r="E58" i="127"/>
  <c r="C58" i="127"/>
  <c r="I78" i="127"/>
  <c r="G78" i="127"/>
  <c r="E78" i="127"/>
  <c r="C78" i="127"/>
  <c r="I58" i="127"/>
  <c r="Q16" i="127"/>
  <c r="P16" i="127"/>
  <c r="O16" i="127"/>
  <c r="N16" i="127"/>
  <c r="M16" i="127"/>
  <c r="K16" i="127"/>
  <c r="I16" i="127"/>
  <c r="G16" i="127"/>
  <c r="E16" i="127"/>
  <c r="C16" i="127"/>
  <c r="G58" i="126" l="1"/>
  <c r="E58" i="126"/>
  <c r="C58" i="126"/>
  <c r="I78" i="126"/>
  <c r="G78" i="126"/>
  <c r="E78" i="126"/>
  <c r="C78" i="126"/>
  <c r="I58" i="126"/>
  <c r="Q16" i="126"/>
  <c r="P16" i="126"/>
  <c r="O16" i="126"/>
  <c r="N16" i="126"/>
  <c r="M16" i="126"/>
  <c r="K16" i="126"/>
  <c r="I16" i="126"/>
  <c r="G16" i="126"/>
  <c r="E16" i="126"/>
  <c r="C16" i="126"/>
  <c r="G78" i="124"/>
  <c r="E78" i="124"/>
  <c r="C78" i="124"/>
  <c r="G58" i="124"/>
  <c r="E58" i="124"/>
  <c r="C58" i="124"/>
  <c r="I78" i="124"/>
  <c r="I58" i="124"/>
  <c r="Q16" i="124"/>
  <c r="P16" i="124"/>
  <c r="O16" i="124"/>
  <c r="N16" i="124"/>
  <c r="M16" i="124"/>
  <c r="K16" i="124"/>
  <c r="I16" i="124"/>
  <c r="G16" i="124"/>
  <c r="E16" i="124"/>
  <c r="C16" i="124"/>
  <c r="G58" i="123" l="1"/>
  <c r="E58" i="123"/>
  <c r="C58" i="123"/>
  <c r="I78" i="123"/>
  <c r="G78" i="123"/>
  <c r="E78" i="123"/>
  <c r="C78" i="123"/>
  <c r="I58" i="123"/>
  <c r="Q16" i="123"/>
  <c r="P16" i="123"/>
  <c r="O16" i="123"/>
  <c r="N16" i="123"/>
  <c r="M16" i="123"/>
  <c r="K16" i="123"/>
  <c r="I16" i="123"/>
  <c r="G16" i="123"/>
  <c r="E16" i="123"/>
  <c r="C16" i="123"/>
  <c r="G58" i="122"/>
  <c r="E58" i="122"/>
  <c r="C58" i="122"/>
  <c r="I78" i="122"/>
  <c r="G78" i="122"/>
  <c r="E78" i="122"/>
  <c r="C78" i="122"/>
  <c r="I58" i="122"/>
  <c r="Q16" i="122"/>
  <c r="P16" i="122"/>
  <c r="O16" i="122"/>
  <c r="N16" i="122"/>
  <c r="M16" i="122"/>
  <c r="K16" i="122"/>
  <c r="I16" i="122"/>
  <c r="G16" i="122"/>
  <c r="E16" i="122"/>
  <c r="C16" i="122"/>
  <c r="G58" i="121"/>
  <c r="E58" i="121"/>
  <c r="C58" i="121"/>
  <c r="I78" i="121"/>
  <c r="G78" i="121"/>
  <c r="E78" i="121"/>
  <c r="C78" i="121"/>
  <c r="I58" i="121"/>
  <c r="Q16" i="121"/>
  <c r="P16" i="121"/>
  <c r="O16" i="121"/>
  <c r="N16" i="121"/>
  <c r="M16" i="121"/>
  <c r="K16" i="121"/>
  <c r="I16" i="121"/>
  <c r="G16" i="121"/>
  <c r="E16" i="121"/>
  <c r="C16" i="121"/>
  <c r="G58" i="120" l="1"/>
  <c r="E58" i="120"/>
  <c r="C58" i="120"/>
  <c r="C16" i="120"/>
  <c r="E16" i="120"/>
  <c r="G16" i="120"/>
  <c r="I16" i="120"/>
  <c r="K16" i="120"/>
  <c r="M16" i="120"/>
  <c r="N16" i="120"/>
  <c r="O16" i="120"/>
  <c r="P16" i="120"/>
  <c r="Q16" i="120"/>
  <c r="I78" i="120"/>
  <c r="G78" i="120"/>
  <c r="E78" i="120"/>
  <c r="C78" i="120"/>
  <c r="I58" i="120"/>
  <c r="G78" i="119"/>
  <c r="E78" i="119"/>
  <c r="C78" i="119"/>
  <c r="G58" i="119"/>
  <c r="E58" i="119"/>
  <c r="C58" i="119"/>
  <c r="I78" i="119"/>
  <c r="I58" i="119"/>
  <c r="Q16" i="119"/>
  <c r="P16" i="119"/>
  <c r="O16" i="119"/>
  <c r="N16" i="119"/>
  <c r="M16" i="119"/>
  <c r="K16" i="119"/>
  <c r="I16" i="119"/>
  <c r="G16" i="119"/>
  <c r="E16" i="119"/>
  <c r="C16" i="119"/>
  <c r="G58" i="117" l="1"/>
  <c r="E58" i="117"/>
  <c r="C58" i="117"/>
  <c r="I78" i="117"/>
  <c r="G78" i="117"/>
  <c r="E78" i="117"/>
  <c r="C78" i="117"/>
  <c r="I58" i="117"/>
  <c r="Q16" i="117"/>
  <c r="P16" i="117"/>
  <c r="O16" i="117"/>
  <c r="N16" i="117"/>
  <c r="M16" i="117"/>
  <c r="K16" i="117"/>
  <c r="I16" i="117"/>
  <c r="G16" i="117"/>
  <c r="E16" i="117"/>
  <c r="C16" i="117"/>
  <c r="G58" i="116" l="1"/>
  <c r="E58" i="116"/>
  <c r="C58" i="116"/>
  <c r="I78" i="116"/>
  <c r="G78" i="116"/>
  <c r="E78" i="116"/>
  <c r="C78" i="116"/>
  <c r="I58" i="116"/>
  <c r="Q16" i="116"/>
  <c r="P16" i="116"/>
  <c r="O16" i="116"/>
  <c r="N16" i="116"/>
  <c r="M16" i="116"/>
  <c r="K16" i="116"/>
  <c r="I16" i="116"/>
  <c r="G16" i="116"/>
  <c r="E16" i="116"/>
  <c r="C16" i="116"/>
  <c r="G58" i="115"/>
  <c r="E58" i="115"/>
  <c r="C58" i="115"/>
  <c r="I78" i="115"/>
  <c r="G78" i="115"/>
  <c r="E78" i="115"/>
  <c r="C78" i="115"/>
  <c r="I58" i="115"/>
  <c r="Q16" i="115"/>
  <c r="P16" i="115"/>
  <c r="O16" i="115"/>
  <c r="N16" i="115"/>
  <c r="M16" i="115"/>
  <c r="K16" i="115"/>
  <c r="I16" i="115"/>
  <c r="G16" i="115"/>
  <c r="E16" i="115"/>
  <c r="C16" i="115"/>
  <c r="G78" i="114" l="1"/>
  <c r="E78" i="114"/>
  <c r="C78" i="114"/>
  <c r="G58" i="114"/>
  <c r="E58" i="114"/>
  <c r="C58" i="114"/>
  <c r="I78" i="114"/>
  <c r="I58" i="114"/>
  <c r="Q16" i="114"/>
  <c r="P16" i="114"/>
  <c r="O16" i="114"/>
  <c r="N16" i="114"/>
  <c r="M16" i="114"/>
  <c r="K16" i="114"/>
  <c r="I16" i="114"/>
  <c r="G16" i="114"/>
  <c r="E16" i="114"/>
  <c r="C16" i="114"/>
  <c r="Q16" i="112" l="1"/>
  <c r="P16" i="112"/>
  <c r="O16" i="112"/>
  <c r="N16" i="112"/>
  <c r="M16" i="112"/>
  <c r="K16" i="112"/>
  <c r="I16" i="112"/>
  <c r="G16" i="112"/>
  <c r="E16" i="112"/>
  <c r="C16" i="112"/>
  <c r="G58" i="112" l="1"/>
  <c r="E58" i="112"/>
  <c r="C58" i="112"/>
  <c r="I78" i="112"/>
  <c r="G78" i="112"/>
  <c r="E78" i="112"/>
  <c r="C78" i="112"/>
  <c r="I58" i="112"/>
  <c r="G58" i="111" l="1"/>
  <c r="E58" i="111"/>
  <c r="C58" i="111"/>
  <c r="I78" i="111"/>
  <c r="G78" i="111"/>
  <c r="E78" i="111"/>
  <c r="C78" i="111"/>
  <c r="I58" i="111"/>
  <c r="Q16" i="111"/>
  <c r="P16" i="111"/>
  <c r="O16" i="111"/>
  <c r="N16" i="111"/>
  <c r="M16" i="111"/>
  <c r="K16" i="111"/>
  <c r="I16" i="111"/>
  <c r="G16" i="111"/>
  <c r="E16" i="111"/>
  <c r="C16" i="111"/>
  <c r="G58" i="110"/>
  <c r="E58" i="110"/>
  <c r="C58" i="110"/>
  <c r="I78" i="110"/>
  <c r="G78" i="110"/>
  <c r="E78" i="110"/>
  <c r="C78" i="110"/>
  <c r="I58" i="110"/>
  <c r="Q16" i="110"/>
  <c r="P16" i="110"/>
  <c r="O16" i="110"/>
  <c r="N16" i="110"/>
  <c r="M16" i="110"/>
  <c r="K16" i="110"/>
  <c r="I16" i="110"/>
  <c r="G16" i="110"/>
  <c r="E16" i="110"/>
  <c r="C16" i="110"/>
  <c r="I78" i="109"/>
  <c r="G78" i="109"/>
  <c r="E78" i="109"/>
  <c r="C78" i="109"/>
  <c r="I58" i="109"/>
  <c r="G58" i="109"/>
  <c r="E58" i="109"/>
  <c r="C58" i="109"/>
  <c r="Q16" i="109"/>
  <c r="P16" i="109"/>
  <c r="O16" i="109"/>
  <c r="N16" i="109"/>
  <c r="M16" i="109"/>
  <c r="K16" i="109"/>
  <c r="I16" i="109"/>
  <c r="G16" i="109"/>
  <c r="E16" i="109"/>
  <c r="C16" i="109"/>
  <c r="G58" i="108"/>
  <c r="E58" i="108"/>
  <c r="C58" i="108"/>
  <c r="I78" i="108"/>
  <c r="G78" i="108"/>
  <c r="E78" i="108"/>
  <c r="C78" i="108"/>
  <c r="I58" i="108"/>
  <c r="Q16" i="108"/>
  <c r="P16" i="108"/>
  <c r="O16" i="108"/>
  <c r="N16" i="108"/>
  <c r="M16" i="108"/>
  <c r="K16" i="108"/>
  <c r="I16" i="108"/>
  <c r="G16" i="108"/>
  <c r="E16" i="108"/>
  <c r="C16" i="108"/>
  <c r="G58" i="107" l="1"/>
  <c r="E58" i="107"/>
  <c r="C58" i="107"/>
  <c r="I78" i="107"/>
  <c r="G78" i="107"/>
  <c r="E78" i="107"/>
  <c r="C78" i="107"/>
  <c r="I58" i="107"/>
  <c r="Q16" i="107"/>
  <c r="P16" i="107"/>
  <c r="O16" i="107"/>
  <c r="N16" i="107"/>
  <c r="M16" i="107"/>
  <c r="K16" i="107"/>
  <c r="I16" i="107"/>
  <c r="G16" i="107"/>
  <c r="E16" i="107"/>
  <c r="C16" i="107"/>
  <c r="G58" i="106"/>
  <c r="E58" i="106"/>
  <c r="C58" i="106"/>
  <c r="I78" i="106"/>
  <c r="G78" i="106"/>
  <c r="E78" i="106"/>
  <c r="C78" i="106"/>
  <c r="I58" i="106"/>
  <c r="Q16" i="106"/>
  <c r="P16" i="106"/>
  <c r="O16" i="106"/>
  <c r="N16" i="106"/>
  <c r="M16" i="106"/>
  <c r="K16" i="106"/>
  <c r="I16" i="106"/>
  <c r="G16" i="106"/>
  <c r="E16" i="106"/>
  <c r="C16" i="106"/>
  <c r="G58" i="105" l="1"/>
  <c r="E58" i="105"/>
  <c r="C58" i="105"/>
  <c r="I78" i="105"/>
  <c r="G78" i="105"/>
  <c r="E78" i="105"/>
  <c r="C78" i="105"/>
  <c r="I58" i="105"/>
  <c r="Q16" i="105"/>
  <c r="P16" i="105"/>
  <c r="O16" i="105"/>
  <c r="N16" i="105"/>
  <c r="M16" i="105"/>
  <c r="K16" i="105"/>
  <c r="I16" i="105"/>
  <c r="G16" i="105"/>
  <c r="E16" i="105"/>
  <c r="C16" i="105"/>
  <c r="G78" i="104" l="1"/>
  <c r="E78" i="104"/>
  <c r="C78" i="104"/>
  <c r="G58" i="104"/>
  <c r="E58" i="104"/>
  <c r="C58" i="104"/>
  <c r="I78" i="104"/>
  <c r="I58" i="104"/>
  <c r="Q16" i="104"/>
  <c r="P16" i="104"/>
  <c r="O16" i="104"/>
  <c r="N16" i="104"/>
  <c r="M16" i="104"/>
  <c r="K16" i="104"/>
  <c r="I16" i="104"/>
  <c r="G16" i="104"/>
  <c r="E16" i="104"/>
  <c r="C16" i="104"/>
  <c r="G58" i="103" l="1"/>
  <c r="E58" i="103"/>
  <c r="C58" i="103"/>
  <c r="I78" i="103"/>
  <c r="G78" i="103"/>
  <c r="E78" i="103"/>
  <c r="C78" i="103"/>
  <c r="I58" i="103"/>
  <c r="Q16" i="103"/>
  <c r="P16" i="103"/>
  <c r="O16" i="103"/>
  <c r="N16" i="103"/>
  <c r="M16" i="103"/>
  <c r="K16" i="103"/>
  <c r="I16" i="103"/>
  <c r="G16" i="103"/>
  <c r="E16" i="103"/>
  <c r="C16" i="103"/>
  <c r="G58" i="102"/>
  <c r="E58" i="102"/>
  <c r="C58" i="102"/>
  <c r="I78" i="102"/>
  <c r="G78" i="102"/>
  <c r="E78" i="102"/>
  <c r="C78" i="102"/>
  <c r="I58" i="102"/>
  <c r="Q16" i="102"/>
  <c r="P16" i="102"/>
  <c r="O16" i="102"/>
  <c r="N16" i="102"/>
  <c r="M16" i="102"/>
  <c r="K16" i="102"/>
  <c r="I16" i="102"/>
  <c r="G16" i="102"/>
  <c r="E16" i="102"/>
  <c r="C16" i="102"/>
  <c r="G58" i="101" l="1"/>
  <c r="E58" i="101"/>
  <c r="C58" i="101"/>
  <c r="I78" i="101"/>
  <c r="G78" i="101"/>
  <c r="E78" i="101"/>
  <c r="C78" i="101"/>
  <c r="I58" i="101"/>
  <c r="Q16" i="101"/>
  <c r="P16" i="101"/>
  <c r="O16" i="101"/>
  <c r="N16" i="101"/>
  <c r="M16" i="101"/>
  <c r="K16" i="101"/>
  <c r="I16" i="101"/>
  <c r="G16" i="101"/>
  <c r="E16" i="101"/>
  <c r="C16" i="101"/>
  <c r="G78" i="100" l="1"/>
  <c r="E78" i="100"/>
  <c r="C78" i="100"/>
  <c r="G58" i="100"/>
  <c r="E58" i="100"/>
  <c r="C58" i="100"/>
  <c r="I78" i="100"/>
  <c r="I58" i="100"/>
  <c r="Q16" i="100"/>
  <c r="P16" i="100"/>
  <c r="O16" i="100"/>
  <c r="N16" i="100"/>
  <c r="M16" i="100"/>
  <c r="K16" i="100"/>
  <c r="I16" i="100"/>
  <c r="G16" i="100"/>
  <c r="E16" i="100"/>
  <c r="C16" i="100"/>
  <c r="G58" i="99" l="1"/>
  <c r="E58" i="99"/>
  <c r="C58" i="99"/>
  <c r="I78" i="99"/>
  <c r="G78" i="99"/>
  <c r="E78" i="99"/>
  <c r="C78" i="99"/>
  <c r="I58" i="99"/>
  <c r="Q16" i="99"/>
  <c r="P16" i="99"/>
  <c r="O16" i="99"/>
  <c r="N16" i="99"/>
  <c r="M16" i="99"/>
  <c r="K16" i="99"/>
  <c r="I16" i="99"/>
  <c r="G16" i="99"/>
  <c r="E16" i="99"/>
  <c r="C16" i="99"/>
  <c r="G58" i="97" l="1"/>
  <c r="E58" i="97"/>
  <c r="C58" i="97"/>
  <c r="I78" i="97"/>
  <c r="G78" i="97"/>
  <c r="E78" i="97"/>
  <c r="C78" i="97"/>
  <c r="I58" i="97"/>
  <c r="Q16" i="97"/>
  <c r="P16" i="97"/>
  <c r="O16" i="97"/>
  <c r="N16" i="97"/>
  <c r="M16" i="97"/>
  <c r="K16" i="97"/>
  <c r="I16" i="97"/>
  <c r="G16" i="97"/>
  <c r="E16" i="97"/>
  <c r="C16" i="97"/>
  <c r="G58" i="95" l="1"/>
  <c r="E58" i="95"/>
  <c r="C58" i="95"/>
  <c r="I78" i="95"/>
  <c r="G78" i="95"/>
  <c r="E78" i="95"/>
  <c r="C78" i="95"/>
  <c r="I58" i="95"/>
  <c r="Q16" i="95"/>
  <c r="P16" i="95"/>
  <c r="O16" i="95"/>
  <c r="N16" i="95"/>
  <c r="M16" i="95"/>
  <c r="K16" i="95"/>
  <c r="I16" i="95"/>
  <c r="G16" i="95"/>
  <c r="E16" i="95"/>
  <c r="C16" i="95"/>
  <c r="G78" i="93" l="1"/>
  <c r="E78" i="93"/>
  <c r="C78" i="93"/>
  <c r="G58" i="93"/>
  <c r="E58" i="93"/>
  <c r="C58" i="93"/>
  <c r="I78" i="93"/>
  <c r="I58" i="93"/>
  <c r="Q16" i="93"/>
  <c r="P16" i="93"/>
  <c r="O16" i="93"/>
  <c r="N16" i="93"/>
  <c r="M16" i="93"/>
  <c r="K16" i="93"/>
  <c r="I16" i="93"/>
  <c r="G16" i="93"/>
  <c r="E16" i="93"/>
  <c r="C16" i="93"/>
  <c r="G58" i="92" l="1"/>
  <c r="E58" i="92"/>
  <c r="C58" i="92"/>
  <c r="I78" i="92"/>
  <c r="G78" i="92"/>
  <c r="E78" i="92"/>
  <c r="C78" i="92"/>
  <c r="I58" i="92"/>
  <c r="Q16" i="92"/>
  <c r="P16" i="92"/>
  <c r="O16" i="92"/>
  <c r="N16" i="92"/>
  <c r="M16" i="92"/>
  <c r="K16" i="92"/>
  <c r="I16" i="92"/>
  <c r="G16" i="92"/>
  <c r="E16" i="92"/>
  <c r="C16" i="92"/>
  <c r="G58" i="91" l="1"/>
  <c r="E58" i="91"/>
  <c r="C58" i="91"/>
  <c r="I78" i="91"/>
  <c r="G78" i="91"/>
  <c r="E78" i="91"/>
  <c r="C78" i="91"/>
  <c r="I58" i="91"/>
  <c r="Q16" i="91"/>
  <c r="P16" i="91"/>
  <c r="O16" i="91"/>
  <c r="N16" i="91"/>
  <c r="M16" i="91"/>
  <c r="K16" i="91"/>
  <c r="I16" i="91"/>
  <c r="G16" i="91"/>
  <c r="E16" i="91"/>
  <c r="C16" i="91"/>
  <c r="G58" i="90"/>
  <c r="E58" i="90"/>
  <c r="C58" i="90"/>
  <c r="I78" i="90"/>
  <c r="G78" i="90"/>
  <c r="E78" i="90"/>
  <c r="C78" i="90"/>
  <c r="I58" i="90"/>
  <c r="Q16" i="90"/>
  <c r="P16" i="90"/>
  <c r="O16" i="90"/>
  <c r="N16" i="90"/>
  <c r="M16" i="90"/>
  <c r="K16" i="90"/>
  <c r="I16" i="90"/>
  <c r="G16" i="90"/>
  <c r="E16" i="90"/>
  <c r="C16" i="90"/>
  <c r="C16" i="89"/>
  <c r="I78" i="89"/>
  <c r="G78" i="89"/>
  <c r="E78" i="89"/>
  <c r="C78" i="89"/>
  <c r="I58" i="89"/>
  <c r="G58" i="89"/>
  <c r="E58" i="89"/>
  <c r="C58" i="89"/>
  <c r="Q16" i="89"/>
  <c r="P16" i="89"/>
  <c r="O16" i="89"/>
  <c r="N16" i="89"/>
  <c r="M16" i="89"/>
  <c r="K16" i="89"/>
  <c r="I16" i="89"/>
  <c r="G16" i="89"/>
  <c r="E16" i="89"/>
  <c r="G78" i="88" l="1"/>
  <c r="E78" i="88"/>
  <c r="C78" i="88"/>
  <c r="G58" i="88"/>
  <c r="E58" i="88"/>
  <c r="C58" i="88"/>
  <c r="I78" i="88"/>
  <c r="I58" i="88"/>
  <c r="Q16" i="88"/>
  <c r="P16" i="88"/>
  <c r="O16" i="88"/>
  <c r="N16" i="88"/>
  <c r="M16" i="88"/>
  <c r="K16" i="88"/>
  <c r="I16" i="88"/>
  <c r="G16" i="88"/>
  <c r="E16" i="88"/>
  <c r="C16" i="88"/>
  <c r="I78" i="87"/>
  <c r="G78" i="87"/>
  <c r="E78" i="87"/>
  <c r="C78" i="87"/>
  <c r="I58" i="87"/>
  <c r="G58" i="87"/>
  <c r="E58" i="87"/>
  <c r="C58" i="87"/>
  <c r="Q16" i="87"/>
  <c r="P16" i="87"/>
  <c r="O16" i="87"/>
  <c r="N16" i="87"/>
  <c r="M16" i="87"/>
  <c r="K16" i="87"/>
  <c r="I16" i="87"/>
  <c r="G16" i="87"/>
  <c r="E16" i="87"/>
  <c r="C16" i="87"/>
  <c r="G58" i="86"/>
  <c r="E58" i="86"/>
  <c r="C58" i="86"/>
  <c r="I78" i="86"/>
  <c r="G78" i="86"/>
  <c r="E78" i="86"/>
  <c r="C78" i="86"/>
  <c r="I58" i="86"/>
  <c r="Q16" i="86"/>
  <c r="P16" i="86"/>
  <c r="O16" i="86"/>
  <c r="N16" i="86"/>
  <c r="M16" i="86"/>
  <c r="K16" i="86"/>
  <c r="I16" i="86"/>
  <c r="G16" i="86"/>
  <c r="E16" i="86"/>
  <c r="C16" i="86"/>
  <c r="G58" i="85" l="1"/>
  <c r="E58" i="85"/>
  <c r="C58" i="85"/>
  <c r="I78" i="85"/>
  <c r="G78" i="85"/>
  <c r="E78" i="85"/>
  <c r="C78" i="85"/>
  <c r="I58" i="85"/>
  <c r="Q16" i="85"/>
  <c r="P16" i="85"/>
  <c r="O16" i="85"/>
  <c r="N16" i="85"/>
  <c r="M16" i="85"/>
  <c r="K16" i="85"/>
  <c r="I16" i="85"/>
  <c r="G16" i="85"/>
  <c r="E16" i="85"/>
  <c r="C16" i="85"/>
  <c r="G78" i="84" l="1"/>
  <c r="E78" i="84"/>
  <c r="C78" i="84"/>
  <c r="G58" i="84"/>
  <c r="E58" i="84"/>
  <c r="C58" i="84"/>
  <c r="I78" i="84"/>
  <c r="I58" i="84"/>
  <c r="Q16" i="84"/>
  <c r="P16" i="84"/>
  <c r="O16" i="84"/>
  <c r="N16" i="84"/>
  <c r="M16" i="84"/>
  <c r="K16" i="84"/>
  <c r="I16" i="84"/>
  <c r="G16" i="84"/>
  <c r="E16" i="84"/>
  <c r="C16" i="84"/>
  <c r="G58" i="83" l="1"/>
  <c r="E58" i="83"/>
  <c r="C58" i="83"/>
  <c r="I78" i="83"/>
  <c r="G78" i="83"/>
  <c r="E78" i="83"/>
  <c r="C78" i="83"/>
  <c r="I58" i="83"/>
  <c r="Q16" i="83"/>
  <c r="P16" i="83"/>
  <c r="O16" i="83"/>
  <c r="N16" i="83"/>
  <c r="M16" i="83"/>
  <c r="K16" i="83"/>
  <c r="I16" i="83"/>
  <c r="G16" i="83"/>
  <c r="E16" i="83"/>
  <c r="C16" i="83"/>
  <c r="G58" i="82" l="1"/>
  <c r="E58" i="82"/>
  <c r="C58" i="82"/>
  <c r="I78" i="82"/>
  <c r="G78" i="82"/>
  <c r="E78" i="82"/>
  <c r="C78" i="82"/>
  <c r="I58" i="82"/>
  <c r="Q16" i="82"/>
  <c r="P16" i="82"/>
  <c r="O16" i="82"/>
  <c r="N16" i="82"/>
  <c r="M16" i="82"/>
  <c r="K16" i="82"/>
  <c r="I16" i="82"/>
  <c r="G16" i="82"/>
  <c r="E16" i="82"/>
  <c r="C16" i="82"/>
  <c r="G58" i="81" l="1"/>
  <c r="E58" i="81"/>
  <c r="C58" i="81"/>
  <c r="I78" i="81"/>
  <c r="G78" i="81"/>
  <c r="E78" i="81"/>
  <c r="C78" i="81"/>
  <c r="I58" i="81"/>
  <c r="Q16" i="81"/>
  <c r="P16" i="81"/>
  <c r="O16" i="81"/>
  <c r="N16" i="81"/>
  <c r="M16" i="81"/>
  <c r="K16" i="81"/>
  <c r="I16" i="81"/>
  <c r="G16" i="81"/>
  <c r="E16" i="81"/>
  <c r="C16" i="81"/>
  <c r="G78" i="80" l="1"/>
  <c r="E78" i="80"/>
  <c r="C78" i="80"/>
  <c r="G58" i="80"/>
  <c r="E58" i="80"/>
  <c r="C58" i="80"/>
  <c r="I78" i="80"/>
  <c r="I58" i="80"/>
  <c r="Q16" i="80"/>
  <c r="P16" i="80"/>
  <c r="O16" i="80"/>
  <c r="N16" i="80"/>
  <c r="M16" i="80"/>
  <c r="K16" i="80"/>
  <c r="I16" i="80"/>
  <c r="G16" i="80"/>
  <c r="E16" i="80"/>
  <c r="C16" i="80"/>
  <c r="G58" i="78" l="1"/>
  <c r="E58" i="78"/>
  <c r="C58" i="78"/>
  <c r="I78" i="78"/>
  <c r="G78" i="78"/>
  <c r="E78" i="78"/>
  <c r="C78" i="78"/>
  <c r="I58" i="78"/>
  <c r="Q16" i="78"/>
  <c r="P16" i="78"/>
  <c r="O16" i="78"/>
  <c r="N16" i="78"/>
  <c r="M16" i="78"/>
  <c r="K16" i="78"/>
  <c r="I16" i="78"/>
  <c r="G16" i="78"/>
  <c r="E16" i="78"/>
  <c r="C16" i="78"/>
  <c r="G58" i="77"/>
  <c r="E58" i="77"/>
  <c r="C58" i="77"/>
  <c r="I78" i="77"/>
  <c r="G78" i="77"/>
  <c r="E78" i="77"/>
  <c r="C78" i="77"/>
  <c r="I58" i="77"/>
  <c r="Q16" i="77"/>
  <c r="P16" i="77"/>
  <c r="O16" i="77"/>
  <c r="N16" i="77"/>
  <c r="M16" i="77"/>
  <c r="K16" i="77"/>
  <c r="I16" i="77"/>
  <c r="G16" i="77"/>
  <c r="E16" i="77"/>
  <c r="C16" i="77"/>
  <c r="G58" i="76"/>
  <c r="E58" i="76"/>
  <c r="C58" i="76"/>
  <c r="I78" i="76"/>
  <c r="G78" i="76"/>
  <c r="E78" i="76"/>
  <c r="C78" i="76"/>
  <c r="I58" i="76"/>
  <c r="Q16" i="76"/>
  <c r="P16" i="76"/>
  <c r="O16" i="76"/>
  <c r="N16" i="76"/>
  <c r="M16" i="76"/>
  <c r="K16" i="76"/>
  <c r="I16" i="76"/>
  <c r="G16" i="76"/>
  <c r="E16" i="76"/>
  <c r="C16" i="76"/>
  <c r="G58" i="75"/>
  <c r="E58" i="75"/>
  <c r="C58" i="75"/>
  <c r="I78" i="75"/>
  <c r="G78" i="75"/>
  <c r="E78" i="75"/>
  <c r="C78" i="75"/>
  <c r="I58" i="75"/>
  <c r="Q16" i="75"/>
  <c r="P16" i="75"/>
  <c r="O16" i="75"/>
  <c r="N16" i="75"/>
  <c r="M16" i="75"/>
  <c r="K16" i="75"/>
  <c r="I16" i="75"/>
  <c r="G16" i="75"/>
  <c r="E16" i="75"/>
  <c r="C16" i="75"/>
  <c r="P16" i="74"/>
  <c r="G78" i="74" l="1"/>
  <c r="E78" i="74"/>
  <c r="C78" i="74"/>
  <c r="G58" i="74"/>
  <c r="E58" i="74"/>
  <c r="C58" i="74"/>
  <c r="I78" i="74"/>
  <c r="I58" i="74"/>
  <c r="Q16" i="74"/>
  <c r="O16" i="74"/>
  <c r="N16" i="74"/>
  <c r="M16" i="74"/>
  <c r="K16" i="74"/>
  <c r="I16" i="74"/>
  <c r="G16" i="74"/>
  <c r="E16" i="74"/>
  <c r="C16" i="74"/>
  <c r="I78" i="73"/>
  <c r="G78" i="73"/>
  <c r="E78" i="73"/>
  <c r="C78" i="73"/>
  <c r="I58" i="73"/>
  <c r="G58" i="73"/>
  <c r="E58" i="73"/>
  <c r="C58" i="73"/>
  <c r="Q16" i="73"/>
  <c r="P16" i="73"/>
  <c r="O16" i="73"/>
  <c r="N16" i="73"/>
  <c r="M16" i="73"/>
  <c r="K16" i="73"/>
  <c r="I16" i="73"/>
  <c r="G16" i="73"/>
  <c r="E16" i="73"/>
  <c r="C16" i="73"/>
  <c r="I78" i="72"/>
  <c r="G78" i="72"/>
  <c r="E78" i="72"/>
  <c r="C78" i="72"/>
  <c r="I58" i="72"/>
  <c r="G58" i="72"/>
  <c r="E58" i="72"/>
  <c r="C58" i="72"/>
  <c r="Q16" i="72"/>
  <c r="P16" i="72"/>
  <c r="O16" i="72"/>
  <c r="N16" i="72"/>
  <c r="M16" i="72"/>
  <c r="K16" i="72"/>
  <c r="I16" i="72"/>
  <c r="G16" i="72"/>
  <c r="E16" i="72"/>
  <c r="C16" i="72"/>
  <c r="I78" i="71"/>
  <c r="G78" i="71"/>
  <c r="E78" i="71"/>
  <c r="C78" i="71"/>
  <c r="I58" i="71"/>
  <c r="G58" i="71"/>
  <c r="E58" i="71"/>
  <c r="C58" i="71"/>
  <c r="Q16" i="71"/>
  <c r="P16" i="71"/>
  <c r="O16" i="71"/>
  <c r="N16" i="71"/>
  <c r="M16" i="71"/>
  <c r="K16" i="71"/>
  <c r="I16" i="71"/>
  <c r="G16" i="71"/>
  <c r="E16" i="71"/>
  <c r="C16" i="71"/>
  <c r="I78" i="69"/>
  <c r="G78" i="69"/>
  <c r="E78" i="69"/>
  <c r="C78" i="69"/>
  <c r="I58" i="69"/>
  <c r="G58" i="69"/>
  <c r="E58" i="69"/>
  <c r="C58" i="69"/>
  <c r="Q16" i="69"/>
  <c r="P16" i="69"/>
  <c r="O16" i="69"/>
  <c r="N16" i="69"/>
  <c r="M16" i="69"/>
  <c r="K16" i="69"/>
  <c r="I16" i="69"/>
  <c r="G16" i="69"/>
  <c r="E16" i="69"/>
  <c r="C16" i="69"/>
  <c r="I78" i="68"/>
  <c r="G78" i="68"/>
  <c r="E78" i="68"/>
  <c r="C78" i="68"/>
  <c r="I58" i="68"/>
  <c r="G58" i="68"/>
  <c r="E58" i="68"/>
  <c r="C58" i="68"/>
  <c r="Q16" i="68"/>
  <c r="P16" i="68"/>
  <c r="O16" i="68"/>
  <c r="N16" i="68"/>
  <c r="M16" i="68"/>
  <c r="K16" i="68"/>
  <c r="I16" i="68"/>
  <c r="G16" i="68"/>
  <c r="E16" i="68"/>
  <c r="C16" i="68"/>
  <c r="I78" i="67"/>
  <c r="G78" i="67"/>
  <c r="E78" i="67"/>
  <c r="C78" i="67"/>
  <c r="I58" i="67"/>
  <c r="G58" i="67"/>
  <c r="E58" i="67"/>
  <c r="C58" i="67"/>
  <c r="Q16" i="67"/>
  <c r="P16" i="67"/>
  <c r="O16" i="67"/>
  <c r="N16" i="67"/>
  <c r="M16" i="67"/>
  <c r="K16" i="67"/>
  <c r="I16" i="67"/>
  <c r="G16" i="67"/>
  <c r="E16" i="67"/>
  <c r="C16" i="67"/>
  <c r="G58" i="66"/>
  <c r="E58" i="66"/>
  <c r="C58" i="66"/>
  <c r="I78" i="66"/>
  <c r="G78" i="66"/>
  <c r="E78" i="66"/>
  <c r="C78" i="66"/>
  <c r="I58" i="66"/>
  <c r="Q16" i="66"/>
  <c r="P16" i="66"/>
  <c r="O16" i="66"/>
  <c r="N16" i="66"/>
  <c r="M16" i="66"/>
  <c r="K16" i="66"/>
  <c r="I16" i="66"/>
  <c r="G16" i="66"/>
  <c r="E16" i="66"/>
  <c r="C16" i="66"/>
  <c r="G58" i="65"/>
  <c r="E58" i="65"/>
  <c r="C58" i="65"/>
  <c r="I78" i="65"/>
  <c r="G78" i="65"/>
  <c r="E78" i="65"/>
  <c r="C78" i="65"/>
  <c r="I58" i="65"/>
  <c r="Q16" i="65"/>
  <c r="P16" i="65"/>
  <c r="O16" i="65"/>
  <c r="N16" i="65"/>
  <c r="M16" i="65"/>
  <c r="K16" i="65"/>
  <c r="I16" i="65"/>
  <c r="G16" i="65"/>
  <c r="E16" i="65"/>
  <c r="C16" i="65"/>
  <c r="G58" i="64"/>
  <c r="E58" i="64"/>
  <c r="C58" i="64"/>
  <c r="I78" i="64"/>
  <c r="G78" i="64"/>
  <c r="E78" i="64"/>
  <c r="C78" i="64"/>
  <c r="I58" i="64"/>
  <c r="Q16" i="64"/>
  <c r="P16" i="64"/>
  <c r="O16" i="64"/>
  <c r="N16" i="64"/>
  <c r="M16" i="64"/>
  <c r="K16" i="64"/>
  <c r="I16" i="64"/>
  <c r="G16" i="64"/>
  <c r="E16" i="64"/>
  <c r="C16" i="64"/>
  <c r="G58" i="63"/>
  <c r="E58" i="63"/>
  <c r="C58" i="63"/>
  <c r="I78" i="63"/>
  <c r="G78" i="63"/>
  <c r="E78" i="63"/>
  <c r="C78" i="63"/>
  <c r="I58" i="63"/>
  <c r="Q16" i="63"/>
  <c r="P16" i="63"/>
  <c r="O16" i="63"/>
  <c r="N16" i="63"/>
  <c r="M16" i="63"/>
  <c r="K16" i="63"/>
  <c r="I16" i="63"/>
  <c r="G16" i="63"/>
  <c r="E16" i="63"/>
  <c r="C16" i="63"/>
  <c r="G78" i="62"/>
  <c r="E78" i="62"/>
  <c r="C78" i="62"/>
  <c r="G58" i="62"/>
  <c r="E58" i="62"/>
  <c r="C58" i="62"/>
  <c r="I78" i="62"/>
  <c r="I58" i="62"/>
  <c r="Q16" i="62"/>
  <c r="P16" i="62"/>
  <c r="O16" i="62"/>
  <c r="N16" i="62"/>
  <c r="M16" i="62"/>
  <c r="K16" i="62"/>
  <c r="I16" i="62"/>
  <c r="G16" i="62"/>
  <c r="E16" i="62"/>
  <c r="C16" i="62"/>
  <c r="E58" i="61"/>
  <c r="C58" i="61"/>
  <c r="I78" i="61"/>
  <c r="G78" i="61"/>
  <c r="E78" i="61"/>
  <c r="C78" i="61"/>
  <c r="I58" i="61"/>
  <c r="G58" i="61"/>
  <c r="Q16" i="61"/>
  <c r="P16" i="61"/>
  <c r="O16" i="61"/>
  <c r="N16" i="61"/>
  <c r="M16" i="61"/>
  <c r="K16" i="61"/>
  <c r="I16" i="61"/>
  <c r="G16" i="61"/>
  <c r="E16" i="61"/>
  <c r="C16" i="61"/>
  <c r="G58" i="60"/>
  <c r="E58" i="60"/>
  <c r="C58" i="60"/>
  <c r="I78" i="60"/>
  <c r="G78" i="60"/>
  <c r="E78" i="60"/>
  <c r="C78" i="60"/>
  <c r="I58" i="60"/>
  <c r="Q16" i="60"/>
  <c r="P16" i="60"/>
  <c r="O16" i="60"/>
  <c r="N16" i="60"/>
  <c r="M16" i="60"/>
  <c r="K16" i="60"/>
  <c r="I16" i="60"/>
  <c r="G16" i="60"/>
  <c r="E16" i="60"/>
  <c r="C16" i="60"/>
  <c r="I78" i="59"/>
  <c r="G78" i="59"/>
  <c r="E78" i="59"/>
  <c r="C78" i="59"/>
  <c r="I58" i="59"/>
  <c r="G58" i="59"/>
  <c r="E58" i="59"/>
  <c r="C58" i="59"/>
  <c r="Q16" i="59"/>
  <c r="P16" i="59"/>
  <c r="O16" i="59"/>
  <c r="N16" i="59"/>
  <c r="M16" i="59"/>
  <c r="K16" i="59"/>
  <c r="I16" i="59"/>
  <c r="G16" i="59"/>
  <c r="E16" i="59"/>
  <c r="C16" i="59"/>
  <c r="I78" i="58"/>
  <c r="G78" i="58"/>
  <c r="E78" i="58"/>
  <c r="C78" i="58"/>
  <c r="I58" i="58"/>
  <c r="G58" i="58"/>
  <c r="E58" i="58"/>
  <c r="C58" i="58"/>
  <c r="Q16" i="58"/>
  <c r="P16" i="58"/>
  <c r="O16" i="58"/>
  <c r="N16" i="58"/>
  <c r="M16" i="58"/>
  <c r="K16" i="58"/>
  <c r="I16" i="58"/>
  <c r="G16" i="58"/>
  <c r="E16" i="58"/>
  <c r="C16" i="58"/>
  <c r="I78" i="57"/>
  <c r="G78" i="57"/>
  <c r="E78" i="57"/>
  <c r="C78" i="57"/>
  <c r="I58" i="57"/>
  <c r="G58" i="57"/>
  <c r="E58" i="57"/>
  <c r="C58" i="57"/>
  <c r="Q16" i="57"/>
  <c r="P16" i="57"/>
  <c r="O16" i="57"/>
  <c r="N16" i="57"/>
  <c r="M16" i="57"/>
  <c r="K16" i="57"/>
  <c r="I16" i="57"/>
  <c r="G16" i="57"/>
  <c r="E16" i="57"/>
  <c r="C16" i="57"/>
  <c r="G58" i="56"/>
  <c r="E58" i="56"/>
  <c r="C58" i="56"/>
  <c r="I78" i="56"/>
  <c r="G78" i="56"/>
  <c r="E78" i="56"/>
  <c r="C78" i="56"/>
  <c r="I58" i="56"/>
  <c r="Q16" i="56"/>
  <c r="P16" i="56"/>
  <c r="O16" i="56"/>
  <c r="N16" i="56"/>
  <c r="M16" i="56"/>
  <c r="K16" i="56"/>
  <c r="I16" i="56"/>
  <c r="G16" i="56"/>
  <c r="E16" i="56"/>
  <c r="C16" i="56"/>
  <c r="I78" i="55"/>
  <c r="G78" i="55"/>
  <c r="E78" i="55"/>
  <c r="C78" i="55"/>
  <c r="I58" i="55"/>
  <c r="G58" i="55"/>
  <c r="E58" i="55"/>
  <c r="C58" i="55"/>
  <c r="Q16" i="55"/>
  <c r="P16" i="55"/>
  <c r="O16" i="55"/>
  <c r="N16" i="55"/>
  <c r="M16" i="55"/>
  <c r="K16" i="55"/>
  <c r="I16" i="55"/>
  <c r="G16" i="55"/>
  <c r="E16" i="55"/>
  <c r="C16" i="55"/>
  <c r="I58" i="54"/>
  <c r="G58" i="54"/>
  <c r="E58" i="54"/>
  <c r="I78" i="54"/>
  <c r="G78" i="54"/>
  <c r="E78" i="54"/>
  <c r="C78" i="54"/>
  <c r="C58" i="54"/>
  <c r="Q16" i="54"/>
  <c r="P16" i="54"/>
  <c r="O16" i="54"/>
  <c r="N16" i="54"/>
  <c r="M16" i="54"/>
  <c r="K16" i="54"/>
  <c r="I16" i="54"/>
  <c r="G16" i="54"/>
  <c r="E16" i="54"/>
  <c r="C16" i="54"/>
  <c r="I78" i="53"/>
  <c r="G78" i="53"/>
  <c r="E78" i="53"/>
  <c r="C78" i="53"/>
  <c r="I58" i="53"/>
  <c r="G58" i="53"/>
  <c r="E58" i="53"/>
  <c r="C58" i="53"/>
  <c r="Q16" i="53"/>
  <c r="P16" i="53"/>
  <c r="O16" i="53"/>
  <c r="N16" i="53"/>
  <c r="M16" i="53"/>
  <c r="K16" i="53"/>
  <c r="I16" i="53"/>
  <c r="G16" i="53"/>
  <c r="E16" i="53"/>
  <c r="C16" i="53"/>
</calcChain>
</file>

<file path=xl/sharedStrings.xml><?xml version="1.0" encoding="utf-8"?>
<sst xmlns="http://schemas.openxmlformats.org/spreadsheetml/2006/main" count="12188" uniqueCount="863">
  <si>
    <t>Stanje</t>
  </si>
  <si>
    <r>
      <rPr>
        <b/>
        <sz val="12"/>
        <color theme="1"/>
        <rFont val="Calibri"/>
        <family val="2"/>
        <charset val="238"/>
        <scheme val="minor"/>
      </rPr>
      <t>IAD-a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      H267N /  HG658V2 / Zyxel</t>
    </r>
  </si>
  <si>
    <r>
      <rPr>
        <b/>
        <sz val="12"/>
        <color theme="1"/>
        <rFont val="Calibri"/>
        <family val="2"/>
        <charset val="238"/>
        <scheme val="minor"/>
      </rPr>
      <t>STB-ova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Arris VIP4205/ VIP4302</t>
    </r>
  </si>
  <si>
    <r>
      <rPr>
        <b/>
        <sz val="12"/>
        <color theme="1"/>
        <rFont val="Calibri"/>
        <family val="2"/>
        <charset val="238"/>
        <scheme val="minor"/>
      </rPr>
      <t>STB-ova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Arris VIP5305</t>
    </r>
  </si>
  <si>
    <r>
      <rPr>
        <b/>
        <sz val="12"/>
        <color theme="1"/>
        <rFont val="Calibri"/>
        <family val="2"/>
        <charset val="238"/>
        <scheme val="minor"/>
      </rPr>
      <t>ONT</t>
    </r>
    <r>
      <rPr>
        <sz val="11"/>
        <color theme="1"/>
        <rFont val="Calibri"/>
        <family val="2"/>
        <scheme val="minor"/>
      </rPr>
      <t xml:space="preserve"> 
(</t>
    </r>
    <r>
      <rPr>
        <sz val="11"/>
        <color theme="1"/>
        <rFont val="Calibri"/>
        <family val="2"/>
        <scheme val="minor"/>
      </rPr>
      <t>HUAWEI)</t>
    </r>
  </si>
  <si>
    <r>
      <rPr>
        <b/>
        <sz val="11"/>
        <color theme="1"/>
        <rFont val="Calibri"/>
        <family val="2"/>
        <scheme val="minor"/>
      </rPr>
      <t>ONT</t>
    </r>
    <r>
      <rPr>
        <sz val="11"/>
        <color theme="1"/>
        <rFont val="Calibri"/>
        <family val="2"/>
        <scheme val="minor"/>
      </rPr>
      <t xml:space="preserve">
(NOKIA)</t>
    </r>
  </si>
  <si>
    <t>UREĐAJ STB DTH</t>
  </si>
  <si>
    <t>ANTENA SATELITSKA DTH</t>
  </si>
  <si>
    <t>LNB DUO TWIN</t>
  </si>
  <si>
    <t>Datum:</t>
  </si>
  <si>
    <t>Centralno skladište</t>
  </si>
  <si>
    <t>Skladište servisirane opreme</t>
  </si>
  <si>
    <t xml:space="preserve">IJ Banja Luka </t>
  </si>
  <si>
    <t>IJ Prijedor</t>
  </si>
  <si>
    <t>IJ Doboj</t>
  </si>
  <si>
    <t>IJ Bijeljina</t>
  </si>
  <si>
    <t>IJ Zvornik</t>
  </si>
  <si>
    <t>IJ I.Sarajevo</t>
  </si>
  <si>
    <t>IJ Foča</t>
  </si>
  <si>
    <t>IJ Trebinje</t>
  </si>
  <si>
    <t xml:space="preserve">UKUPNO </t>
  </si>
  <si>
    <t>Raspoloživa oprema</t>
  </si>
  <si>
    <t>* Razlika u stanju Centralnog skladišta i raspoloživog stanja se može pojaviti u nalozima koji su  odrađeni, ali oprema još nije izuzeta iz magacina.</t>
  </si>
  <si>
    <r>
      <t xml:space="preserve">Stanje demontirane ispravne i </t>
    </r>
    <r>
      <rPr>
        <b/>
        <sz val="14"/>
        <color rgb="FFFF0000"/>
        <rFont val="Calibri"/>
        <family val="2"/>
        <scheme val="minor"/>
      </rPr>
      <t>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</si>
  <si>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r>
      <rPr>
        <b/>
        <sz val="12"/>
        <color theme="1"/>
        <rFont val="Calibri"/>
        <family val="2"/>
        <charset val="238"/>
        <scheme val="minor"/>
      </rPr>
      <t>STB-ova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Arris VIP4205/Arris VIP1113</t>
    </r>
  </si>
  <si>
    <t>0</t>
  </si>
  <si>
    <r>
      <t xml:space="preserve">Stanje demontirane ispravne i </t>
    </r>
    <r>
      <rPr>
        <b/>
        <sz val="14"/>
        <color rgb="FFFF0000"/>
        <rFont val="Calibri"/>
        <family val="2"/>
        <scheme val="minor"/>
      </rPr>
      <t>nekompletne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</si>
  <si>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r>
      <t>*Napomena</t>
    </r>
    <r>
      <rPr>
        <sz val="11"/>
        <color theme="1"/>
        <rFont val="Calibri"/>
        <family val="2"/>
        <scheme val="minor"/>
      </rPr>
      <t>: ND- nema daljinski,  NA- nema adapter, NDiA- nema daljinski i adapter</t>
    </r>
  </si>
  <si>
    <t>Stanje STB uređaja - IPTV platforma</t>
  </si>
  <si>
    <t>STB-uređaji</t>
  </si>
  <si>
    <t>Amino 139</t>
  </si>
  <si>
    <t xml:space="preserve">VIP 4302 </t>
  </si>
  <si>
    <t>Arris VIP1113</t>
  </si>
  <si>
    <t>Arris VIP1113W</t>
  </si>
  <si>
    <t>VIP 4205</t>
  </si>
  <si>
    <t>VIP5305</t>
  </si>
  <si>
    <t>UKUPNO:</t>
  </si>
  <si>
    <t>Ukupan broj korisnika na IPTV platformi</t>
  </si>
  <si>
    <t>Mjesečno stanje - broj ONT uređaja u radu</t>
  </si>
  <si>
    <t>ONT-GPON</t>
  </si>
  <si>
    <t>U radu FTTH</t>
  </si>
  <si>
    <t>RC Brčko</t>
  </si>
  <si>
    <t>UKUPNO</t>
  </si>
  <si>
    <t>28 NA</t>
  </si>
  <si>
    <t>31 NA</t>
  </si>
  <si>
    <t>19</t>
  </si>
  <si>
    <t>22</t>
  </si>
  <si>
    <r>
      <rPr>
        <b/>
        <sz val="11"/>
        <color theme="1"/>
        <rFont val="Calibri"/>
        <family val="2"/>
        <scheme val="minor"/>
      </rPr>
      <t>ONT</t>
    </r>
    <r>
      <rPr>
        <sz val="11"/>
        <color theme="1"/>
        <rFont val="Calibri"/>
        <family val="2"/>
        <scheme val="minor"/>
      </rPr>
      <t xml:space="preserve"> 
(HUAWEI)</t>
    </r>
  </si>
  <si>
    <r>
      <rPr>
        <b/>
        <sz val="12"/>
        <color theme="1"/>
        <rFont val="Calibri"/>
        <family val="2"/>
        <charset val="238"/>
        <scheme val="minor"/>
      </rPr>
      <t>STB-ova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>EKT</t>
    </r>
    <r>
      <rPr>
        <sz val="11"/>
        <color theme="1"/>
        <rFont val="Calibri"/>
        <family val="2"/>
        <scheme val="minor"/>
      </rPr>
      <t xml:space="preserve"> DIN4805V </t>
    </r>
    <r>
      <rPr>
        <b/>
        <sz val="11"/>
        <color theme="1"/>
        <rFont val="Calibri"/>
        <family val="2"/>
        <scheme val="minor"/>
      </rPr>
      <t>4K</t>
    </r>
  </si>
  <si>
    <t>EKT 4805v 4K</t>
  </si>
  <si>
    <t>31.08.2022.</t>
  </si>
  <si>
    <t>Posrednička skladišta DTH</t>
  </si>
  <si>
    <t>30.09.2022.</t>
  </si>
  <si>
    <t>EKT 7005v HD</t>
  </si>
  <si>
    <t>17 NA</t>
  </si>
  <si>
    <t>25 NDiA</t>
  </si>
  <si>
    <t>18/16/1</t>
  </si>
  <si>
    <t>5/1</t>
  </si>
  <si>
    <t>31.10.2022.</t>
  </si>
  <si>
    <t>90 NA</t>
  </si>
  <si>
    <t>20/15</t>
  </si>
  <si>
    <t>2.12.2022.</t>
  </si>
  <si>
    <t>30.11.2022.</t>
  </si>
  <si>
    <t>9.12.2022.</t>
  </si>
  <si>
    <t xml:space="preserve"> 9.12.2022.</t>
  </si>
  <si>
    <r>
      <rPr>
        <b/>
        <sz val="12"/>
        <color theme="1"/>
        <rFont val="Calibri"/>
        <family val="2"/>
        <charset val="238"/>
        <scheme val="minor"/>
      </rPr>
      <t>STB-ova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>EKT</t>
    </r>
    <r>
      <rPr>
        <sz val="11"/>
        <color theme="1"/>
        <rFont val="Calibri"/>
        <family val="2"/>
        <scheme val="minor"/>
      </rPr>
      <t xml:space="preserve"> DIN7005V </t>
    </r>
    <r>
      <rPr>
        <b/>
        <sz val="11"/>
        <color theme="1"/>
        <rFont val="Calibri"/>
        <family val="2"/>
        <scheme val="minor"/>
      </rPr>
      <t>HD</t>
    </r>
  </si>
  <si>
    <t>16.12.2022.</t>
  </si>
  <si>
    <t>70/27</t>
  </si>
  <si>
    <t>23.12.2022.</t>
  </si>
  <si>
    <t>14 NDiA</t>
  </si>
  <si>
    <t>77 NDiA</t>
  </si>
  <si>
    <t>191 ND</t>
  </si>
  <si>
    <t>66</t>
  </si>
  <si>
    <t>2 ND / 31 NDiA</t>
  </si>
  <si>
    <t>30 ND / 220 ND</t>
  </si>
  <si>
    <t>70 ND / 145 ND</t>
  </si>
  <si>
    <t>20 NA / 54 NA</t>
  </si>
  <si>
    <t>30.12.2022.</t>
  </si>
  <si>
    <t>78 NDiA</t>
  </si>
  <si>
    <t>80/27</t>
  </si>
  <si>
    <t>3/1</t>
  </si>
  <si>
    <t>32 ND / 228 ND</t>
  </si>
  <si>
    <t>61</t>
  </si>
  <si>
    <t>2 ND / 33 NDiA</t>
  </si>
  <si>
    <t>212 ND</t>
  </si>
  <si>
    <t>13.01.2023.</t>
  </si>
  <si>
    <t>31.12.2022.</t>
  </si>
  <si>
    <t>12 NDiA</t>
  </si>
  <si>
    <t>22 NDiA</t>
  </si>
  <si>
    <t>86/27</t>
  </si>
  <si>
    <t>0/0</t>
  </si>
  <si>
    <t>52 ND / 234 ND</t>
  </si>
  <si>
    <t>60</t>
  </si>
  <si>
    <t>2 ND / 32 NDiA</t>
  </si>
  <si>
    <t>83 NDiA</t>
  </si>
  <si>
    <t>218 ND</t>
  </si>
  <si>
    <t>21/16/1</t>
  </si>
  <si>
    <t>22/14</t>
  </si>
  <si>
    <t>22 NA / 54 NA</t>
  </si>
  <si>
    <t>92 NA</t>
  </si>
  <si>
    <t>26 NA</t>
  </si>
  <si>
    <t>20.01.2023.</t>
  </si>
  <si>
    <t>207 ND</t>
  </si>
  <si>
    <t>27</t>
  </si>
  <si>
    <t>167 NA</t>
  </si>
  <si>
    <t>88 NDiA</t>
  </si>
  <si>
    <t>5/0</t>
  </si>
  <si>
    <t>52 ND / 240ND</t>
  </si>
  <si>
    <t>68</t>
  </si>
  <si>
    <t>2 ND / 30 NDiA</t>
  </si>
  <si>
    <t>27.01.2023.</t>
  </si>
  <si>
    <t>10 NDiA</t>
  </si>
  <si>
    <t>33</t>
  </si>
  <si>
    <t>94 NDiA</t>
  </si>
  <si>
    <t>192 NA</t>
  </si>
  <si>
    <t>90/35</t>
  </si>
  <si>
    <t>4/0</t>
  </si>
  <si>
    <t>60 ND / 254 ND</t>
  </si>
  <si>
    <t>59</t>
  </si>
  <si>
    <t>2 ND / 27 NDiA</t>
  </si>
  <si>
    <t>216 ND</t>
  </si>
  <si>
    <t>03.02.2023.</t>
  </si>
  <si>
    <t>31.01.2023.</t>
  </si>
  <si>
    <t>24/14/1</t>
  </si>
  <si>
    <t>38 NA / 24 NA</t>
  </si>
  <si>
    <t>70 ND / 125 ND</t>
  </si>
  <si>
    <t>84 NA</t>
  </si>
  <si>
    <t>18</t>
  </si>
  <si>
    <t>267 NA</t>
  </si>
  <si>
    <t>80 NDiA</t>
  </si>
  <si>
    <t>0/5</t>
  </si>
  <si>
    <t>3/0</t>
  </si>
  <si>
    <t>65 ND / 264 ND</t>
  </si>
  <si>
    <t>57</t>
  </si>
  <si>
    <t>2 ND / 25 NDiA</t>
  </si>
  <si>
    <t>225 ND</t>
  </si>
  <si>
    <t>10.02.2023.</t>
  </si>
  <si>
    <t>17 NDiA</t>
  </si>
  <si>
    <t>30/14/1</t>
  </si>
  <si>
    <t>41 NA / 22 NA</t>
  </si>
  <si>
    <t>0/3</t>
  </si>
  <si>
    <t>87/35</t>
  </si>
  <si>
    <t>65 ND / 270 ND</t>
  </si>
  <si>
    <t>58</t>
  </si>
  <si>
    <t>2 ND / 26 NDiA</t>
  </si>
  <si>
    <t>246 ND</t>
  </si>
  <si>
    <t>17.02.2023.</t>
  </si>
  <si>
    <t>28/14/1</t>
  </si>
  <si>
    <t>65 ND / 115 ND</t>
  </si>
  <si>
    <t>79 NA</t>
  </si>
  <si>
    <t>11 NDiA</t>
  </si>
  <si>
    <t>268 NA</t>
  </si>
  <si>
    <t>18 NDiA</t>
  </si>
  <si>
    <t>0/2</t>
  </si>
  <si>
    <t>68 ND / 272 ND</t>
  </si>
  <si>
    <t>269 ND</t>
  </si>
  <si>
    <t>24.02.2023.</t>
  </si>
  <si>
    <t>79 ND / 280 ND</t>
  </si>
  <si>
    <t>279 ND</t>
  </si>
  <si>
    <t>03.03.2023.</t>
  </si>
  <si>
    <t>13 NDiA</t>
  </si>
  <si>
    <t>17</t>
  </si>
  <si>
    <t>266 NA</t>
  </si>
  <si>
    <t>92 NDiA</t>
  </si>
  <si>
    <t>36 NA</t>
  </si>
  <si>
    <t>28.02.2023.</t>
  </si>
  <si>
    <t>0/1</t>
  </si>
  <si>
    <t>12/0</t>
  </si>
  <si>
    <t>80 ND / 284 ND</t>
  </si>
  <si>
    <t>296 ND</t>
  </si>
  <si>
    <t>10.03.2023.</t>
  </si>
  <si>
    <t>1 ND /10 NDiA</t>
  </si>
  <si>
    <t>261 NA</t>
  </si>
  <si>
    <t>93 NDiA</t>
  </si>
  <si>
    <t>38 NA / 22 NA</t>
  </si>
  <si>
    <t>82 NA</t>
  </si>
  <si>
    <t>29 NA</t>
  </si>
  <si>
    <t>4</t>
  </si>
  <si>
    <t>305 ND</t>
  </si>
  <si>
    <t>15/0</t>
  </si>
  <si>
    <t>87 ND / 300 ND</t>
  </si>
  <si>
    <t>63</t>
  </si>
  <si>
    <t>2 ND / 24 NDiA</t>
  </si>
  <si>
    <t>17.03.2023.</t>
  </si>
  <si>
    <t>6 ND /8 NDiA</t>
  </si>
  <si>
    <t>21/14/1</t>
  </si>
  <si>
    <t>22/12</t>
  </si>
  <si>
    <t>35 NA / 22 NA</t>
  </si>
  <si>
    <t>55 ND / 105 ND</t>
  </si>
  <si>
    <t>256 NA</t>
  </si>
  <si>
    <t>85 NDiA</t>
  </si>
  <si>
    <t>2</t>
  </si>
  <si>
    <t>310 ND</t>
  </si>
  <si>
    <t>105/35</t>
  </si>
  <si>
    <t>14/0</t>
  </si>
  <si>
    <t>90 ND / 310 ND</t>
  </si>
  <si>
    <t>2 ND / 22 NDiA</t>
  </si>
  <si>
    <t>24.03.2023.</t>
  </si>
  <si>
    <t>9 ND /6 NDiA</t>
  </si>
  <si>
    <t>237 NA</t>
  </si>
  <si>
    <t>84 NDiA</t>
  </si>
  <si>
    <t>1</t>
  </si>
  <si>
    <t>114/36</t>
  </si>
  <si>
    <t>96 ND / 315 ND</t>
  </si>
  <si>
    <t>315 ND</t>
  </si>
  <si>
    <t>33 NA / 22 NA</t>
  </si>
  <si>
    <t>52 ND / 98 ND</t>
  </si>
  <si>
    <t>31.03.2023.</t>
  </si>
  <si>
    <t>20/14/1</t>
  </si>
  <si>
    <t>12 ND /5 NDiA</t>
  </si>
  <si>
    <t>20</t>
  </si>
  <si>
    <t>239 NA</t>
  </si>
  <si>
    <t>90 NDiA</t>
  </si>
  <si>
    <t>25 NA</t>
  </si>
  <si>
    <t>120/38</t>
  </si>
  <si>
    <t>28/1</t>
  </si>
  <si>
    <t>100 ND / 328 ND</t>
  </si>
  <si>
    <t>320 ND</t>
  </si>
  <si>
    <t>07.04.2023.</t>
  </si>
  <si>
    <t>333 ND</t>
  </si>
  <si>
    <t>18 ND</t>
  </si>
  <si>
    <t>157 NA</t>
  </si>
  <si>
    <t>21 NA</t>
  </si>
  <si>
    <t>21/1</t>
  </si>
  <si>
    <t>100 ND/ 330 ND</t>
  </si>
  <si>
    <t>21.04.2023.</t>
  </si>
  <si>
    <t>24 ND</t>
  </si>
  <si>
    <t>177 NA</t>
  </si>
  <si>
    <t>346 ND</t>
  </si>
  <si>
    <t>28.04.2023.</t>
  </si>
  <si>
    <t>32/14/1</t>
  </si>
  <si>
    <t>15/8</t>
  </si>
  <si>
    <t>61 ND / 114 ND</t>
  </si>
  <si>
    <t>25 ND</t>
  </si>
  <si>
    <t>172 NA</t>
  </si>
  <si>
    <t>86 NDiA</t>
  </si>
  <si>
    <t>22 NA</t>
  </si>
  <si>
    <t>105 ND/ 334 ND</t>
  </si>
  <si>
    <t>05.05.2023.</t>
  </si>
  <si>
    <t>30.04.2023.</t>
  </si>
  <si>
    <t>27/14/1</t>
  </si>
  <si>
    <t>15/18</t>
  </si>
  <si>
    <t>35 NA / 20 NA</t>
  </si>
  <si>
    <t>77 NA</t>
  </si>
  <si>
    <t>26</t>
  </si>
  <si>
    <t>173 NA</t>
  </si>
  <si>
    <t>81 NDiA</t>
  </si>
  <si>
    <t>24 NA</t>
  </si>
  <si>
    <t>366 ND</t>
  </si>
  <si>
    <t>12.05.2023.</t>
  </si>
  <si>
    <t>31 ND</t>
  </si>
  <si>
    <t>165 NA</t>
  </si>
  <si>
    <r>
      <t>IAD-a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 </t>
    </r>
  </si>
  <si>
    <t>      H267N /  HG658V2 / Zyxel</t>
  </si>
  <si>
    <r>
      <t>STB-ova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 </t>
    </r>
  </si>
  <si>
    <t>Arris VIP4205/ VIP4302</t>
  </si>
  <si>
    <t>Arris VIP5305</t>
  </si>
  <si>
    <r>
      <t>EKT</t>
    </r>
    <r>
      <rPr>
        <sz val="11"/>
        <color rgb="FF000000"/>
        <rFont val="Calibri"/>
        <family val="2"/>
      </rPr>
      <t xml:space="preserve"> DIN4805V </t>
    </r>
    <r>
      <rPr>
        <b/>
        <sz val="11"/>
        <color rgb="FF000000"/>
        <rFont val="Calibri"/>
        <family val="2"/>
      </rPr>
      <t>4K</t>
    </r>
  </si>
  <si>
    <r>
      <t>EKT</t>
    </r>
    <r>
      <rPr>
        <sz val="11"/>
        <color rgb="FF000000"/>
        <rFont val="Calibri"/>
        <family val="2"/>
      </rPr>
      <t xml:space="preserve"> DIN7005V </t>
    </r>
    <r>
      <rPr>
        <b/>
        <sz val="11"/>
        <color rgb="FF000000"/>
        <rFont val="Calibri"/>
        <family val="2"/>
      </rPr>
      <t>HD</t>
    </r>
  </si>
  <si>
    <t>ONT</t>
  </si>
  <si>
    <t>(HUAWEI)</t>
  </si>
  <si>
    <t>(NOKIA)</t>
  </si>
  <si>
    <t>* Razlika u stanju Centralnog skladišta i raspoloživog stanja se može pojaviti u nalozima koji su  odrađeni, ali oprema još nije izuzeta iz magacina.</t>
  </si>
  <si>
    <r>
      <t xml:space="preserve">Stanje demontirane ispravne i </t>
    </r>
    <r>
      <rPr>
        <b/>
        <sz val="14"/>
        <color rgb="FFFF0000"/>
        <rFont val="Calibri"/>
        <family val="2"/>
      </rPr>
      <t>kompletne</t>
    </r>
    <r>
      <rPr>
        <b/>
        <sz val="14"/>
        <color rgb="FF000000"/>
        <rFont val="Calibri"/>
        <family val="2"/>
      </rPr>
      <t xml:space="preserve"> TO</t>
    </r>
  </si>
  <si>
    <t>Arris VIP4205/Arris VIP1113</t>
  </si>
  <si>
    <r>
      <t xml:space="preserve">Stanje demontirane ispravne i </t>
    </r>
    <r>
      <rPr>
        <b/>
        <sz val="14"/>
        <color rgb="FFFF0000"/>
        <rFont val="Calibri"/>
        <family val="2"/>
      </rPr>
      <t>nekompletne</t>
    </r>
    <r>
      <rPr>
        <b/>
        <sz val="14"/>
        <color rgb="FF000000"/>
        <rFont val="Calibri"/>
        <family val="2"/>
      </rPr>
      <t xml:space="preserve"> TO</t>
    </r>
  </si>
  <si>
    <t>2 ND / 23NDiA</t>
  </si>
  <si>
    <t>105ND/334ND</t>
  </si>
  <si>
    <t>35NA / 20NA</t>
  </si>
  <si>
    <t>61ND / 114ND</t>
  </si>
  <si>
    <r>
      <t>*Napomena</t>
    </r>
    <r>
      <rPr>
        <sz val="11"/>
        <color rgb="FF000000"/>
        <rFont val="Calibri"/>
        <family val="2"/>
      </rPr>
      <t>: ND- nema daljinski,  NA- nema adapter, NDiA- nema daljinski i adapter</t>
    </r>
  </si>
  <si>
    <t>375 ND</t>
  </si>
  <si>
    <t>19.05.2023.</t>
  </si>
  <si>
    <t>34 ND</t>
  </si>
  <si>
    <t>6</t>
  </si>
  <si>
    <t>105 ND/ 340 ND</t>
  </si>
  <si>
    <t>25</t>
  </si>
  <si>
    <t>23 NA</t>
  </si>
  <si>
    <t>45</t>
  </si>
  <si>
    <t>26 NDiA</t>
  </si>
  <si>
    <t>387 ND</t>
  </si>
  <si>
    <t>26.05.2023.</t>
  </si>
  <si>
    <t>395 ND</t>
  </si>
  <si>
    <t>51</t>
  </si>
  <si>
    <t>2 ND / 23 NDiA</t>
  </si>
  <si>
    <t>3</t>
  </si>
  <si>
    <t>107 ND/ 345 ND</t>
  </si>
  <si>
    <t>44 ND</t>
  </si>
  <si>
    <t>02.06.2023.</t>
  </si>
  <si>
    <t>18/14/1</t>
  </si>
  <si>
    <t>17/24</t>
  </si>
  <si>
    <t>33 NA / 20 NA</t>
  </si>
  <si>
    <t>66 ND / 107 ND</t>
  </si>
  <si>
    <t>31.05.2023.</t>
  </si>
  <si>
    <t>86 NA</t>
  </si>
  <si>
    <t>87 NDiA</t>
  </si>
  <si>
    <t>2 ND / 21 NDiA</t>
  </si>
  <si>
    <t>399 ND</t>
  </si>
  <si>
    <t>20/38</t>
  </si>
  <si>
    <t>09.06.2023.</t>
  </si>
  <si>
    <t>30 NA</t>
  </si>
  <si>
    <t>10/8/1</t>
  </si>
  <si>
    <t>384 ND</t>
  </si>
  <si>
    <t>56</t>
  </si>
  <si>
    <t>107  ND/ 345 ND</t>
  </si>
  <si>
    <t>46ND</t>
  </si>
  <si>
    <t>16.06.2023.</t>
  </si>
  <si>
    <t>24</t>
  </si>
  <si>
    <t>71 NA</t>
  </si>
  <si>
    <t>98 NDiA</t>
  </si>
  <si>
    <t>34 NA</t>
  </si>
  <si>
    <t>388 ND</t>
  </si>
  <si>
    <t>12/8/1</t>
  </si>
  <si>
    <t>2/5</t>
  </si>
  <si>
    <t>26 NA / 20 NA</t>
  </si>
  <si>
    <t>58 ND / 99 ND</t>
  </si>
  <si>
    <t>27 NA</t>
  </si>
  <si>
    <t>2 ND / 20 NDiA</t>
  </si>
  <si>
    <t>80/38</t>
  </si>
  <si>
    <t>5</t>
  </si>
  <si>
    <t>107  ND/ 349 ND</t>
  </si>
  <si>
    <t>45 ND</t>
  </si>
  <si>
    <t>23.06.2023.</t>
  </si>
  <si>
    <t>11/7/1</t>
  </si>
  <si>
    <t>30 NA / 18 NA</t>
  </si>
  <si>
    <t>107  ND/ 350 ND</t>
  </si>
  <si>
    <t>41</t>
  </si>
  <si>
    <t>28</t>
  </si>
  <si>
    <t>75 NA</t>
  </si>
  <si>
    <t>101 NDiA</t>
  </si>
  <si>
    <t>30.06.2023.</t>
  </si>
  <si>
    <t>7/7/0</t>
  </si>
  <si>
    <t>25 NA / 8 NA</t>
  </si>
  <si>
    <t>52 ND / 107 ND</t>
  </si>
  <si>
    <t>20/20</t>
  </si>
  <si>
    <t>67  ND/ 494ND</t>
  </si>
  <si>
    <t>390 ND</t>
  </si>
  <si>
    <t>54</t>
  </si>
  <si>
    <t>07.07.2023.</t>
  </si>
  <si>
    <t>51 NA</t>
  </si>
  <si>
    <t>421 ND</t>
  </si>
  <si>
    <t>9/7/0</t>
  </si>
  <si>
    <t>28 NA / 8 NA</t>
  </si>
  <si>
    <t>53 ND / 107 ND</t>
  </si>
  <si>
    <t>49</t>
  </si>
  <si>
    <t>14.07.2023.</t>
  </si>
  <si>
    <t>16/7/0</t>
  </si>
  <si>
    <t>26 NA / 8 NA</t>
  </si>
  <si>
    <t>31</t>
  </si>
  <si>
    <t>47 NA</t>
  </si>
  <si>
    <t>103 NDiA</t>
  </si>
  <si>
    <t>419 ND</t>
  </si>
  <si>
    <t>21.07.2023.</t>
  </si>
  <si>
    <t>29</t>
  </si>
  <si>
    <t>52 NA</t>
  </si>
  <si>
    <t>106 NDiA</t>
  </si>
  <si>
    <t>12/7/0</t>
  </si>
  <si>
    <t>24 NA / 8 NA</t>
  </si>
  <si>
    <t>46 ND</t>
  </si>
  <si>
    <t>53</t>
  </si>
  <si>
    <t>431 ND</t>
  </si>
  <si>
    <t>28.07.2023.</t>
  </si>
  <si>
    <t>46</t>
  </si>
  <si>
    <t>2 ND / 18 NDiA</t>
  </si>
  <si>
    <t>62 NA</t>
  </si>
  <si>
    <t>10/20</t>
  </si>
  <si>
    <t>442 ND</t>
  </si>
  <si>
    <t>04.08.2023.</t>
  </si>
  <si>
    <t>31.07.2023.</t>
  </si>
  <si>
    <t>15/7/0</t>
  </si>
  <si>
    <t>30 NA / 8 NA</t>
  </si>
  <si>
    <t>48 ND / 95 ND</t>
  </si>
  <si>
    <t>451 ND</t>
  </si>
  <si>
    <t>64 NA</t>
  </si>
  <si>
    <t>15/20</t>
  </si>
  <si>
    <t>2 ND / 16 NDiA</t>
  </si>
  <si>
    <t>11.08.2023.</t>
  </si>
  <si>
    <t>57 NA</t>
  </si>
  <si>
    <t>20 NA</t>
  </si>
  <si>
    <t>455 ND</t>
  </si>
  <si>
    <t>2 ND / 17 NDiA</t>
  </si>
  <si>
    <t>65 ND</t>
  </si>
  <si>
    <t>18.08.2023.</t>
  </si>
  <si>
    <t>2/2</t>
  </si>
  <si>
    <t>48 ND / 91 ND</t>
  </si>
  <si>
    <t>73 NA</t>
  </si>
  <si>
    <t>66 ND</t>
  </si>
  <si>
    <t>450 ND</t>
  </si>
  <si>
    <t>25/20</t>
  </si>
  <si>
    <t>48</t>
  </si>
  <si>
    <t>16 NDiA</t>
  </si>
  <si>
    <t>25.08.2023.</t>
  </si>
  <si>
    <t>10/7/0</t>
  </si>
  <si>
    <t>17 NA / 8 NA</t>
  </si>
  <si>
    <t>52 ND / 95 ND</t>
  </si>
  <si>
    <t>72 NA</t>
  </si>
  <si>
    <t>95 NDiA</t>
  </si>
  <si>
    <t>44</t>
  </si>
  <si>
    <t>15 NDiA</t>
  </si>
  <si>
    <t>67 ND/ 494ND</t>
  </si>
  <si>
    <t>448 ND</t>
  </si>
  <si>
    <t>01.09.2023.</t>
  </si>
  <si>
    <t>31.08.2023.</t>
  </si>
  <si>
    <t>18 NA / 8 NA</t>
  </si>
  <si>
    <t>52 ND / 91 ND</t>
  </si>
  <si>
    <t>18 NA</t>
  </si>
  <si>
    <t>469 ND</t>
  </si>
  <si>
    <t>23/20</t>
  </si>
  <si>
    <t>90 ND/ 497 ND</t>
  </si>
  <si>
    <t>50</t>
  </si>
  <si>
    <t>74 ND</t>
  </si>
  <si>
    <t>08.09.2023.</t>
  </si>
  <si>
    <t>59 NA</t>
  </si>
  <si>
    <t>2 ND / 15 NDiA</t>
  </si>
  <si>
    <t>478 ND</t>
  </si>
  <si>
    <t>26/20</t>
  </si>
  <si>
    <t>100 ND/ 536 ND</t>
  </si>
  <si>
    <t>49 NA</t>
  </si>
  <si>
    <t>97 NDiA</t>
  </si>
  <si>
    <t>15.09.2023.</t>
  </si>
  <si>
    <t>5/20</t>
  </si>
  <si>
    <t>30 ND/ 432 ND</t>
  </si>
  <si>
    <t>480 ND</t>
  </si>
  <si>
    <t>22.09.2023.</t>
  </si>
  <si>
    <t>96 NDiA</t>
  </si>
  <si>
    <t>6/20</t>
  </si>
  <si>
    <t>107 ND/ 536 ND</t>
  </si>
  <si>
    <t>487 ND</t>
  </si>
  <si>
    <t>29.09.2023.</t>
  </si>
  <si>
    <t>493 ND</t>
  </si>
  <si>
    <t>22 NA / 8 NA</t>
  </si>
  <si>
    <t>52 ND / 85 ND</t>
  </si>
  <si>
    <t>115 ND/ 540 ND</t>
  </si>
  <si>
    <t>73 ND</t>
  </si>
  <si>
    <t>06.10.2023.</t>
  </si>
  <si>
    <t>30.09.2023.</t>
  </si>
  <si>
    <t>46 ND / 91 ND</t>
  </si>
  <si>
    <t>15 NA</t>
  </si>
  <si>
    <t>42 NA</t>
  </si>
  <si>
    <t>40/20</t>
  </si>
  <si>
    <t>6/0</t>
  </si>
  <si>
    <t>502 ND</t>
  </si>
  <si>
    <t>13.10.2023.</t>
  </si>
  <si>
    <t>11/7/0</t>
  </si>
  <si>
    <t>23 NA / 8 NA</t>
  </si>
  <si>
    <t>13 NA</t>
  </si>
  <si>
    <t>30</t>
  </si>
  <si>
    <t>45 NA</t>
  </si>
  <si>
    <t>52</t>
  </si>
  <si>
    <t>50/30</t>
  </si>
  <si>
    <t>2/0</t>
  </si>
  <si>
    <t>510 ND</t>
  </si>
  <si>
    <t>20.10.2023.</t>
  </si>
  <si>
    <t>1/1</t>
  </si>
  <si>
    <t>21 NA / 8 NA</t>
  </si>
  <si>
    <t>41 ND / 98 ND</t>
  </si>
  <si>
    <t>10 NA</t>
  </si>
  <si>
    <t>17/0/0</t>
  </si>
  <si>
    <t>81 ND</t>
  </si>
  <si>
    <t>520 ND</t>
  </si>
  <si>
    <t>140 ND/ 560 ND</t>
  </si>
  <si>
    <t>27.10.2023.</t>
  </si>
  <si>
    <t>100 NDiA</t>
  </si>
  <si>
    <t>150 ND/ 565 ND</t>
  </si>
  <si>
    <t>03.11.2023.</t>
  </si>
  <si>
    <t>31.10.2023.</t>
  </si>
  <si>
    <t>19/3</t>
  </si>
  <si>
    <t>83 ND</t>
  </si>
  <si>
    <t>39 NA</t>
  </si>
  <si>
    <t>552 ND</t>
  </si>
  <si>
    <t>10.11.2023.</t>
  </si>
  <si>
    <t>20/0</t>
  </si>
  <si>
    <t>22/0/0</t>
  </si>
  <si>
    <t xml:space="preserve">17 NA </t>
  </si>
  <si>
    <t>37 ND / 112 ND</t>
  </si>
  <si>
    <t>7 NA</t>
  </si>
  <si>
    <t>80/30</t>
  </si>
  <si>
    <t>159 ND/ 575 ND</t>
  </si>
  <si>
    <t>556 ND</t>
  </si>
  <si>
    <r>
      <rPr>
        <b/>
        <sz val="12"/>
        <color theme="1"/>
        <rFont val="Calibri"/>
        <family val="2"/>
        <charset val="238"/>
        <scheme val="minor"/>
      </rPr>
      <t xml:space="preserve">IAD-a </t>
    </r>
    <r>
      <rPr>
        <b/>
        <sz val="11"/>
        <color theme="1"/>
        <rFont val="Calibri"/>
        <family val="2"/>
        <charset val="238"/>
        <scheme val="minor"/>
      </rPr>
      <t xml:space="preserve"> 
      H267N /  HG658V2 / Zyxel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</si>
  <si>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 VIP4302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</si>
  <si>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VIP5305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</si>
  <si>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EKT DIN4805V 4K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</si>
  <si>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EKT DIN7005V HD</t>
    </r>
  </si>
  <si>
    <t>ONT 
(HUAWEI)</t>
  </si>
  <si>
    <t>ONT
(NOKIA)</t>
  </si>
  <si>
    <r>
      <t xml:space="preserve">Stanje demontirane ispravne i </t>
    </r>
    <r>
      <rPr>
        <b/>
        <sz val="14"/>
        <color rgb="FFFF0000"/>
        <rFont val="Calibri"/>
        <family val="2"/>
        <charset val="238"/>
        <scheme val="minor"/>
      </rPr>
      <t>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</si>
  <si>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VIP4205/Arris VIP1113</t>
    </r>
  </si>
  <si>
    <r>
      <rPr>
        <b/>
        <sz val="12"/>
        <color theme="1"/>
        <rFont val="Calibri"/>
        <family val="2"/>
        <charset val="238"/>
        <scheme val="minor"/>
      </rPr>
      <t>ONT</t>
    </r>
    <r>
      <rPr>
        <b/>
        <sz val="11"/>
        <color theme="1"/>
        <rFont val="Calibri"/>
        <family val="2"/>
        <charset val="238"/>
        <scheme val="minor"/>
      </rPr>
      <t xml:space="preserve"> 
(HUAWEI)</t>
    </r>
  </si>
  <si>
    <r>
      <t xml:space="preserve">Stanje demontirane ispravne i </t>
    </r>
    <r>
      <rPr>
        <b/>
        <sz val="14"/>
        <color rgb="FFFF0000"/>
        <rFont val="Calibri"/>
        <family val="2"/>
        <charset val="238"/>
        <scheme val="minor"/>
      </rPr>
      <t>nekompletne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</si>
  <si>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t>*Napomena: ND- nema daljinski,  NA- nema adapter, NDiA- nema daljinski i adapter</t>
  </si>
  <si>
    <t>17.11.2023.</t>
  </si>
  <si>
    <t>2 ND / 14 NDiA</t>
  </si>
  <si>
    <t>576 ND</t>
  </si>
  <si>
    <t>24.11.2023.</t>
  </si>
  <si>
    <t>37 ND / 107 ND</t>
  </si>
  <si>
    <t>19/0</t>
  </si>
  <si>
    <t>82 ND</t>
  </si>
  <si>
    <t>23</t>
  </si>
  <si>
    <t>44 NA</t>
  </si>
  <si>
    <t>104 NDiA</t>
  </si>
  <si>
    <t>586 ND</t>
  </si>
  <si>
    <t>55</t>
  </si>
  <si>
    <t>2 ND / 13 NDiA</t>
  </si>
  <si>
    <t>160 ND/ 580 ND</t>
  </si>
  <si>
    <t>01.12.2023.</t>
  </si>
  <si>
    <t xml:space="preserve">11 NA </t>
  </si>
  <si>
    <t>12 ND / 107 ND</t>
  </si>
  <si>
    <t>86 ND</t>
  </si>
  <si>
    <t>30.11.2023.</t>
  </si>
  <si>
    <t>67</t>
  </si>
  <si>
    <t>160 ND/ 585 ND</t>
  </si>
  <si>
    <t>14 NA</t>
  </si>
  <si>
    <t>601 ND</t>
  </si>
  <si>
    <t>08.12.2023.</t>
  </si>
  <si>
    <t xml:space="preserve">14 NA </t>
  </si>
  <si>
    <t>55 NA</t>
  </si>
  <si>
    <t>5 NA</t>
  </si>
  <si>
    <t>610 ND</t>
  </si>
  <si>
    <t>105 NDiA</t>
  </si>
  <si>
    <t>70</t>
  </si>
  <si>
    <t>15.12.2023.</t>
  </si>
  <si>
    <t>27/0</t>
  </si>
  <si>
    <t>98 ND</t>
  </si>
  <si>
    <t>53 NA</t>
  </si>
  <si>
    <t>611 ND</t>
  </si>
  <si>
    <t>80/36</t>
  </si>
  <si>
    <t>22.12.2023.</t>
  </si>
  <si>
    <t>29/0</t>
  </si>
  <si>
    <t>15/0/0</t>
  </si>
  <si>
    <t xml:space="preserve">12 NA </t>
  </si>
  <si>
    <t>12 ND / 112 ND</t>
  </si>
  <si>
    <t>72</t>
  </si>
  <si>
    <t>19 NA</t>
  </si>
  <si>
    <t>615 ND</t>
  </si>
  <si>
    <t>29.12.2023.</t>
  </si>
  <si>
    <t>12/0/0</t>
  </si>
  <si>
    <t>50 NA</t>
  </si>
  <si>
    <t>18/0</t>
  </si>
  <si>
    <t>97 ND</t>
  </si>
  <si>
    <t>21</t>
  </si>
  <si>
    <t>119 NDiA</t>
  </si>
  <si>
    <t>73</t>
  </si>
  <si>
    <t>2 ND / 12 NDiA</t>
  </si>
  <si>
    <t>628 ND</t>
  </si>
  <si>
    <t>82/36</t>
  </si>
  <si>
    <t>169 ND/ 590 ND</t>
  </si>
  <si>
    <t>05.01.2024.</t>
  </si>
  <si>
    <t>31.12.2023.</t>
  </si>
  <si>
    <t>633 ND</t>
  </si>
  <si>
    <t>16/0</t>
  </si>
  <si>
    <t>96 ND</t>
  </si>
  <si>
    <t>162 ND/ 590 ND</t>
  </si>
  <si>
    <t>12.01.2024.</t>
  </si>
  <si>
    <t>95 ND</t>
  </si>
  <si>
    <t>10/0/0</t>
  </si>
  <si>
    <t xml:space="preserve">16 NA </t>
  </si>
  <si>
    <t>12 ND / 117 ND</t>
  </si>
  <si>
    <t>3 NA</t>
  </si>
  <si>
    <t>635 ND</t>
  </si>
  <si>
    <t>100/40</t>
  </si>
  <si>
    <t>180 ND/ 630 ND</t>
  </si>
  <si>
    <t>19.01.2024.</t>
  </si>
  <si>
    <t>62</t>
  </si>
  <si>
    <t>185 ND/ 640 ND</t>
  </si>
  <si>
    <t>638 ND</t>
  </si>
  <si>
    <t>26.01.2024.</t>
  </si>
  <si>
    <t>642 ND</t>
  </si>
  <si>
    <t>13/0/0</t>
  </si>
  <si>
    <t xml:space="preserve">18 NA </t>
  </si>
  <si>
    <t>22 ND / 117 ND</t>
  </si>
  <si>
    <t>6 NA</t>
  </si>
  <si>
    <t>185 ND/ 645 ND</t>
  </si>
  <si>
    <t>64</t>
  </si>
  <si>
    <t>STB-ova  
EKT DIN7005V HD</t>
  </si>
  <si>
    <t>STB-ova  
EKT DIN4805V 4K</t>
  </si>
  <si>
    <t>02.02.2024.</t>
  </si>
  <si>
    <t>31.01.2024.</t>
  </si>
  <si>
    <t>10/0</t>
  </si>
  <si>
    <t xml:space="preserve">21 NA </t>
  </si>
  <si>
    <t>22 ND / 113 ND</t>
  </si>
  <si>
    <t>*</t>
  </si>
  <si>
    <t>*od 829 kom DTH STB-a , 700 su demontirani</t>
  </si>
  <si>
    <t>43</t>
  </si>
  <si>
    <t>*nije dostavljeno</t>
  </si>
  <si>
    <t>680 ND</t>
  </si>
  <si>
    <t>34 NDiA</t>
  </si>
  <si>
    <t>181 NDiA</t>
  </si>
  <si>
    <t>09.02.2024.</t>
  </si>
  <si>
    <t>16 NA</t>
  </si>
  <si>
    <t>176 NDiA</t>
  </si>
  <si>
    <t>47</t>
  </si>
  <si>
    <t>32 NDiA</t>
  </si>
  <si>
    <t>11/0</t>
  </si>
  <si>
    <t>99 ND</t>
  </si>
  <si>
    <t>185 ND/ 650 ND</t>
  </si>
  <si>
    <t>724 ND</t>
  </si>
  <si>
    <t>*od 1060 demontiranih ispravnih STB-ova je 1050</t>
  </si>
  <si>
    <t>16.02.2024.</t>
  </si>
  <si>
    <t>9/0</t>
  </si>
  <si>
    <t>102 ND</t>
  </si>
  <si>
    <t>14/0/0</t>
  </si>
  <si>
    <t xml:space="preserve">19 NA </t>
  </si>
  <si>
    <t>24 ND / 117 ND</t>
  </si>
  <si>
    <t>42</t>
  </si>
  <si>
    <t>131 NDiA</t>
  </si>
  <si>
    <t>185 ND/ 660 ND</t>
  </si>
  <si>
    <t>31 NDiA</t>
  </si>
  <si>
    <t>730 ND</t>
  </si>
  <si>
    <t>*od 1910 demontiranih ispravnih STB-ova je 1900</t>
  </si>
  <si>
    <t>23.02.2024.</t>
  </si>
  <si>
    <t xml:space="preserve">22 NA </t>
  </si>
  <si>
    <t>90/45</t>
  </si>
  <si>
    <t>187 ND/ 665 ND</t>
  </si>
  <si>
    <t>147 NDiA</t>
  </si>
  <si>
    <t>8 NDiA</t>
  </si>
  <si>
    <t>737 ND</t>
  </si>
  <si>
    <t>*od 1610 STB-ova, 1600 je demontiranih ispravnih</t>
  </si>
  <si>
    <t>111 ND</t>
  </si>
  <si>
    <t>01.03.2024.</t>
  </si>
  <si>
    <t>119 ND</t>
  </si>
  <si>
    <t>158 NDiA</t>
  </si>
  <si>
    <t>28 NDiA</t>
  </si>
  <si>
    <t>95/40</t>
  </si>
  <si>
    <t>*od 1766 STB-ova, 1756 je demontiranih ispravnih</t>
  </si>
  <si>
    <t>*od 651 LNB, 150 je demontiranih ispravnih</t>
  </si>
  <si>
    <t>*od 1135 Antena, 300 je demontiranih ispravnih</t>
  </si>
  <si>
    <t>742 ND</t>
  </si>
  <si>
    <t>29.02.2024.</t>
  </si>
  <si>
    <t>08.03.2024.</t>
  </si>
  <si>
    <t>21 ND / 122 ND</t>
  </si>
  <si>
    <t>54 NA</t>
  </si>
  <si>
    <t>124 ND</t>
  </si>
  <si>
    <t>39</t>
  </si>
  <si>
    <t>137 NDiA</t>
  </si>
  <si>
    <t>750 ND</t>
  </si>
  <si>
    <t>*od 1594 STB-ova, 1584 je demontiranih ispravnih</t>
  </si>
  <si>
    <t>*od 599 LNB, 150 je demontiranih ispravnih</t>
  </si>
  <si>
    <t>*od 1085 Antena, 300 je demontiranih ispravnih</t>
  </si>
  <si>
    <t>15.03.2024.</t>
  </si>
  <si>
    <t xml:space="preserve">25 NA </t>
  </si>
  <si>
    <t>129 ND</t>
  </si>
  <si>
    <t>21 NDiA</t>
  </si>
  <si>
    <t>764 ND</t>
  </si>
  <si>
    <t>34</t>
  </si>
  <si>
    <t>157 NDiA</t>
  </si>
  <si>
    <t>*od 1336 STB-ova, 1326 je demontiranih ispravnih</t>
  </si>
  <si>
    <t>*od 1069 Antena, 284 je demontiranih ispravnih</t>
  </si>
  <si>
    <t>23 NDiA</t>
  </si>
  <si>
    <t>22.03.2024.</t>
  </si>
  <si>
    <t xml:space="preserve">24 NA </t>
  </si>
  <si>
    <t>21 ND / 125 ND</t>
  </si>
  <si>
    <t>127 ND</t>
  </si>
  <si>
    <t>32</t>
  </si>
  <si>
    <t>159 NDiA</t>
  </si>
  <si>
    <t>27 NDiA</t>
  </si>
  <si>
    <t>24 NDiA</t>
  </si>
  <si>
    <t>*od 981 STB-ova, 971 je demontiranih ispravnih</t>
  </si>
  <si>
    <t>*od 859 Antena, 234 je demontiranih ispravnih</t>
  </si>
  <si>
    <t>784 ND</t>
  </si>
  <si>
    <t>29.03.2024.</t>
  </si>
  <si>
    <t>7/0</t>
  </si>
  <si>
    <t xml:space="preserve">32 NA </t>
  </si>
  <si>
    <t>1/0</t>
  </si>
  <si>
    <t>128 NDiA</t>
  </si>
  <si>
    <t>*od 781 STB-ova, 771 je demontiranih ispravnih</t>
  </si>
  <si>
    <t>*od 819 Antena, 234 je demontiranih ispravnih</t>
  </si>
  <si>
    <t>826 ND</t>
  </si>
  <si>
    <t>98/40</t>
  </si>
  <si>
    <t>187 ND/ 668 ND</t>
  </si>
  <si>
    <t>05.04.2024.</t>
  </si>
  <si>
    <t>31.03.2024.</t>
  </si>
  <si>
    <t>*od 701 STB-ova, 701 je demontiranih ispravnih</t>
  </si>
  <si>
    <t>128 ND</t>
  </si>
  <si>
    <t>861 ND</t>
  </si>
  <si>
    <t>38 NDiA</t>
  </si>
  <si>
    <t>12.04.2024.</t>
  </si>
  <si>
    <t>135 ND</t>
  </si>
  <si>
    <t>24 ND / 119 ND</t>
  </si>
  <si>
    <t>164 NDiA</t>
  </si>
  <si>
    <t>45 NDiA</t>
  </si>
  <si>
    <t>865 ND</t>
  </si>
  <si>
    <t>19.04.2024.</t>
  </si>
  <si>
    <t>140 ND</t>
  </si>
  <si>
    <t>36</t>
  </si>
  <si>
    <t>163 NDiA</t>
  </si>
  <si>
    <t>50 NDiA</t>
  </si>
  <si>
    <t>890 ND</t>
  </si>
  <si>
    <t>98/46</t>
  </si>
  <si>
    <t>26.04.2024.</t>
  </si>
  <si>
    <t>7/0/0</t>
  </si>
  <si>
    <t>21 ND / 117 ND</t>
  </si>
  <si>
    <t>148 ND</t>
  </si>
  <si>
    <t>54 NDiA</t>
  </si>
  <si>
    <t>860 ND</t>
  </si>
  <si>
    <t>187 ND/ 670 ND</t>
  </si>
  <si>
    <t>7</t>
  </si>
  <si>
    <t>10.05.2024.</t>
  </si>
  <si>
    <t>151 ND</t>
  </si>
  <si>
    <t>162 NDiA</t>
  </si>
  <si>
    <t xml:space="preserve">28 NA </t>
  </si>
  <si>
    <t>903 ND</t>
  </si>
  <si>
    <t>30.04.2024.</t>
  </si>
  <si>
    <t>17.05.2024.</t>
  </si>
  <si>
    <t xml:space="preserve">31 NA </t>
  </si>
  <si>
    <t>21 ND / 120 ND</t>
  </si>
  <si>
    <t>38</t>
  </si>
  <si>
    <t>883 ND</t>
  </si>
  <si>
    <t>52 NDiA</t>
  </si>
  <si>
    <t>70/40</t>
  </si>
  <si>
    <t>24.05.2024.</t>
  </si>
  <si>
    <t>885 ND</t>
  </si>
  <si>
    <t>9/0/0</t>
  </si>
  <si>
    <t xml:space="preserve">30 NA </t>
  </si>
  <si>
    <t>37</t>
  </si>
  <si>
    <t>165 NDiA</t>
  </si>
  <si>
    <t>153 ND</t>
  </si>
  <si>
    <t>55 NDiA</t>
  </si>
  <si>
    <t>31.05.2024.</t>
  </si>
  <si>
    <t>11/0/0</t>
  </si>
  <si>
    <t>881 ND</t>
  </si>
  <si>
    <t>161 NDiA</t>
  </si>
  <si>
    <t>40/40</t>
  </si>
  <si>
    <t>59 NDiA</t>
  </si>
  <si>
    <t>07.06.2024.</t>
  </si>
  <si>
    <t>162 ND</t>
  </si>
  <si>
    <t>48 NA</t>
  </si>
  <si>
    <t>146 NDiA</t>
  </si>
  <si>
    <t>873 ND</t>
  </si>
  <si>
    <t>35</t>
  </si>
  <si>
    <t>60 NDiA</t>
  </si>
  <si>
    <t>14.06.2024.</t>
  </si>
  <si>
    <t>50/40</t>
  </si>
  <si>
    <t>190 ND/ 678 ND</t>
  </si>
  <si>
    <t>20 NDiA</t>
  </si>
  <si>
    <t>875 ND</t>
  </si>
  <si>
    <t>68 NDiA</t>
  </si>
  <si>
    <t>`</t>
  </si>
  <si>
    <t>21.06.2024.</t>
  </si>
  <si>
    <t>11</t>
  </si>
  <si>
    <t>70 NDiA</t>
  </si>
  <si>
    <t>165 ND</t>
  </si>
  <si>
    <t>28.06.2024.</t>
  </si>
  <si>
    <t>8</t>
  </si>
  <si>
    <t>150 NDiA</t>
  </si>
  <si>
    <t>190 ND/ 670 ND</t>
  </si>
  <si>
    <t>4 NA</t>
  </si>
  <si>
    <t>168 ND</t>
  </si>
  <si>
    <t>2 NA</t>
  </si>
  <si>
    <t>850 ND</t>
  </si>
  <si>
    <t>6 ND</t>
  </si>
  <si>
    <t>36 ND</t>
  </si>
  <si>
    <t>05.07.2024.</t>
  </si>
  <si>
    <t>170 ND</t>
  </si>
  <si>
    <t>864 ND</t>
  </si>
  <si>
    <t>61 NA</t>
  </si>
  <si>
    <t>156 NDiA</t>
  </si>
  <si>
    <t>3 NDiA</t>
  </si>
  <si>
    <t>24/40</t>
  </si>
  <si>
    <t>76 NDiA</t>
  </si>
  <si>
    <t>30.06.2024.</t>
  </si>
  <si>
    <t>12.07.2024.</t>
  </si>
  <si>
    <t>40</t>
  </si>
  <si>
    <t>5 NDiA</t>
  </si>
  <si>
    <t>868 ND</t>
  </si>
  <si>
    <t>149 NDiA</t>
  </si>
  <si>
    <t>37 ND</t>
  </si>
  <si>
    <t>79 NDiA</t>
  </si>
  <si>
    <t>172 ND</t>
  </si>
  <si>
    <t>19.07.2024.</t>
  </si>
  <si>
    <t>40 ND</t>
  </si>
  <si>
    <t>20/40</t>
  </si>
  <si>
    <t>15</t>
  </si>
  <si>
    <t>26.07.2024.</t>
  </si>
  <si>
    <t>882 ND</t>
  </si>
  <si>
    <t>22/40</t>
  </si>
  <si>
    <t>31.07.2024.</t>
  </si>
  <si>
    <t>02.08.2024.</t>
  </si>
  <si>
    <t>9 NDiA</t>
  </si>
  <si>
    <t>888 ND</t>
  </si>
  <si>
    <t>9</t>
  </si>
  <si>
    <t>195 ND</t>
  </si>
  <si>
    <t>09.08.2024.</t>
  </si>
  <si>
    <t>10</t>
  </si>
  <si>
    <t>41 ND</t>
  </si>
  <si>
    <t>197 ND</t>
  </si>
  <si>
    <t>5 ND</t>
  </si>
  <si>
    <t>16.08.2024.</t>
  </si>
  <si>
    <t>201 ND</t>
  </si>
  <si>
    <t>8 NA</t>
  </si>
  <si>
    <t>7 NDiA</t>
  </si>
  <si>
    <t>0 NA</t>
  </si>
  <si>
    <t>58 NA</t>
  </si>
  <si>
    <t>23.08.2024.</t>
  </si>
  <si>
    <t>12</t>
  </si>
  <si>
    <t>46 NA</t>
  </si>
  <si>
    <t>202 ND</t>
  </si>
  <si>
    <t>30.08.2024.</t>
  </si>
  <si>
    <t>887 ND</t>
  </si>
  <si>
    <t>204 ND</t>
  </si>
  <si>
    <t>05.09.2024.</t>
  </si>
  <si>
    <t>31.08.2024.</t>
  </si>
  <si>
    <t>30/40</t>
  </si>
  <si>
    <t>43 ND</t>
  </si>
  <si>
    <t>879 ND</t>
  </si>
  <si>
    <t>43 NA</t>
  </si>
  <si>
    <t>13.09.2024.</t>
  </si>
  <si>
    <t>205 ND</t>
  </si>
  <si>
    <t>895 ND</t>
  </si>
  <si>
    <t>20.09.2024.</t>
  </si>
  <si>
    <t>36/40</t>
  </si>
  <si>
    <t>1 ND</t>
  </si>
  <si>
    <t>901 ND</t>
  </si>
  <si>
    <t>211 ND</t>
  </si>
  <si>
    <t>27.09.2024.</t>
  </si>
  <si>
    <t>934 ND</t>
  </si>
  <si>
    <t>81 NA</t>
  </si>
  <si>
    <t>201 NDiA</t>
  </si>
  <si>
    <t>56 NA</t>
  </si>
  <si>
    <t>219 ND</t>
  </si>
  <si>
    <t>04.10.2024.</t>
  </si>
  <si>
    <t>933 ND</t>
  </si>
  <si>
    <t>88 NA</t>
  </si>
  <si>
    <t>42 NDiA</t>
  </si>
  <si>
    <t>63 NA</t>
  </si>
  <si>
    <t>30.09.2024.</t>
  </si>
  <si>
    <t>11.10.2024.</t>
  </si>
  <si>
    <t>400</t>
  </si>
  <si>
    <t>519 ND</t>
  </si>
  <si>
    <t>4 ND</t>
  </si>
  <si>
    <t xml:space="preserve">15 NA </t>
  </si>
  <si>
    <t>11 NA</t>
  </si>
  <si>
    <t>223 ND</t>
  </si>
  <si>
    <t>42/40</t>
  </si>
  <si>
    <t>192 ND/ 680 ND</t>
  </si>
  <si>
    <t>0 NDiA</t>
  </si>
  <si>
    <t>18.10.2024.</t>
  </si>
  <si>
    <t>131</t>
  </si>
  <si>
    <t>48/40</t>
  </si>
  <si>
    <t>13</t>
  </si>
  <si>
    <t>523 ND</t>
  </si>
  <si>
    <t>137 NA</t>
  </si>
  <si>
    <t>184 ND</t>
  </si>
  <si>
    <t>25.10.2024.</t>
  </si>
  <si>
    <t>56 ND</t>
  </si>
  <si>
    <t>185 ND</t>
  </si>
  <si>
    <t>148</t>
  </si>
  <si>
    <t>45/40</t>
  </si>
  <si>
    <t>01.11.2024.</t>
  </si>
  <si>
    <t>31.10.2024.</t>
  </si>
  <si>
    <t>390</t>
  </si>
  <si>
    <t>506 ND</t>
  </si>
  <si>
    <t>187 ND</t>
  </si>
  <si>
    <t>75</t>
  </si>
  <si>
    <t>08.11.2024.</t>
  </si>
  <si>
    <t>351</t>
  </si>
  <si>
    <t>536 ND</t>
  </si>
  <si>
    <t>192 ND</t>
  </si>
  <si>
    <t>156</t>
  </si>
  <si>
    <t>125 NA</t>
  </si>
  <si>
    <t>195 NDiA</t>
  </si>
  <si>
    <t>185 ND/ 656 ND</t>
  </si>
  <si>
    <t>06.09.2024.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</si>
</sst>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\.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theme="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10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/>
    <xf numFmtId="0" fontId="13" fillId="8" borderId="4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1" fillId="14" borderId="29" xfId="0" applyFont="1" applyFill="1" applyBorder="1" applyAlignment="1">
      <alignment horizontal="center" vertical="center" wrapText="1"/>
    </xf>
    <xf numFmtId="0" fontId="23" fillId="16" borderId="3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1" fillId="14" borderId="31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9" fillId="0" borderId="16" xfId="0" applyFont="1" applyBorder="1"/>
    <xf numFmtId="0" fontId="0" fillId="0" borderId="21" xfId="0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26" fillId="16" borderId="0" xfId="0" applyFont="1" applyFill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" fontId="0" fillId="0" borderId="0" xfId="0" applyNumberFormat="1"/>
    <xf numFmtId="0" fontId="27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top"/>
    </xf>
    <xf numFmtId="0" fontId="7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top"/>
    </xf>
    <xf numFmtId="0" fontId="28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7" fillId="0" borderId="0" xfId="0" applyNumberFormat="1" applyFont="1"/>
    <xf numFmtId="0" fontId="9" fillId="0" borderId="0" xfId="0" applyFont="1"/>
    <xf numFmtId="0" fontId="8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0" fillId="20" borderId="53" xfId="0" applyFill="1" applyBorder="1"/>
    <xf numFmtId="0" fontId="2" fillId="0" borderId="0" xfId="0" applyFont="1"/>
    <xf numFmtId="0" fontId="8" fillId="0" borderId="3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0" fillId="0" borderId="0" xfId="0" applyFont="1" applyAlignment="1">
      <alignment horizontal="center"/>
    </xf>
    <xf numFmtId="0" fontId="30" fillId="0" borderId="4" xfId="0" applyFont="1" applyBorder="1" applyAlignment="1">
      <alignment horizontal="center"/>
    </xf>
    <xf numFmtId="0" fontId="32" fillId="8" borderId="4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8" fillId="0" borderId="7" xfId="0" applyFont="1" applyBorder="1" applyAlignment="1">
      <alignment horizontal="center" vertical="center"/>
    </xf>
    <xf numFmtId="0" fontId="7" fillId="0" borderId="10" xfId="0" applyFont="1" applyBorder="1"/>
    <xf numFmtId="0" fontId="7" fillId="0" borderId="9" xfId="0" applyFont="1" applyBorder="1"/>
    <xf numFmtId="0" fontId="7" fillId="21" borderId="3" xfId="0" applyFont="1" applyFill="1" applyBorder="1"/>
    <xf numFmtId="0" fontId="7" fillId="21" borderId="2" xfId="0" applyFont="1" applyFill="1" applyBorder="1"/>
    <xf numFmtId="0" fontId="7" fillId="21" borderId="54" xfId="0" applyFont="1" applyFill="1" applyBorder="1" applyAlignment="1">
      <alignment wrapText="1"/>
    </xf>
    <xf numFmtId="0" fontId="7" fillId="21" borderId="22" xfId="0" applyFont="1" applyFill="1" applyBorder="1" applyAlignment="1">
      <alignment wrapText="1"/>
    </xf>
    <xf numFmtId="0" fontId="31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7" fillId="0" borderId="0" xfId="0" applyNumberFormat="1" applyFont="1" applyAlignment="1">
      <alignment wrapText="1"/>
    </xf>
    <xf numFmtId="0" fontId="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4" xfId="0" applyFont="1" applyBorder="1" applyAlignment="1">
      <alignment horizontal="center"/>
    </xf>
    <xf numFmtId="0" fontId="33" fillId="0" borderId="0" xfId="0" applyFont="1"/>
    <xf numFmtId="0" fontId="30" fillId="0" borderId="3" xfId="0" applyFont="1" applyBorder="1" applyAlignment="1">
      <alignment horizontal="center"/>
    </xf>
    <xf numFmtId="0" fontId="8" fillId="0" borderId="5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30" fillId="0" borderId="0" xfId="0" applyFont="1"/>
    <xf numFmtId="0" fontId="7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1" fontId="7" fillId="0" borderId="8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/>
    <xf numFmtId="0" fontId="7" fillId="2" borderId="9" xfId="0" applyFont="1" applyFill="1" applyBorder="1"/>
    <xf numFmtId="0" fontId="7" fillId="7" borderId="8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49" fontId="7" fillId="7" borderId="5" xfId="0" applyNumberFormat="1" applyFont="1" applyFill="1" applyBorder="1" applyAlignment="1">
      <alignment horizontal="center"/>
    </xf>
    <xf numFmtId="49" fontId="7" fillId="7" borderId="6" xfId="0" applyNumberFormat="1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 vertical="center" wrapText="1"/>
    </xf>
    <xf numFmtId="49" fontId="7" fillId="7" borderId="2" xfId="0" applyNumberFormat="1" applyFont="1" applyFill="1" applyBorder="1" applyAlignment="1">
      <alignment horizontal="center" vertical="center" wrapText="1"/>
    </xf>
    <xf numFmtId="49" fontId="7" fillId="7" borderId="5" xfId="0" applyNumberFormat="1" applyFont="1" applyFill="1" applyBorder="1" applyAlignment="1">
      <alignment horizontal="center" vertical="center" wrapText="1"/>
    </xf>
    <xf numFmtId="49" fontId="7" fillId="7" borderId="6" xfId="0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1" fontId="14" fillId="0" borderId="8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/>
    </xf>
    <xf numFmtId="49" fontId="7" fillId="10" borderId="1" xfId="0" applyNumberFormat="1" applyFont="1" applyFill="1" applyBorder="1" applyAlignment="1">
      <alignment horizontal="center" vertical="center" wrapText="1"/>
    </xf>
    <xf numFmtId="49" fontId="7" fillId="10" borderId="2" xfId="0" applyNumberFormat="1" applyFont="1" applyFill="1" applyBorder="1" applyAlignment="1">
      <alignment horizontal="center" vertical="center" wrapText="1"/>
    </xf>
    <xf numFmtId="49" fontId="7" fillId="10" borderId="21" xfId="0" applyNumberFormat="1" applyFont="1" applyFill="1" applyBorder="1" applyAlignment="1">
      <alignment horizontal="center" vertical="center" wrapText="1"/>
    </xf>
    <xf numFmtId="49" fontId="7" fillId="10" borderId="22" xfId="0" applyNumberFormat="1" applyFont="1" applyFill="1" applyBorder="1" applyAlignment="1">
      <alignment horizontal="center" vertical="center" wrapText="1"/>
    </xf>
    <xf numFmtId="49" fontId="7" fillId="10" borderId="5" xfId="0" applyNumberFormat="1" applyFont="1" applyFill="1" applyBorder="1" applyAlignment="1">
      <alignment horizontal="center" vertical="center" wrapText="1"/>
    </xf>
    <xf numFmtId="49" fontId="7" fillId="10" borderId="6" xfId="0" applyNumberFormat="1" applyFont="1" applyFill="1" applyBorder="1" applyAlignment="1">
      <alignment horizontal="center" vertical="center" wrapText="1"/>
    </xf>
    <xf numFmtId="49" fontId="7" fillId="10" borderId="8" xfId="0" applyNumberFormat="1" applyFont="1" applyFill="1" applyBorder="1" applyAlignment="1">
      <alignment horizontal="center"/>
    </xf>
    <xf numFmtId="49" fontId="7" fillId="10" borderId="9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49" fontId="7" fillId="9" borderId="8" xfId="0" applyNumberFormat="1" applyFont="1" applyFill="1" applyBorder="1" applyAlignment="1">
      <alignment horizontal="center"/>
    </xf>
    <xf numFmtId="49" fontId="7" fillId="9" borderId="9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9" fontId="7" fillId="6" borderId="3" xfId="0" applyNumberFormat="1" applyFont="1" applyFill="1" applyBorder="1" applyAlignment="1">
      <alignment horizontal="center" vertical="center" wrapText="1"/>
    </xf>
    <xf numFmtId="49" fontId="7" fillId="6" borderId="54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49" fontId="7" fillId="5" borderId="21" xfId="0" applyNumberFormat="1" applyFont="1" applyFill="1" applyBorder="1" applyAlignment="1">
      <alignment horizontal="center" vertical="center" wrapText="1"/>
    </xf>
    <xf numFmtId="49" fontId="7" fillId="5" borderId="22" xfId="0" applyNumberFormat="1" applyFont="1" applyFill="1" applyBorder="1" applyAlignment="1">
      <alignment horizontal="center" vertical="center" wrapText="1"/>
    </xf>
    <xf numFmtId="49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49" fontId="7" fillId="6" borderId="4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49" fontId="7" fillId="6" borderId="7" xfId="0" applyNumberFormat="1" applyFont="1" applyFill="1" applyBorder="1" applyAlignment="1">
      <alignment horizontal="center" vertical="center" wrapText="1"/>
    </xf>
    <xf numFmtId="49" fontId="7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 wrapText="1"/>
    </xf>
    <xf numFmtId="49" fontId="1" fillId="6" borderId="7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0" fillId="7" borderId="4" xfId="0" applyNumberForma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/>
    </xf>
    <xf numFmtId="1" fontId="12" fillId="0" borderId="19" xfId="0" applyNumberFormat="1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 wrapText="1"/>
    </xf>
    <xf numFmtId="1" fontId="12" fillId="0" borderId="19" xfId="0" applyNumberFormat="1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49" fontId="0" fillId="5" borderId="21" xfId="0" applyNumberFormat="1" applyFill="1" applyBorder="1" applyAlignment="1">
      <alignment horizontal="center" vertical="center" wrapText="1"/>
    </xf>
    <xf numFmtId="49" fontId="0" fillId="5" borderId="22" xfId="0" applyNumberFormat="1" applyFill="1" applyBorder="1" applyAlignment="1">
      <alignment horizontal="center" vertical="center" wrapText="1"/>
    </xf>
    <xf numFmtId="49" fontId="0" fillId="6" borderId="4" xfId="0" applyNumberForma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16" fontId="10" fillId="8" borderId="8" xfId="0" applyNumberFormat="1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49" fontId="7" fillId="9" borderId="10" xfId="0" applyNumberFormat="1" applyFont="1" applyFill="1" applyBorder="1" applyAlignment="1">
      <alignment horizontal="center"/>
    </xf>
    <xf numFmtId="49" fontId="7" fillId="9" borderId="5" xfId="0" applyNumberFormat="1" applyFont="1" applyFill="1" applyBorder="1" applyAlignment="1">
      <alignment horizontal="center"/>
    </xf>
    <xf numFmtId="49" fontId="7" fillId="9" borderId="6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7" fillId="7" borderId="10" xfId="0" applyNumberFormat="1" applyFont="1" applyFill="1" applyBorder="1" applyAlignment="1">
      <alignment horizontal="center"/>
    </xf>
    <xf numFmtId="49" fontId="7" fillId="7" borderId="9" xfId="0" applyNumberFormat="1" applyFont="1" applyFill="1" applyBorder="1" applyAlignment="1">
      <alignment horizontal="center"/>
    </xf>
    <xf numFmtId="49" fontId="0" fillId="7" borderId="1" xfId="0" applyNumberFormat="1" applyFill="1" applyBorder="1" applyAlignment="1">
      <alignment horizontal="center" vertical="center" wrapText="1"/>
    </xf>
    <xf numFmtId="49" fontId="0" fillId="7" borderId="2" xfId="0" applyNumberFormat="1" applyFill="1" applyBorder="1" applyAlignment="1">
      <alignment horizontal="center" vertical="center" wrapText="1"/>
    </xf>
    <xf numFmtId="49" fontId="0" fillId="7" borderId="5" xfId="0" applyNumberFormat="1" applyFill="1" applyBorder="1" applyAlignment="1">
      <alignment horizontal="center" vertical="center" wrapText="1"/>
    </xf>
    <xf numFmtId="49" fontId="0" fillId="7" borderId="6" xfId="0" applyNumberForma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vertical="center"/>
    </xf>
    <xf numFmtId="0" fontId="22" fillId="11" borderId="37" xfId="0" applyFont="1" applyFill="1" applyBorder="1" applyAlignment="1">
      <alignment vertical="center"/>
    </xf>
    <xf numFmtId="0" fontId="21" fillId="0" borderId="4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2" fillId="11" borderId="37" xfId="0" applyFont="1" applyFill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22" fillId="19" borderId="46" xfId="0" applyFont="1" applyFill="1" applyBorder="1" applyAlignment="1">
      <alignment horizontal="center" vertical="center"/>
    </xf>
    <xf numFmtId="0" fontId="22" fillId="19" borderId="37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15" fillId="0" borderId="50" xfId="0" applyFont="1" applyBorder="1"/>
    <xf numFmtId="0" fontId="15" fillId="0" borderId="5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22" fillId="19" borderId="23" xfId="0" applyFont="1" applyFill="1" applyBorder="1" applyAlignment="1">
      <alignment horizontal="center" vertical="center" wrapText="1"/>
    </xf>
    <xf numFmtId="0" fontId="22" fillId="19" borderId="24" xfId="0" applyFont="1" applyFill="1" applyBorder="1" applyAlignment="1">
      <alignment horizontal="center" vertical="center" wrapText="1"/>
    </xf>
    <xf numFmtId="0" fontId="22" fillId="19" borderId="34" xfId="0" applyFont="1" applyFill="1" applyBorder="1" applyAlignment="1">
      <alignment horizontal="center" vertical="center" wrapText="1"/>
    </xf>
    <xf numFmtId="0" fontId="22" fillId="19" borderId="35" xfId="0" applyFont="1" applyFill="1" applyBorder="1" applyAlignment="1">
      <alignment horizontal="center" vertical="center" wrapText="1"/>
    </xf>
    <xf numFmtId="0" fontId="22" fillId="19" borderId="25" xfId="0" applyFont="1" applyFill="1" applyBorder="1" applyAlignment="1">
      <alignment horizontal="center" vertical="center" wrapText="1"/>
    </xf>
    <xf numFmtId="0" fontId="22" fillId="19" borderId="26" xfId="0" applyFont="1" applyFill="1" applyBorder="1" applyAlignment="1">
      <alignment horizontal="center" vertical="center" wrapText="1"/>
    </xf>
    <xf numFmtId="0" fontId="22" fillId="18" borderId="13" xfId="0" applyFont="1" applyFill="1" applyBorder="1" applyAlignment="1">
      <alignment horizontal="center" vertical="center"/>
    </xf>
    <xf numFmtId="0" fontId="22" fillId="18" borderId="38" xfId="0" applyFont="1" applyFill="1" applyBorder="1" applyAlignment="1">
      <alignment horizontal="center" vertical="center"/>
    </xf>
    <xf numFmtId="0" fontId="22" fillId="11" borderId="43" xfId="0" applyFont="1" applyFill="1" applyBorder="1" applyAlignment="1">
      <alignment horizontal="center" vertical="center"/>
    </xf>
    <xf numFmtId="0" fontId="22" fillId="11" borderId="44" xfId="0" applyFont="1" applyFill="1" applyBorder="1" applyAlignment="1">
      <alignment horizontal="center" vertical="center"/>
    </xf>
    <xf numFmtId="0" fontId="22" fillId="16" borderId="48" xfId="0" applyFont="1" applyFill="1" applyBorder="1" applyAlignment="1">
      <alignment horizontal="center" vertical="center" wrapText="1"/>
    </xf>
    <xf numFmtId="0" fontId="22" fillId="16" borderId="49" xfId="0" applyFont="1" applyFill="1" applyBorder="1" applyAlignment="1">
      <alignment horizontal="center" vertical="center" wrapText="1"/>
    </xf>
    <xf numFmtId="0" fontId="22" fillId="16" borderId="44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1" fillId="15" borderId="41" xfId="0" applyFont="1" applyFill="1" applyBorder="1" applyAlignment="1">
      <alignment horizontal="center" vertical="center" wrapText="1"/>
    </xf>
    <xf numFmtId="0" fontId="21" fillId="15" borderId="42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 wrapText="1"/>
    </xf>
    <xf numFmtId="0" fontId="18" fillId="11" borderId="24" xfId="0" applyFont="1" applyFill="1" applyBorder="1" applyAlignment="1">
      <alignment horizontal="center" vertical="center" wrapText="1"/>
    </xf>
    <xf numFmtId="0" fontId="18" fillId="11" borderId="25" xfId="0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 wrapText="1"/>
    </xf>
    <xf numFmtId="0" fontId="19" fillId="12" borderId="39" xfId="0" applyFont="1" applyFill="1" applyBorder="1" applyAlignment="1">
      <alignment horizontal="center" vertical="center" wrapText="1"/>
    </xf>
    <xf numFmtId="0" fontId="19" fillId="12" borderId="24" xfId="0" applyFont="1" applyFill="1" applyBorder="1" applyAlignment="1">
      <alignment horizontal="center" vertical="center" wrapText="1"/>
    </xf>
    <xf numFmtId="0" fontId="21" fillId="12" borderId="40" xfId="0" applyFont="1" applyFill="1" applyBorder="1" applyAlignment="1">
      <alignment horizontal="center" vertical="center" wrapText="1"/>
    </xf>
    <xf numFmtId="0" fontId="21" fillId="12" borderId="26" xfId="0" applyFont="1" applyFill="1" applyBorder="1" applyAlignment="1">
      <alignment horizontal="center" vertical="center" wrapText="1"/>
    </xf>
    <xf numFmtId="0" fontId="19" fillId="13" borderId="39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21" fillId="13" borderId="40" xfId="0" applyFont="1" applyFill="1" applyBorder="1" applyAlignment="1">
      <alignment horizontal="center" vertical="center" wrapText="1"/>
    </xf>
    <xf numFmtId="0" fontId="21" fillId="13" borderId="26" xfId="0" applyFont="1" applyFill="1" applyBorder="1" applyAlignment="1">
      <alignment horizontal="center" vertical="center" wrapText="1"/>
    </xf>
    <xf numFmtId="0" fontId="22" fillId="13" borderId="40" xfId="0" applyFont="1" applyFill="1" applyBorder="1" applyAlignment="1">
      <alignment horizontal="center" vertical="center" wrapText="1"/>
    </xf>
    <xf numFmtId="0" fontId="22" fillId="13" borderId="26" xfId="0" applyFont="1" applyFill="1" applyBorder="1" applyAlignment="1">
      <alignment horizontal="center" vertical="center" wrapText="1"/>
    </xf>
    <xf numFmtId="0" fontId="22" fillId="11" borderId="13" xfId="0" applyFont="1" applyFill="1" applyBorder="1" applyAlignment="1">
      <alignment vertical="center" wrapText="1"/>
    </xf>
    <xf numFmtId="0" fontId="22" fillId="11" borderId="37" xfId="0" applyFont="1" applyFill="1" applyBorder="1" applyAlignment="1">
      <alignment vertical="center" wrapText="1"/>
    </xf>
    <xf numFmtId="0" fontId="23" fillId="0" borderId="4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16" borderId="46" xfId="0" applyFont="1" applyFill="1" applyBorder="1" applyAlignment="1">
      <alignment horizontal="center" vertical="center"/>
    </xf>
    <xf numFmtId="0" fontId="23" fillId="16" borderId="37" xfId="0" applyFont="1" applyFill="1" applyBorder="1" applyAlignment="1">
      <alignment horizontal="center" vertical="center"/>
    </xf>
    <xf numFmtId="0" fontId="21" fillId="16" borderId="46" xfId="0" applyFont="1" applyFill="1" applyBorder="1" applyAlignment="1">
      <alignment horizontal="center" vertical="center"/>
    </xf>
    <xf numFmtId="0" fontId="21" fillId="16" borderId="37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center" vertical="center"/>
    </xf>
    <xf numFmtId="0" fontId="24" fillId="11" borderId="37" xfId="0" applyFont="1" applyFill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2" fillId="16" borderId="45" xfId="0" applyFont="1" applyFill="1" applyBorder="1" applyAlignment="1">
      <alignment horizontal="center" vertical="center" wrapText="1"/>
    </xf>
    <xf numFmtId="0" fontId="22" fillId="16" borderId="33" xfId="0" applyFont="1" applyFill="1" applyBorder="1" applyAlignment="1">
      <alignment horizontal="center" vertical="center" wrapText="1"/>
    </xf>
    <xf numFmtId="0" fontId="22" fillId="16" borderId="31" xfId="0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17" borderId="39" xfId="0" applyFont="1" applyFill="1" applyBorder="1" applyAlignment="1">
      <alignment horizontal="center" vertical="center" wrapText="1"/>
    </xf>
    <xf numFmtId="0" fontId="19" fillId="17" borderId="24" xfId="0" applyFont="1" applyFill="1" applyBorder="1" applyAlignment="1">
      <alignment horizontal="center" vertical="center" wrapText="1"/>
    </xf>
    <xf numFmtId="0" fontId="21" fillId="17" borderId="47" xfId="0" applyFont="1" applyFill="1" applyBorder="1" applyAlignment="1">
      <alignment horizontal="center" vertical="center" wrapText="1"/>
    </xf>
    <xf numFmtId="0" fontId="21" fillId="17" borderId="35" xfId="0" applyFont="1" applyFill="1" applyBorder="1" applyAlignment="1">
      <alignment horizontal="center" vertical="center" wrapText="1"/>
    </xf>
    <xf numFmtId="0" fontId="21" fillId="17" borderId="40" xfId="0" applyFont="1" applyFill="1" applyBorder="1" applyAlignment="1">
      <alignment horizontal="center" vertical="center" wrapText="1"/>
    </xf>
    <xf numFmtId="0" fontId="21" fillId="17" borderId="26" xfId="0" applyFont="1" applyFill="1" applyBorder="1" applyAlignment="1">
      <alignment horizontal="center" vertical="center" wrapText="1"/>
    </xf>
    <xf numFmtId="0" fontId="22" fillId="0" borderId="27" xfId="0" applyFont="1" applyBorder="1" applyAlignment="1">
      <alignment vertical="center"/>
    </xf>
    <xf numFmtId="0" fontId="22" fillId="18" borderId="37" xfId="0" applyFont="1" applyFill="1" applyBorder="1" applyAlignment="1">
      <alignment horizontal="center" vertical="center"/>
    </xf>
    <xf numFmtId="0" fontId="22" fillId="18" borderId="46" xfId="0" applyFont="1" applyFill="1" applyBorder="1" applyAlignment="1">
      <alignment horizontal="center" vertical="center"/>
    </xf>
    <xf numFmtId="0" fontId="21" fillId="13" borderId="13" xfId="0" applyFont="1" applyFill="1" applyBorder="1" applyAlignment="1">
      <alignment horizontal="center" vertical="center"/>
    </xf>
    <xf numFmtId="0" fontId="21" fillId="13" borderId="37" xfId="0" applyFont="1" applyFill="1" applyBorder="1" applyAlignment="1">
      <alignment horizontal="center" vertical="center"/>
    </xf>
    <xf numFmtId="0" fontId="15" fillId="0" borderId="33" xfId="0" applyFont="1" applyBorder="1"/>
    <xf numFmtId="0" fontId="15" fillId="0" borderId="33" xfId="0" applyFont="1" applyBorder="1" applyAlignment="1">
      <alignment vertical="center"/>
    </xf>
    <xf numFmtId="0" fontId="17" fillId="0" borderId="4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22" fillId="13" borderId="13" xfId="0" applyFont="1" applyFill="1" applyBorder="1" applyAlignment="1">
      <alignment horizontal="center" vertical="center"/>
    </xf>
    <xf numFmtId="0" fontId="22" fillId="13" borderId="37" xfId="0" applyFont="1" applyFill="1" applyBorder="1" applyAlignment="1">
      <alignment horizontal="center" vertical="center"/>
    </xf>
    <xf numFmtId="0" fontId="22" fillId="15" borderId="38" xfId="0" applyFont="1" applyFill="1" applyBorder="1" applyAlignment="1">
      <alignment horizontal="center" vertical="center"/>
    </xf>
    <xf numFmtId="0" fontId="22" fillId="15" borderId="37" xfId="0" applyFont="1" applyFill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0" fontId="22" fillId="15" borderId="46" xfId="0" applyFont="1" applyFill="1" applyBorder="1" applyAlignment="1">
      <alignment horizontal="center" vertical="center"/>
    </xf>
    <xf numFmtId="0" fontId="22" fillId="15" borderId="23" xfId="0" applyFont="1" applyFill="1" applyBorder="1" applyAlignment="1">
      <alignment horizontal="center" vertical="center" wrapText="1"/>
    </xf>
    <xf numFmtId="0" fontId="22" fillId="15" borderId="24" xfId="0" applyFont="1" applyFill="1" applyBorder="1" applyAlignment="1">
      <alignment horizontal="center" vertical="center" wrapText="1"/>
    </xf>
    <xf numFmtId="0" fontId="22" fillId="15" borderId="25" xfId="0" applyFont="1" applyFill="1" applyBorder="1" applyAlignment="1">
      <alignment horizontal="center" vertical="center" wrapText="1"/>
    </xf>
    <xf numFmtId="0" fontId="22" fillId="15" borderId="26" xfId="0" applyFont="1" applyFill="1" applyBorder="1" applyAlignment="1">
      <alignment horizontal="center" vertical="center" wrapText="1"/>
    </xf>
    <xf numFmtId="0" fontId="21" fillId="15" borderId="39" xfId="0" applyFont="1" applyFill="1" applyBorder="1" applyAlignment="1">
      <alignment horizontal="center" vertical="center" wrapText="1"/>
    </xf>
    <xf numFmtId="0" fontId="21" fillId="15" borderId="24" xfId="0" applyFont="1" applyFill="1" applyBorder="1" applyAlignment="1">
      <alignment horizontal="center" vertical="center" wrapText="1"/>
    </xf>
    <xf numFmtId="0" fontId="21" fillId="15" borderId="40" xfId="0" applyFont="1" applyFill="1" applyBorder="1" applyAlignment="1">
      <alignment horizontal="center" vertical="center" wrapText="1"/>
    </xf>
    <xf numFmtId="0" fontId="21" fillId="15" borderId="26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vertical="center"/>
    </xf>
    <xf numFmtId="0" fontId="22" fillId="11" borderId="44" xfId="0" applyFont="1" applyFill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center" vertical="center"/>
    </xf>
    <xf numFmtId="49" fontId="10" fillId="8" borderId="9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49" fontId="4" fillId="9" borderId="8" xfId="0" applyNumberFormat="1" applyFont="1" applyFill="1" applyBorder="1" applyAlignment="1">
      <alignment horizontal="center"/>
    </xf>
    <xf numFmtId="49" fontId="4" fillId="9" borderId="9" xfId="0" applyNumberFormat="1" applyFont="1" applyFill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2" fillId="8" borderId="8" xfId="0" applyFont="1" applyFill="1" applyBorder="1" applyAlignment="1">
      <alignment horizontal="center" vertical="center"/>
    </xf>
    <xf numFmtId="0" fontId="32" fillId="8" borderId="9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49" fontId="7" fillId="7" borderId="3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workbookViewId="0">
      <selection activeCell="P24" sqref="P24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68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39">
        <v>790</v>
      </c>
      <c r="D5" s="240"/>
      <c r="E5" s="239">
        <v>0</v>
      </c>
      <c r="F5" s="240"/>
      <c r="G5" s="239">
        <v>0</v>
      </c>
      <c r="H5" s="240"/>
      <c r="I5" s="239">
        <v>4616</v>
      </c>
      <c r="J5" s="240"/>
      <c r="K5" s="239">
        <v>1572</v>
      </c>
      <c r="L5" s="240"/>
      <c r="M5" s="1">
        <v>860</v>
      </c>
      <c r="N5" s="1">
        <v>1104</v>
      </c>
      <c r="O5" s="1">
        <v>1059</v>
      </c>
      <c r="P5" s="1">
        <v>4573</v>
      </c>
      <c r="Q5" s="1">
        <v>2803</v>
      </c>
    </row>
    <row r="6" spans="1:17" ht="13.5" customHeight="1" x14ac:dyDescent="0.3">
      <c r="A6" s="211" t="s">
        <v>11</v>
      </c>
      <c r="B6" s="212"/>
      <c r="C6" s="149">
        <v>527</v>
      </c>
      <c r="D6" s="150"/>
      <c r="E6" s="239">
        <v>85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27</v>
      </c>
      <c r="N6" s="1">
        <v>8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376</v>
      </c>
      <c r="D7" s="240"/>
      <c r="E7" s="239">
        <v>13</v>
      </c>
      <c r="F7" s="240"/>
      <c r="G7" s="239">
        <v>7</v>
      </c>
      <c r="H7" s="240"/>
      <c r="I7" s="239">
        <v>598</v>
      </c>
      <c r="J7" s="240"/>
      <c r="K7" s="239">
        <v>553</v>
      </c>
      <c r="L7" s="240"/>
      <c r="M7" s="1">
        <v>562</v>
      </c>
      <c r="N7" s="1">
        <v>27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275</v>
      </c>
      <c r="D8" s="240"/>
      <c r="E8" s="239">
        <v>0</v>
      </c>
      <c r="F8" s="240"/>
      <c r="G8" s="239">
        <v>0</v>
      </c>
      <c r="H8" s="240"/>
      <c r="I8" s="239">
        <v>114</v>
      </c>
      <c r="J8" s="240"/>
      <c r="K8" s="239">
        <v>0</v>
      </c>
      <c r="L8" s="240"/>
      <c r="M8" s="1">
        <v>86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132</v>
      </c>
      <c r="D9" s="240"/>
      <c r="E9" s="239">
        <v>0</v>
      </c>
      <c r="F9" s="240"/>
      <c r="G9" s="239">
        <v>0</v>
      </c>
      <c r="H9" s="240"/>
      <c r="I9" s="239">
        <v>80</v>
      </c>
      <c r="J9" s="240"/>
      <c r="K9" s="239">
        <v>77</v>
      </c>
      <c r="L9" s="240"/>
      <c r="M9" s="1">
        <v>190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345</v>
      </c>
      <c r="D10" s="240"/>
      <c r="E10" s="239">
        <v>0</v>
      </c>
      <c r="F10" s="240"/>
      <c r="G10" s="239">
        <v>0</v>
      </c>
      <c r="H10" s="240"/>
      <c r="I10" s="239">
        <v>240</v>
      </c>
      <c r="J10" s="240"/>
      <c r="K10" s="239">
        <v>10</v>
      </c>
      <c r="L10" s="240"/>
      <c r="M10" s="1">
        <v>198</v>
      </c>
      <c r="N10" s="1">
        <v>82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134</v>
      </c>
      <c r="D11" s="246"/>
      <c r="E11" s="239">
        <v>14</v>
      </c>
      <c r="F11" s="240"/>
      <c r="G11" s="239">
        <v>0</v>
      </c>
      <c r="H11" s="240"/>
      <c r="I11" s="239">
        <v>155</v>
      </c>
      <c r="J11" s="240"/>
      <c r="K11" s="239">
        <v>105</v>
      </c>
      <c r="L11" s="240"/>
      <c r="M11" s="1">
        <v>130</v>
      </c>
      <c r="N11" s="1">
        <v>180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250</v>
      </c>
      <c r="D12" s="246"/>
      <c r="E12" s="239">
        <v>0</v>
      </c>
      <c r="F12" s="240"/>
      <c r="G12" s="239">
        <v>0</v>
      </c>
      <c r="H12" s="240"/>
      <c r="I12" s="239">
        <v>159</v>
      </c>
      <c r="J12" s="240"/>
      <c r="K12" s="239">
        <v>50</v>
      </c>
      <c r="L12" s="240"/>
      <c r="M12" s="1">
        <v>200</v>
      </c>
      <c r="N12" s="1">
        <v>160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245</v>
      </c>
      <c r="D13" s="246"/>
      <c r="E13" s="239">
        <v>0</v>
      </c>
      <c r="F13" s="240"/>
      <c r="G13" s="239">
        <v>2</v>
      </c>
      <c r="H13" s="240"/>
      <c r="I13" s="239">
        <v>240</v>
      </c>
      <c r="J13" s="240"/>
      <c r="K13" s="239">
        <v>123</v>
      </c>
      <c r="L13" s="240"/>
      <c r="M13" s="1">
        <v>87</v>
      </c>
      <c r="N13" s="1">
        <v>37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402</v>
      </c>
      <c r="D14" s="248"/>
      <c r="E14" s="247">
        <v>0</v>
      </c>
      <c r="F14" s="248"/>
      <c r="G14" s="247">
        <v>0</v>
      </c>
      <c r="H14" s="248"/>
      <c r="I14" s="239">
        <v>202</v>
      </c>
      <c r="J14" s="240"/>
      <c r="K14" s="247">
        <v>62</v>
      </c>
      <c r="L14" s="248"/>
      <c r="M14" s="2">
        <v>265</v>
      </c>
      <c r="N14" s="2">
        <v>20</v>
      </c>
      <c r="O14" s="2">
        <v>0</v>
      </c>
      <c r="P14" s="2">
        <v>40</v>
      </c>
      <c r="Q14" s="2">
        <v>47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4229</v>
      </c>
      <c r="P15" s="2">
        <v>2830</v>
      </c>
      <c r="Q15" s="2">
        <v>2726</v>
      </c>
    </row>
    <row r="16" spans="1:17" ht="15" thickBot="1" x14ac:dyDescent="0.35">
      <c r="A16" s="199" t="s">
        <v>20</v>
      </c>
      <c r="B16" s="200"/>
      <c r="C16" s="201">
        <f>SUM(C5:D15)</f>
        <v>3476</v>
      </c>
      <c r="D16" s="202"/>
      <c r="E16" s="201">
        <f>SUM(E5:F15)</f>
        <v>112</v>
      </c>
      <c r="F16" s="202"/>
      <c r="G16" s="201">
        <f>SUM(G5:H15)</f>
        <v>9</v>
      </c>
      <c r="H16" s="202"/>
      <c r="I16" s="201">
        <f>SUM(I5:J15)</f>
        <v>6404</v>
      </c>
      <c r="J16" s="202"/>
      <c r="K16" s="201">
        <f>SUM(K5:L15)</f>
        <v>2552</v>
      </c>
      <c r="L16" s="202"/>
      <c r="M16" s="3">
        <f>SUM(M5:M15)</f>
        <v>2605</v>
      </c>
      <c r="N16" s="4">
        <f>SUM(N5:N15)</f>
        <v>1642</v>
      </c>
      <c r="O16" s="4">
        <f>SUM(O5:O15)</f>
        <v>5378</v>
      </c>
      <c r="P16" s="4">
        <f>SUM(P5:P15)</f>
        <v>7536</v>
      </c>
      <c r="Q16" s="5">
        <f>SUM(Q5:Q15)</f>
        <v>5655</v>
      </c>
    </row>
    <row r="17" spans="1:17" x14ac:dyDescent="0.3">
      <c r="A17" s="190" t="s">
        <v>21</v>
      </c>
      <c r="B17" s="191"/>
      <c r="C17" s="251">
        <v>790</v>
      </c>
      <c r="D17" s="252"/>
      <c r="E17" s="253">
        <v>0</v>
      </c>
      <c r="F17" s="254"/>
      <c r="G17" s="255">
        <v>0</v>
      </c>
      <c r="H17" s="256"/>
      <c r="I17" s="255">
        <v>4616</v>
      </c>
      <c r="J17" s="256"/>
      <c r="K17" s="253">
        <v>1572</v>
      </c>
      <c r="L17" s="254"/>
      <c r="M17" s="9">
        <v>860</v>
      </c>
      <c r="N17" s="9">
        <v>1104</v>
      </c>
      <c r="O17" s="9">
        <v>859</v>
      </c>
      <c r="P17" s="9">
        <v>4437</v>
      </c>
      <c r="Q17" s="9">
        <v>2673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68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222</v>
      </c>
      <c r="D25" s="259"/>
      <c r="E25" s="260" t="s">
        <v>72</v>
      </c>
      <c r="F25" s="261"/>
      <c r="G25" s="258">
        <v>0</v>
      </c>
      <c r="H25" s="259"/>
      <c r="I25" s="258">
        <v>189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14</v>
      </c>
      <c r="D26" s="259"/>
      <c r="E26" s="260" t="s">
        <v>25</v>
      </c>
      <c r="F26" s="261"/>
      <c r="G26" s="258">
        <v>0</v>
      </c>
      <c r="H26" s="259"/>
      <c r="I26" s="258">
        <v>30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90</v>
      </c>
      <c r="D27" s="259"/>
      <c r="E27" s="260" t="s">
        <v>45</v>
      </c>
      <c r="F27" s="261"/>
      <c r="G27" s="258">
        <v>0</v>
      </c>
      <c r="H27" s="259"/>
      <c r="I27" s="258">
        <v>26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67</v>
      </c>
      <c r="D28" s="261"/>
      <c r="E28" s="260" t="s">
        <v>57</v>
      </c>
      <c r="F28" s="261"/>
      <c r="G28" s="258">
        <v>0</v>
      </c>
      <c r="H28" s="259"/>
      <c r="I28" s="258">
        <v>3</v>
      </c>
      <c r="J28" s="259"/>
      <c r="K28" s="8">
        <v>2</v>
      </c>
    </row>
    <row r="29" spans="1:17" x14ac:dyDescent="0.3">
      <c r="A29" s="101" t="s">
        <v>16</v>
      </c>
      <c r="B29" s="102"/>
      <c r="C29" s="270" t="s">
        <v>56</v>
      </c>
      <c r="D29" s="271"/>
      <c r="E29" s="260" t="s">
        <v>60</v>
      </c>
      <c r="F29" s="261"/>
      <c r="G29" s="258">
        <v>0</v>
      </c>
      <c r="H29" s="259"/>
      <c r="I29" s="258">
        <v>30</v>
      </c>
      <c r="J29" s="259"/>
      <c r="K29" s="8">
        <v>8</v>
      </c>
    </row>
    <row r="30" spans="1:17" x14ac:dyDescent="0.3">
      <c r="A30" s="101" t="s">
        <v>17</v>
      </c>
      <c r="B30" s="102"/>
      <c r="C30" s="272">
        <v>22</v>
      </c>
      <c r="D30" s="271"/>
      <c r="E30" s="258">
        <v>0</v>
      </c>
      <c r="F30" s="259"/>
      <c r="G30" s="258">
        <v>0</v>
      </c>
      <c r="H30" s="259"/>
      <c r="I30" s="258">
        <v>10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2</v>
      </c>
      <c r="D31" s="271"/>
      <c r="E31" s="260" t="s">
        <v>25</v>
      </c>
      <c r="F31" s="261"/>
      <c r="G31" s="258">
        <v>0</v>
      </c>
      <c r="H31" s="259"/>
      <c r="I31" s="258">
        <v>4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9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68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73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71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54</v>
      </c>
      <c r="D40" s="259"/>
      <c r="E40" s="276" t="s">
        <v>70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74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76</v>
      </c>
      <c r="D42" s="271"/>
      <c r="E42" s="276" t="s">
        <v>75</v>
      </c>
      <c r="F42" s="277"/>
      <c r="G42" s="258">
        <v>0</v>
      </c>
      <c r="H42" s="259"/>
      <c r="I42" s="258" t="s">
        <v>59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55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69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61</v>
      </c>
      <c r="D49" s="282"/>
      <c r="E49" s="281" t="s">
        <v>64</v>
      </c>
      <c r="F49" s="282"/>
      <c r="G49" s="281" t="s">
        <v>66</v>
      </c>
      <c r="H49" s="282"/>
      <c r="I49" s="281" t="s">
        <v>68</v>
      </c>
      <c r="J49" s="282"/>
    </row>
    <row r="50" spans="1:10" x14ac:dyDescent="0.3">
      <c r="A50" s="284" t="s">
        <v>30</v>
      </c>
      <c r="B50" s="285"/>
      <c r="C50" s="286">
        <v>14825</v>
      </c>
      <c r="D50" s="287"/>
      <c r="E50" s="286">
        <v>14808</v>
      </c>
      <c r="F50" s="287"/>
      <c r="G50" s="286">
        <v>14780</v>
      </c>
      <c r="H50" s="287"/>
      <c r="I50" s="286">
        <v>14742</v>
      </c>
      <c r="J50" s="287"/>
    </row>
    <row r="51" spans="1:10" x14ac:dyDescent="0.3">
      <c r="A51" s="284" t="s">
        <v>31</v>
      </c>
      <c r="B51" s="285"/>
      <c r="C51" s="286">
        <v>8427</v>
      </c>
      <c r="D51" s="287"/>
      <c r="E51" s="286">
        <v>8417</v>
      </c>
      <c r="F51" s="287"/>
      <c r="G51" s="286">
        <v>8413</v>
      </c>
      <c r="H51" s="287"/>
      <c r="I51" s="286">
        <v>8419</v>
      </c>
      <c r="J51" s="287"/>
    </row>
    <row r="52" spans="1:10" x14ac:dyDescent="0.3">
      <c r="A52" s="284" t="s">
        <v>32</v>
      </c>
      <c r="B52" s="285"/>
      <c r="C52" s="286">
        <v>116496</v>
      </c>
      <c r="D52" s="287"/>
      <c r="E52" s="286">
        <v>116497</v>
      </c>
      <c r="F52" s="287"/>
      <c r="G52" s="286">
        <v>116494</v>
      </c>
      <c r="H52" s="287"/>
      <c r="I52" s="286">
        <v>116576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52619</v>
      </c>
      <c r="D54" s="287"/>
      <c r="E54" s="286">
        <v>52580</v>
      </c>
      <c r="F54" s="287"/>
      <c r="G54" s="286">
        <v>52569</v>
      </c>
      <c r="H54" s="287"/>
      <c r="I54" s="286">
        <v>52521</v>
      </c>
      <c r="J54" s="287"/>
    </row>
    <row r="55" spans="1:10" x14ac:dyDescent="0.3">
      <c r="A55" s="284" t="s">
        <v>53</v>
      </c>
      <c r="B55" s="285"/>
      <c r="C55" s="286">
        <v>1686</v>
      </c>
      <c r="D55" s="287"/>
      <c r="E55" s="286">
        <v>1841</v>
      </c>
      <c r="F55" s="287"/>
      <c r="G55" s="286">
        <v>1971</v>
      </c>
      <c r="H55" s="287"/>
      <c r="I55" s="286">
        <v>2106</v>
      </c>
      <c r="J55" s="287"/>
    </row>
    <row r="56" spans="1:10" x14ac:dyDescent="0.3">
      <c r="A56" s="284" t="s">
        <v>49</v>
      </c>
      <c r="B56" s="285"/>
      <c r="C56" s="286">
        <v>6882</v>
      </c>
      <c r="D56" s="287"/>
      <c r="E56" s="286">
        <v>7198</v>
      </c>
      <c r="F56" s="287"/>
      <c r="G56" s="286">
        <v>7476</v>
      </c>
      <c r="H56" s="287"/>
      <c r="I56" s="286">
        <v>7816</v>
      </c>
      <c r="J56" s="287"/>
    </row>
    <row r="57" spans="1:10" x14ac:dyDescent="0.3">
      <c r="A57" s="284" t="s">
        <v>35</v>
      </c>
      <c r="B57" s="285"/>
      <c r="C57" s="286">
        <v>1460</v>
      </c>
      <c r="D57" s="287"/>
      <c r="E57" s="286">
        <v>1462</v>
      </c>
      <c r="F57" s="287"/>
      <c r="G57" s="286">
        <v>1462</v>
      </c>
      <c r="H57" s="287"/>
      <c r="I57" s="286">
        <v>1464</v>
      </c>
      <c r="J57" s="287"/>
    </row>
    <row r="58" spans="1:10" x14ac:dyDescent="0.3">
      <c r="A58" s="120" t="s">
        <v>36</v>
      </c>
      <c r="B58" s="121"/>
      <c r="C58" s="103">
        <f>SUM(C50:D57)</f>
        <v>202635</v>
      </c>
      <c r="D58" s="104"/>
      <c r="E58" s="103">
        <f>SUM(E50:F57)</f>
        <v>203043</v>
      </c>
      <c r="F58" s="104"/>
      <c r="G58" s="103">
        <f>SUM(G50:H57)</f>
        <v>203405</v>
      </c>
      <c r="H58" s="104"/>
      <c r="I58" s="103">
        <f>SUM(I50:J57)</f>
        <v>203884</v>
      </c>
      <c r="J58" s="104"/>
    </row>
    <row r="60" spans="1:10" x14ac:dyDescent="0.3">
      <c r="A60" s="124" t="s">
        <v>37</v>
      </c>
      <c r="B60" s="125"/>
      <c r="C60" s="130" t="s">
        <v>61</v>
      </c>
      <c r="D60" s="131"/>
      <c r="E60" s="130" t="s">
        <v>63</v>
      </c>
      <c r="F60" s="131"/>
      <c r="G60" s="130" t="s">
        <v>66</v>
      </c>
      <c r="H60" s="131"/>
      <c r="I60" s="130" t="s">
        <v>68</v>
      </c>
      <c r="J60" s="131"/>
    </row>
    <row r="61" spans="1:10" x14ac:dyDescent="0.3">
      <c r="A61" s="126"/>
      <c r="B61" s="127"/>
      <c r="C61" s="288">
        <v>133493</v>
      </c>
      <c r="D61" s="289"/>
      <c r="E61" s="288">
        <v>133904</v>
      </c>
      <c r="F61" s="289"/>
      <c r="G61" s="288">
        <v>134249</v>
      </c>
      <c r="H61" s="289"/>
      <c r="I61" s="288">
        <v>134523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50</v>
      </c>
      <c r="D66" s="115"/>
      <c r="E66" s="114" t="s">
        <v>52</v>
      </c>
      <c r="F66" s="115"/>
      <c r="G66" s="114" t="s">
        <v>58</v>
      </c>
      <c r="H66" s="115"/>
      <c r="I66" s="114" t="s">
        <v>62</v>
      </c>
      <c r="J66" s="115"/>
    </row>
    <row r="67" spans="1:10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24637</v>
      </c>
      <c r="D69" s="287"/>
      <c r="E69" s="286">
        <v>25087</v>
      </c>
      <c r="F69" s="287"/>
      <c r="G69" s="286">
        <v>25535</v>
      </c>
      <c r="H69" s="287"/>
      <c r="I69" s="286">
        <v>25946</v>
      </c>
      <c r="J69" s="287"/>
    </row>
    <row r="70" spans="1:10" x14ac:dyDescent="0.3">
      <c r="A70" s="101" t="s">
        <v>13</v>
      </c>
      <c r="B70" s="102"/>
      <c r="C70" s="286">
        <v>6271</v>
      </c>
      <c r="D70" s="287"/>
      <c r="E70" s="286">
        <v>6348</v>
      </c>
      <c r="F70" s="287"/>
      <c r="G70" s="286">
        <v>6410</v>
      </c>
      <c r="H70" s="287"/>
      <c r="I70" s="286">
        <v>6472</v>
      </c>
      <c r="J70" s="287"/>
    </row>
    <row r="71" spans="1:10" x14ac:dyDescent="0.3">
      <c r="A71" s="107" t="s">
        <v>14</v>
      </c>
      <c r="B71" s="108"/>
      <c r="C71" s="286">
        <v>5145</v>
      </c>
      <c r="D71" s="287"/>
      <c r="E71" s="286">
        <v>5238</v>
      </c>
      <c r="F71" s="287"/>
      <c r="G71" s="286">
        <v>5313</v>
      </c>
      <c r="H71" s="287"/>
      <c r="I71" s="286">
        <v>5395</v>
      </c>
      <c r="J71" s="287"/>
    </row>
    <row r="72" spans="1:10" x14ac:dyDescent="0.3">
      <c r="A72" s="107" t="s">
        <v>41</v>
      </c>
      <c r="B72" s="108"/>
      <c r="C72" s="286">
        <v>883</v>
      </c>
      <c r="D72" s="287"/>
      <c r="E72" s="286">
        <v>935</v>
      </c>
      <c r="F72" s="287"/>
      <c r="G72" s="286">
        <v>968</v>
      </c>
      <c r="H72" s="287"/>
      <c r="I72" s="286">
        <v>1002</v>
      </c>
      <c r="J72" s="287"/>
    </row>
    <row r="73" spans="1:10" x14ac:dyDescent="0.3">
      <c r="A73" s="101" t="s">
        <v>15</v>
      </c>
      <c r="B73" s="102"/>
      <c r="C73" s="286">
        <v>3498</v>
      </c>
      <c r="D73" s="287"/>
      <c r="E73" s="286">
        <v>3590</v>
      </c>
      <c r="F73" s="287"/>
      <c r="G73" s="286">
        <v>3684</v>
      </c>
      <c r="H73" s="287"/>
      <c r="I73" s="286">
        <v>3746</v>
      </c>
      <c r="J73" s="287"/>
    </row>
    <row r="74" spans="1:10" x14ac:dyDescent="0.3">
      <c r="A74" s="107" t="s">
        <v>16</v>
      </c>
      <c r="B74" s="108"/>
      <c r="C74" s="286">
        <v>4069</v>
      </c>
      <c r="D74" s="287"/>
      <c r="E74" s="286">
        <v>4141</v>
      </c>
      <c r="F74" s="287"/>
      <c r="G74" s="286">
        <v>4191</v>
      </c>
      <c r="H74" s="287"/>
      <c r="I74" s="286">
        <v>4260</v>
      </c>
      <c r="J74" s="287"/>
    </row>
    <row r="75" spans="1:10" x14ac:dyDescent="0.3">
      <c r="A75" s="101" t="s">
        <v>17</v>
      </c>
      <c r="B75" s="102"/>
      <c r="C75" s="286">
        <v>5194</v>
      </c>
      <c r="D75" s="287"/>
      <c r="E75" s="286">
        <v>5346</v>
      </c>
      <c r="F75" s="287"/>
      <c r="G75" s="286">
        <v>5480</v>
      </c>
      <c r="H75" s="287"/>
      <c r="I75" s="286">
        <v>5630</v>
      </c>
      <c r="J75" s="287"/>
    </row>
    <row r="76" spans="1:10" x14ac:dyDescent="0.3">
      <c r="A76" s="107" t="s">
        <v>18</v>
      </c>
      <c r="B76" s="108"/>
      <c r="C76" s="286">
        <v>1324</v>
      </c>
      <c r="D76" s="287"/>
      <c r="E76" s="286">
        <v>1335</v>
      </c>
      <c r="F76" s="287"/>
      <c r="G76" s="286">
        <v>1344</v>
      </c>
      <c r="H76" s="287"/>
      <c r="I76" s="286">
        <v>1357</v>
      </c>
      <c r="J76" s="287"/>
    </row>
    <row r="77" spans="1:10" x14ac:dyDescent="0.3">
      <c r="A77" s="101" t="s">
        <v>19</v>
      </c>
      <c r="B77" s="102"/>
      <c r="C77" s="286">
        <v>4306</v>
      </c>
      <c r="D77" s="287"/>
      <c r="E77" s="286">
        <v>4404</v>
      </c>
      <c r="F77" s="287"/>
      <c r="G77" s="286">
        <v>4487</v>
      </c>
      <c r="H77" s="287"/>
      <c r="I77" s="286">
        <v>4531</v>
      </c>
      <c r="J77" s="287"/>
    </row>
    <row r="78" spans="1:10" x14ac:dyDescent="0.3">
      <c r="A78" s="105" t="s">
        <v>42</v>
      </c>
      <c r="B78" s="106"/>
      <c r="C78" s="103">
        <f>SUM(C69:C77)</f>
        <v>55327</v>
      </c>
      <c r="D78" s="104"/>
      <c r="E78" s="103">
        <f>SUM(E69:E77)</f>
        <v>56424</v>
      </c>
      <c r="F78" s="104"/>
      <c r="G78" s="103">
        <f>SUM(G69:G77)</f>
        <v>57412</v>
      </c>
      <c r="H78" s="104"/>
      <c r="I78" s="103">
        <f>SUM(I69:I77)</f>
        <v>58339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8"/>
  <sheetViews>
    <sheetView workbookViewId="0">
      <selection activeCell="C5" sqref="C5:Q5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77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39">
        <v>690</v>
      </c>
      <c r="D5" s="240"/>
      <c r="E5" s="239">
        <v>4080</v>
      </c>
      <c r="F5" s="240"/>
      <c r="G5" s="239">
        <v>3420</v>
      </c>
      <c r="H5" s="240"/>
      <c r="I5" s="239">
        <v>4052</v>
      </c>
      <c r="J5" s="240"/>
      <c r="K5" s="239">
        <v>1400</v>
      </c>
      <c r="L5" s="240"/>
      <c r="M5" s="1">
        <v>4620</v>
      </c>
      <c r="N5" s="1">
        <v>1104</v>
      </c>
      <c r="O5" s="1">
        <v>799</v>
      </c>
      <c r="P5" s="1">
        <v>4343</v>
      </c>
      <c r="Q5" s="1">
        <v>2573</v>
      </c>
    </row>
    <row r="6" spans="1:17" ht="13.5" customHeight="1" x14ac:dyDescent="0.3">
      <c r="A6" s="211" t="s">
        <v>11</v>
      </c>
      <c r="B6" s="212"/>
      <c r="C6" s="149">
        <v>800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418</v>
      </c>
      <c r="D7" s="240"/>
      <c r="E7" s="239">
        <v>13</v>
      </c>
      <c r="F7" s="240"/>
      <c r="G7" s="239">
        <v>7</v>
      </c>
      <c r="H7" s="240"/>
      <c r="I7" s="239">
        <v>426</v>
      </c>
      <c r="J7" s="240"/>
      <c r="K7" s="239">
        <v>454</v>
      </c>
      <c r="L7" s="240"/>
      <c r="M7" s="1">
        <v>517</v>
      </c>
      <c r="N7" s="1">
        <v>23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178</v>
      </c>
      <c r="D8" s="240"/>
      <c r="E8" s="239">
        <v>0</v>
      </c>
      <c r="F8" s="240"/>
      <c r="G8" s="239">
        <v>0</v>
      </c>
      <c r="H8" s="240"/>
      <c r="I8" s="239">
        <v>287</v>
      </c>
      <c r="J8" s="240"/>
      <c r="K8" s="239">
        <v>0</v>
      </c>
      <c r="L8" s="240"/>
      <c r="M8" s="1">
        <v>255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217</v>
      </c>
      <c r="D9" s="240"/>
      <c r="E9" s="239">
        <v>0</v>
      </c>
      <c r="F9" s="240"/>
      <c r="G9" s="239">
        <v>0</v>
      </c>
      <c r="H9" s="240"/>
      <c r="I9" s="239">
        <v>110</v>
      </c>
      <c r="J9" s="240"/>
      <c r="K9" s="239">
        <v>90</v>
      </c>
      <c r="L9" s="240"/>
      <c r="M9" s="1">
        <v>294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335</v>
      </c>
      <c r="D10" s="240"/>
      <c r="E10" s="239">
        <v>0</v>
      </c>
      <c r="F10" s="240"/>
      <c r="G10" s="239">
        <v>0</v>
      </c>
      <c r="H10" s="240"/>
      <c r="I10" s="239">
        <v>140</v>
      </c>
      <c r="J10" s="240"/>
      <c r="K10" s="239">
        <v>10</v>
      </c>
      <c r="L10" s="240"/>
      <c r="M10" s="1">
        <v>169</v>
      </c>
      <c r="N10" s="1">
        <v>70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234</v>
      </c>
      <c r="D11" s="246"/>
      <c r="E11" s="239">
        <v>14</v>
      </c>
      <c r="F11" s="240"/>
      <c r="G11" s="239">
        <v>0</v>
      </c>
      <c r="H11" s="240"/>
      <c r="I11" s="239">
        <v>130</v>
      </c>
      <c r="J11" s="240"/>
      <c r="K11" s="239">
        <v>98</v>
      </c>
      <c r="L11" s="240"/>
      <c r="M11" s="1">
        <v>127</v>
      </c>
      <c r="N11" s="1">
        <v>172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205</v>
      </c>
      <c r="D12" s="246"/>
      <c r="E12" s="239">
        <v>0</v>
      </c>
      <c r="F12" s="240"/>
      <c r="G12" s="239">
        <v>0</v>
      </c>
      <c r="H12" s="240"/>
      <c r="I12" s="239">
        <v>321</v>
      </c>
      <c r="J12" s="240"/>
      <c r="K12" s="239">
        <v>120</v>
      </c>
      <c r="L12" s="240"/>
      <c r="M12" s="1">
        <v>140</v>
      </c>
      <c r="N12" s="1">
        <v>115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198</v>
      </c>
      <c r="D13" s="246"/>
      <c r="E13" s="239">
        <v>0</v>
      </c>
      <c r="F13" s="240"/>
      <c r="G13" s="239">
        <v>2</v>
      </c>
      <c r="H13" s="240"/>
      <c r="I13" s="239">
        <v>240</v>
      </c>
      <c r="J13" s="240"/>
      <c r="K13" s="239">
        <v>99</v>
      </c>
      <c r="L13" s="240"/>
      <c r="M13" s="1">
        <v>30</v>
      </c>
      <c r="N13" s="1">
        <v>37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358</v>
      </c>
      <c r="D14" s="248"/>
      <c r="E14" s="247">
        <v>0</v>
      </c>
      <c r="F14" s="248"/>
      <c r="G14" s="247">
        <v>0</v>
      </c>
      <c r="H14" s="248"/>
      <c r="I14" s="239">
        <v>230</v>
      </c>
      <c r="J14" s="240"/>
      <c r="K14" s="247">
        <v>656</v>
      </c>
      <c r="L14" s="248"/>
      <c r="M14" s="2">
        <v>216</v>
      </c>
      <c r="N14" s="2">
        <v>20</v>
      </c>
      <c r="O14" s="2">
        <v>0</v>
      </c>
      <c r="P14" s="2">
        <v>40</v>
      </c>
      <c r="Q14" s="2">
        <v>47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3893</v>
      </c>
      <c r="P15" s="2">
        <v>2723</v>
      </c>
      <c r="Q15" s="2">
        <v>2599</v>
      </c>
    </row>
    <row r="16" spans="1:17" ht="15" thickBot="1" x14ac:dyDescent="0.35">
      <c r="A16" s="199" t="s">
        <v>20</v>
      </c>
      <c r="B16" s="200"/>
      <c r="C16" s="201">
        <f>SUM(C5:D15)</f>
        <v>3633</v>
      </c>
      <c r="D16" s="202"/>
      <c r="E16" s="201">
        <f>SUM(E5:F15)</f>
        <v>4107</v>
      </c>
      <c r="F16" s="202"/>
      <c r="G16" s="201">
        <f>SUM(G5:H15)</f>
        <v>3429</v>
      </c>
      <c r="H16" s="202"/>
      <c r="I16" s="201">
        <f>SUM(I5:J15)</f>
        <v>5936</v>
      </c>
      <c r="J16" s="202"/>
      <c r="K16" s="201">
        <f>SUM(K5:L15)</f>
        <v>2927</v>
      </c>
      <c r="L16" s="202"/>
      <c r="M16" s="3">
        <f>SUM(M5:M15)</f>
        <v>6368</v>
      </c>
      <c r="N16" s="4">
        <f>SUM(N5:N15)</f>
        <v>1565</v>
      </c>
      <c r="O16" s="4">
        <f>SUM(O5:O15)</f>
        <v>4782</v>
      </c>
      <c r="P16" s="4">
        <f>SUM(P5:P15)</f>
        <v>7199</v>
      </c>
      <c r="Q16" s="5">
        <f>SUM(Q5:Q15)</f>
        <v>5298</v>
      </c>
    </row>
    <row r="17" spans="1:17" x14ac:dyDescent="0.3">
      <c r="A17" s="190" t="s">
        <v>21</v>
      </c>
      <c r="B17" s="191"/>
      <c r="C17" s="251">
        <v>290</v>
      </c>
      <c r="D17" s="252"/>
      <c r="E17" s="253">
        <v>4080</v>
      </c>
      <c r="F17" s="254"/>
      <c r="G17" s="255">
        <v>3420</v>
      </c>
      <c r="H17" s="256"/>
      <c r="I17" s="255">
        <v>3812</v>
      </c>
      <c r="J17" s="256"/>
      <c r="K17" s="253">
        <v>1392</v>
      </c>
      <c r="L17" s="254"/>
      <c r="M17" s="9">
        <v>4620</v>
      </c>
      <c r="N17" s="9">
        <v>1104</v>
      </c>
      <c r="O17" s="9">
        <v>799</v>
      </c>
      <c r="P17" s="9">
        <v>4337</v>
      </c>
      <c r="Q17" s="9">
        <v>2573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77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232</v>
      </c>
      <c r="D25" s="259"/>
      <c r="E25" s="260" t="s">
        <v>82</v>
      </c>
      <c r="F25" s="261"/>
      <c r="G25" s="258">
        <v>0</v>
      </c>
      <c r="H25" s="259"/>
      <c r="I25" s="258">
        <v>189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18</v>
      </c>
      <c r="D26" s="259"/>
      <c r="E26" s="260" t="s">
        <v>25</v>
      </c>
      <c r="F26" s="261"/>
      <c r="G26" s="258">
        <v>0</v>
      </c>
      <c r="H26" s="259"/>
      <c r="I26" s="258">
        <v>33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85</v>
      </c>
      <c r="D27" s="259"/>
      <c r="E27" s="260" t="s">
        <v>46</v>
      </c>
      <c r="F27" s="261"/>
      <c r="G27" s="258">
        <v>0</v>
      </c>
      <c r="H27" s="259"/>
      <c r="I27" s="258">
        <v>26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79</v>
      </c>
      <c r="D28" s="261"/>
      <c r="E28" s="260" t="s">
        <v>80</v>
      </c>
      <c r="F28" s="261"/>
      <c r="G28" s="258">
        <v>0</v>
      </c>
      <c r="H28" s="259"/>
      <c r="I28" s="258">
        <v>1</v>
      </c>
      <c r="J28" s="259"/>
      <c r="K28" s="8">
        <v>2</v>
      </c>
    </row>
    <row r="29" spans="1:17" x14ac:dyDescent="0.3">
      <c r="A29" s="101" t="s">
        <v>16</v>
      </c>
      <c r="B29" s="102"/>
      <c r="C29" s="270" t="s">
        <v>56</v>
      </c>
      <c r="D29" s="271"/>
      <c r="E29" s="260" t="s">
        <v>60</v>
      </c>
      <c r="F29" s="261"/>
      <c r="G29" s="258">
        <v>0</v>
      </c>
      <c r="H29" s="259"/>
      <c r="I29" s="258">
        <v>30</v>
      </c>
      <c r="J29" s="259"/>
      <c r="K29" s="8">
        <v>8</v>
      </c>
    </row>
    <row r="30" spans="1:17" x14ac:dyDescent="0.3">
      <c r="A30" s="101" t="s">
        <v>17</v>
      </c>
      <c r="B30" s="102"/>
      <c r="C30" s="272">
        <v>25</v>
      </c>
      <c r="D30" s="271"/>
      <c r="E30" s="258">
        <v>0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2</v>
      </c>
      <c r="D31" s="271"/>
      <c r="E31" s="260" t="s">
        <v>25</v>
      </c>
      <c r="F31" s="261"/>
      <c r="G31" s="258">
        <v>0</v>
      </c>
      <c r="H31" s="259"/>
      <c r="I31" s="258">
        <v>3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9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77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83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84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54</v>
      </c>
      <c r="D40" s="259"/>
      <c r="E40" s="276" t="s">
        <v>78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81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76</v>
      </c>
      <c r="D42" s="271"/>
      <c r="E42" s="276" t="s">
        <v>75</v>
      </c>
      <c r="F42" s="277"/>
      <c r="G42" s="258">
        <v>0</v>
      </c>
      <c r="H42" s="259"/>
      <c r="I42" s="258" t="s">
        <v>59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55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69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64</v>
      </c>
      <c r="D49" s="282"/>
      <c r="E49" s="281" t="s">
        <v>66</v>
      </c>
      <c r="F49" s="282"/>
      <c r="G49" s="281" t="s">
        <v>68</v>
      </c>
      <c r="H49" s="282"/>
      <c r="I49" s="281" t="s">
        <v>77</v>
      </c>
      <c r="J49" s="282"/>
    </row>
    <row r="50" spans="1:10" x14ac:dyDescent="0.3">
      <c r="A50" s="284" t="s">
        <v>30</v>
      </c>
      <c r="B50" s="285"/>
      <c r="C50" s="286">
        <v>14808</v>
      </c>
      <c r="D50" s="287"/>
      <c r="E50" s="286">
        <v>14780</v>
      </c>
      <c r="F50" s="287"/>
      <c r="G50" s="286">
        <v>14742</v>
      </c>
      <c r="H50" s="287"/>
      <c r="I50" s="286">
        <v>14689</v>
      </c>
      <c r="J50" s="287"/>
    </row>
    <row r="51" spans="1:10" x14ac:dyDescent="0.3">
      <c r="A51" s="284" t="s">
        <v>31</v>
      </c>
      <c r="B51" s="285"/>
      <c r="C51" s="286">
        <v>8417</v>
      </c>
      <c r="D51" s="287"/>
      <c r="E51" s="286">
        <v>8413</v>
      </c>
      <c r="F51" s="287"/>
      <c r="G51" s="286">
        <v>8419</v>
      </c>
      <c r="H51" s="287"/>
      <c r="I51" s="286">
        <v>8421</v>
      </c>
      <c r="J51" s="287"/>
    </row>
    <row r="52" spans="1:10" x14ac:dyDescent="0.3">
      <c r="A52" s="284" t="s">
        <v>32</v>
      </c>
      <c r="B52" s="285"/>
      <c r="C52" s="286">
        <v>116497</v>
      </c>
      <c r="D52" s="287"/>
      <c r="E52" s="286">
        <v>116494</v>
      </c>
      <c r="F52" s="287"/>
      <c r="G52" s="286">
        <v>116576</v>
      </c>
      <c r="H52" s="287"/>
      <c r="I52" s="286">
        <v>116607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52580</v>
      </c>
      <c r="D54" s="287"/>
      <c r="E54" s="286">
        <v>52569</v>
      </c>
      <c r="F54" s="287"/>
      <c r="G54" s="286">
        <v>52521</v>
      </c>
      <c r="H54" s="287"/>
      <c r="I54" s="286">
        <v>52491</v>
      </c>
      <c r="J54" s="287"/>
    </row>
    <row r="55" spans="1:10" x14ac:dyDescent="0.3">
      <c r="A55" s="284" t="s">
        <v>53</v>
      </c>
      <c r="B55" s="285"/>
      <c r="C55" s="286">
        <v>1841</v>
      </c>
      <c r="D55" s="287"/>
      <c r="E55" s="286">
        <v>1971</v>
      </c>
      <c r="F55" s="287"/>
      <c r="G55" s="286">
        <v>2106</v>
      </c>
      <c r="H55" s="287"/>
      <c r="I55" s="286">
        <v>2312</v>
      </c>
      <c r="J55" s="287"/>
    </row>
    <row r="56" spans="1:10" x14ac:dyDescent="0.3">
      <c r="A56" s="284" t="s">
        <v>49</v>
      </c>
      <c r="B56" s="285"/>
      <c r="C56" s="286">
        <v>7198</v>
      </c>
      <c r="D56" s="287"/>
      <c r="E56" s="286">
        <v>7476</v>
      </c>
      <c r="F56" s="287"/>
      <c r="G56" s="286">
        <v>7816</v>
      </c>
      <c r="H56" s="287"/>
      <c r="I56" s="286">
        <v>8225</v>
      </c>
      <c r="J56" s="287"/>
    </row>
    <row r="57" spans="1:10" x14ac:dyDescent="0.3">
      <c r="A57" s="284" t="s">
        <v>35</v>
      </c>
      <c r="B57" s="285"/>
      <c r="C57" s="286">
        <v>1462</v>
      </c>
      <c r="D57" s="287"/>
      <c r="E57" s="286">
        <v>1462</v>
      </c>
      <c r="F57" s="287"/>
      <c r="G57" s="286">
        <v>1464</v>
      </c>
      <c r="H57" s="287"/>
      <c r="I57" s="286">
        <v>1466</v>
      </c>
      <c r="J57" s="287"/>
    </row>
    <row r="58" spans="1:10" x14ac:dyDescent="0.3">
      <c r="A58" s="120" t="s">
        <v>36</v>
      </c>
      <c r="B58" s="121"/>
      <c r="C58" s="103">
        <f>SUM(C50:D57)</f>
        <v>203043</v>
      </c>
      <c r="D58" s="104"/>
      <c r="E58" s="103">
        <f>SUM(E50:F57)</f>
        <v>203405</v>
      </c>
      <c r="F58" s="104"/>
      <c r="G58" s="103">
        <f>SUM(G50:H57)</f>
        <v>203884</v>
      </c>
      <c r="H58" s="104"/>
      <c r="I58" s="103">
        <f>SUM(I50:J57)</f>
        <v>204451</v>
      </c>
      <c r="J58" s="104"/>
    </row>
    <row r="60" spans="1:10" x14ac:dyDescent="0.3">
      <c r="A60" s="124" t="s">
        <v>37</v>
      </c>
      <c r="B60" s="125"/>
      <c r="C60" s="130" t="s">
        <v>63</v>
      </c>
      <c r="D60" s="131"/>
      <c r="E60" s="130" t="s">
        <v>66</v>
      </c>
      <c r="F60" s="131"/>
      <c r="G60" s="130" t="s">
        <v>68</v>
      </c>
      <c r="H60" s="131"/>
      <c r="I60" s="130" t="s">
        <v>77</v>
      </c>
      <c r="J60" s="131"/>
    </row>
    <row r="61" spans="1:10" x14ac:dyDescent="0.3">
      <c r="A61" s="126"/>
      <c r="B61" s="127"/>
      <c r="C61" s="288">
        <v>133904</v>
      </c>
      <c r="D61" s="289"/>
      <c r="E61" s="288">
        <v>134249</v>
      </c>
      <c r="F61" s="289"/>
      <c r="G61" s="288">
        <v>134523</v>
      </c>
      <c r="H61" s="289"/>
      <c r="I61" s="288">
        <v>134845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50</v>
      </c>
      <c r="D66" s="115"/>
      <c r="E66" s="114" t="s">
        <v>52</v>
      </c>
      <c r="F66" s="115"/>
      <c r="G66" s="114" t="s">
        <v>58</v>
      </c>
      <c r="H66" s="115"/>
      <c r="I66" s="114" t="s">
        <v>62</v>
      </c>
      <c r="J66" s="115"/>
    </row>
    <row r="67" spans="1:10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24637</v>
      </c>
      <c r="D69" s="287"/>
      <c r="E69" s="286">
        <v>25087</v>
      </c>
      <c r="F69" s="287"/>
      <c r="G69" s="286">
        <v>25535</v>
      </c>
      <c r="H69" s="287"/>
      <c r="I69" s="286">
        <v>25946</v>
      </c>
      <c r="J69" s="287"/>
    </row>
    <row r="70" spans="1:10" x14ac:dyDescent="0.3">
      <c r="A70" s="101" t="s">
        <v>13</v>
      </c>
      <c r="B70" s="102"/>
      <c r="C70" s="286">
        <v>6271</v>
      </c>
      <c r="D70" s="287"/>
      <c r="E70" s="286">
        <v>6348</v>
      </c>
      <c r="F70" s="287"/>
      <c r="G70" s="286">
        <v>6410</v>
      </c>
      <c r="H70" s="287"/>
      <c r="I70" s="286">
        <v>6472</v>
      </c>
      <c r="J70" s="287"/>
    </row>
    <row r="71" spans="1:10" x14ac:dyDescent="0.3">
      <c r="A71" s="107" t="s">
        <v>14</v>
      </c>
      <c r="B71" s="108"/>
      <c r="C71" s="286">
        <v>5145</v>
      </c>
      <c r="D71" s="287"/>
      <c r="E71" s="286">
        <v>5238</v>
      </c>
      <c r="F71" s="287"/>
      <c r="G71" s="286">
        <v>5313</v>
      </c>
      <c r="H71" s="287"/>
      <c r="I71" s="286">
        <v>5395</v>
      </c>
      <c r="J71" s="287"/>
    </row>
    <row r="72" spans="1:10" x14ac:dyDescent="0.3">
      <c r="A72" s="107" t="s">
        <v>41</v>
      </c>
      <c r="B72" s="108"/>
      <c r="C72" s="286">
        <v>883</v>
      </c>
      <c r="D72" s="287"/>
      <c r="E72" s="286">
        <v>935</v>
      </c>
      <c r="F72" s="287"/>
      <c r="G72" s="286">
        <v>968</v>
      </c>
      <c r="H72" s="287"/>
      <c r="I72" s="286">
        <v>1002</v>
      </c>
      <c r="J72" s="287"/>
    </row>
    <row r="73" spans="1:10" x14ac:dyDescent="0.3">
      <c r="A73" s="101" t="s">
        <v>15</v>
      </c>
      <c r="B73" s="102"/>
      <c r="C73" s="286">
        <v>3498</v>
      </c>
      <c r="D73" s="287"/>
      <c r="E73" s="286">
        <v>3590</v>
      </c>
      <c r="F73" s="287"/>
      <c r="G73" s="286">
        <v>3684</v>
      </c>
      <c r="H73" s="287"/>
      <c r="I73" s="286">
        <v>3746</v>
      </c>
      <c r="J73" s="287"/>
    </row>
    <row r="74" spans="1:10" x14ac:dyDescent="0.3">
      <c r="A74" s="107" t="s">
        <v>16</v>
      </c>
      <c r="B74" s="108"/>
      <c r="C74" s="286">
        <v>4069</v>
      </c>
      <c r="D74" s="287"/>
      <c r="E74" s="286">
        <v>4141</v>
      </c>
      <c r="F74" s="287"/>
      <c r="G74" s="286">
        <v>4191</v>
      </c>
      <c r="H74" s="287"/>
      <c r="I74" s="286">
        <v>4260</v>
      </c>
      <c r="J74" s="287"/>
    </row>
    <row r="75" spans="1:10" x14ac:dyDescent="0.3">
      <c r="A75" s="101" t="s">
        <v>17</v>
      </c>
      <c r="B75" s="102"/>
      <c r="C75" s="286">
        <v>5194</v>
      </c>
      <c r="D75" s="287"/>
      <c r="E75" s="286">
        <v>5346</v>
      </c>
      <c r="F75" s="287"/>
      <c r="G75" s="286">
        <v>5480</v>
      </c>
      <c r="H75" s="287"/>
      <c r="I75" s="286">
        <v>5630</v>
      </c>
      <c r="J75" s="287"/>
    </row>
    <row r="76" spans="1:10" x14ac:dyDescent="0.3">
      <c r="A76" s="107" t="s">
        <v>18</v>
      </c>
      <c r="B76" s="108"/>
      <c r="C76" s="286">
        <v>1324</v>
      </c>
      <c r="D76" s="287"/>
      <c r="E76" s="286">
        <v>1335</v>
      </c>
      <c r="F76" s="287"/>
      <c r="G76" s="286">
        <v>1344</v>
      </c>
      <c r="H76" s="287"/>
      <c r="I76" s="286">
        <v>1357</v>
      </c>
      <c r="J76" s="287"/>
    </row>
    <row r="77" spans="1:10" x14ac:dyDescent="0.3">
      <c r="A77" s="101" t="s">
        <v>19</v>
      </c>
      <c r="B77" s="102"/>
      <c r="C77" s="286">
        <v>4306</v>
      </c>
      <c r="D77" s="287"/>
      <c r="E77" s="286">
        <v>4404</v>
      </c>
      <c r="F77" s="287"/>
      <c r="G77" s="286">
        <v>4487</v>
      </c>
      <c r="H77" s="287"/>
      <c r="I77" s="286">
        <v>4531</v>
      </c>
      <c r="J77" s="287"/>
    </row>
    <row r="78" spans="1:10" x14ac:dyDescent="0.3">
      <c r="A78" s="105" t="s">
        <v>42</v>
      </c>
      <c r="B78" s="106"/>
      <c r="C78" s="103">
        <f>SUM(C69:C77)</f>
        <v>55327</v>
      </c>
      <c r="D78" s="104"/>
      <c r="E78" s="103">
        <f>SUM(E69:E77)</f>
        <v>56424</v>
      </c>
      <c r="F78" s="104"/>
      <c r="G78" s="103">
        <f>SUM(G69:G77)</f>
        <v>57412</v>
      </c>
      <c r="H78" s="104"/>
      <c r="I78" s="103">
        <f>SUM(I69:I77)</f>
        <v>58339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G49:H49"/>
    <mergeCell ref="I49:J49"/>
    <mergeCell ref="E49:F49"/>
    <mergeCell ref="A45:B45"/>
    <mergeCell ref="C45:D45"/>
    <mergeCell ref="E45:F45"/>
    <mergeCell ref="G45:H45"/>
    <mergeCell ref="I45:J45"/>
    <mergeCell ref="A46:K46"/>
    <mergeCell ref="A52:B52"/>
    <mergeCell ref="C52:D52"/>
    <mergeCell ref="G52:H52"/>
    <mergeCell ref="I52:J52"/>
    <mergeCell ref="A53:B53"/>
    <mergeCell ref="C53:D53"/>
    <mergeCell ref="G53:H53"/>
    <mergeCell ref="I53:J53"/>
    <mergeCell ref="A50:B50"/>
    <mergeCell ref="C50:D50"/>
    <mergeCell ref="G50:H50"/>
    <mergeCell ref="I50:J50"/>
    <mergeCell ref="A51:B51"/>
    <mergeCell ref="C51:D51"/>
    <mergeCell ref="G51:H51"/>
    <mergeCell ref="I51:J51"/>
    <mergeCell ref="E50:F50"/>
    <mergeCell ref="E51:F51"/>
    <mergeCell ref="E52:F52"/>
    <mergeCell ref="E53:F53"/>
    <mergeCell ref="A56:B56"/>
    <mergeCell ref="C56:D56"/>
    <mergeCell ref="G56:H56"/>
    <mergeCell ref="I56:J56"/>
    <mergeCell ref="A57:B57"/>
    <mergeCell ref="C57:D57"/>
    <mergeCell ref="G57:H57"/>
    <mergeCell ref="I57:J57"/>
    <mergeCell ref="A54:B54"/>
    <mergeCell ref="C54:D54"/>
    <mergeCell ref="G54:H54"/>
    <mergeCell ref="I54:J54"/>
    <mergeCell ref="A55:B55"/>
    <mergeCell ref="C55:D55"/>
    <mergeCell ref="G55:H55"/>
    <mergeCell ref="I55:J55"/>
    <mergeCell ref="E56:F56"/>
    <mergeCell ref="E57:F57"/>
    <mergeCell ref="E54:F54"/>
    <mergeCell ref="E55:F55"/>
    <mergeCell ref="C61:D62"/>
    <mergeCell ref="E61:F62"/>
    <mergeCell ref="G61:H62"/>
    <mergeCell ref="I61:J62"/>
    <mergeCell ref="A65:H65"/>
    <mergeCell ref="I65:J65"/>
    <mergeCell ref="A58:B58"/>
    <mergeCell ref="C58:D58"/>
    <mergeCell ref="G58:H58"/>
    <mergeCell ref="I58:J58"/>
    <mergeCell ref="A60:B62"/>
    <mergeCell ref="C60:D60"/>
    <mergeCell ref="E60:F60"/>
    <mergeCell ref="G60:H60"/>
    <mergeCell ref="I60:J60"/>
    <mergeCell ref="E58:F58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8"/>
  <sheetViews>
    <sheetView workbookViewId="0">
      <selection activeCell="O16" sqref="O1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85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39">
        <v>690</v>
      </c>
      <c r="D5" s="240"/>
      <c r="E5" s="239">
        <v>4080</v>
      </c>
      <c r="F5" s="240"/>
      <c r="G5" s="239">
        <v>3420</v>
      </c>
      <c r="H5" s="240"/>
      <c r="I5" s="239">
        <v>4052</v>
      </c>
      <c r="J5" s="240"/>
      <c r="K5" s="239">
        <v>1400</v>
      </c>
      <c r="L5" s="240"/>
      <c r="M5" s="1">
        <v>4620</v>
      </c>
      <c r="N5" s="1">
        <v>1104</v>
      </c>
      <c r="O5" s="1">
        <v>799</v>
      </c>
      <c r="P5" s="1">
        <v>4343</v>
      </c>
      <c r="Q5" s="1">
        <v>2573</v>
      </c>
    </row>
    <row r="6" spans="1:17" ht="13.5" customHeight="1" x14ac:dyDescent="0.3">
      <c r="A6" s="211" t="s">
        <v>11</v>
      </c>
      <c r="B6" s="212"/>
      <c r="C6" s="149">
        <v>1045</v>
      </c>
      <c r="D6" s="150"/>
      <c r="E6" s="239">
        <v>10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3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272</v>
      </c>
      <c r="D7" s="240"/>
      <c r="E7" s="239">
        <v>12</v>
      </c>
      <c r="F7" s="240"/>
      <c r="G7" s="239">
        <v>7</v>
      </c>
      <c r="H7" s="240"/>
      <c r="I7" s="239">
        <v>328</v>
      </c>
      <c r="J7" s="240"/>
      <c r="K7" s="239">
        <v>364</v>
      </c>
      <c r="L7" s="240"/>
      <c r="M7" s="1">
        <v>376</v>
      </c>
      <c r="N7" s="1">
        <v>20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138</v>
      </c>
      <c r="D8" s="240"/>
      <c r="E8" s="239">
        <v>0</v>
      </c>
      <c r="F8" s="240"/>
      <c r="G8" s="239">
        <v>0</v>
      </c>
      <c r="H8" s="240"/>
      <c r="I8" s="239">
        <v>185</v>
      </c>
      <c r="J8" s="240"/>
      <c r="K8" s="239">
        <v>0</v>
      </c>
      <c r="L8" s="240"/>
      <c r="M8" s="1">
        <v>225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143</v>
      </c>
      <c r="D9" s="240"/>
      <c r="E9" s="239">
        <v>0</v>
      </c>
      <c r="F9" s="240"/>
      <c r="G9" s="239">
        <v>0</v>
      </c>
      <c r="H9" s="240"/>
      <c r="I9" s="239">
        <v>78</v>
      </c>
      <c r="J9" s="240"/>
      <c r="K9" s="239">
        <v>67</v>
      </c>
      <c r="L9" s="240"/>
      <c r="M9" s="1">
        <v>290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524</v>
      </c>
      <c r="D10" s="240"/>
      <c r="E10" s="239">
        <v>0</v>
      </c>
      <c r="F10" s="240"/>
      <c r="G10" s="239">
        <v>0</v>
      </c>
      <c r="H10" s="240"/>
      <c r="I10" s="239">
        <v>290</v>
      </c>
      <c r="J10" s="240"/>
      <c r="K10" s="239">
        <v>10</v>
      </c>
      <c r="L10" s="240"/>
      <c r="M10" s="1">
        <v>150</v>
      </c>
      <c r="N10" s="1">
        <v>60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182</v>
      </c>
      <c r="D11" s="246"/>
      <c r="E11" s="239">
        <v>14</v>
      </c>
      <c r="F11" s="240"/>
      <c r="G11" s="239">
        <v>0</v>
      </c>
      <c r="H11" s="240"/>
      <c r="I11" s="239">
        <v>105</v>
      </c>
      <c r="J11" s="240"/>
      <c r="K11" s="239">
        <v>74</v>
      </c>
      <c r="L11" s="240"/>
      <c r="M11" s="1">
        <v>118</v>
      </c>
      <c r="N11" s="1">
        <v>161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150</v>
      </c>
      <c r="D12" s="246"/>
      <c r="E12" s="239">
        <v>0</v>
      </c>
      <c r="F12" s="240"/>
      <c r="G12" s="239">
        <v>0</v>
      </c>
      <c r="H12" s="240"/>
      <c r="I12" s="239">
        <v>250</v>
      </c>
      <c r="J12" s="240"/>
      <c r="K12" s="239">
        <v>50</v>
      </c>
      <c r="L12" s="240"/>
      <c r="M12" s="1">
        <v>105</v>
      </c>
      <c r="N12" s="1">
        <v>65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106</v>
      </c>
      <c r="D13" s="246"/>
      <c r="E13" s="239">
        <v>0</v>
      </c>
      <c r="F13" s="240"/>
      <c r="G13" s="239">
        <v>2</v>
      </c>
      <c r="H13" s="240"/>
      <c r="I13" s="239">
        <v>240</v>
      </c>
      <c r="J13" s="240"/>
      <c r="K13" s="239">
        <v>71</v>
      </c>
      <c r="L13" s="240"/>
      <c r="M13" s="1">
        <v>81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301</v>
      </c>
      <c r="D14" s="248"/>
      <c r="E14" s="247">
        <v>0</v>
      </c>
      <c r="F14" s="248"/>
      <c r="G14" s="247">
        <v>0</v>
      </c>
      <c r="H14" s="248"/>
      <c r="I14" s="239">
        <v>198</v>
      </c>
      <c r="J14" s="240"/>
      <c r="K14" s="247">
        <v>58</v>
      </c>
      <c r="L14" s="248"/>
      <c r="M14" s="2">
        <v>185</v>
      </c>
      <c r="N14" s="2">
        <v>20</v>
      </c>
      <c r="O14" s="2">
        <v>0</v>
      </c>
      <c r="P14" s="2">
        <v>40</v>
      </c>
      <c r="Q14" s="2">
        <v>47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3610</v>
      </c>
      <c r="P15" s="2">
        <v>2551</v>
      </c>
      <c r="Q15" s="2">
        <v>2418</v>
      </c>
    </row>
    <row r="16" spans="1:17" ht="15" thickBot="1" x14ac:dyDescent="0.35">
      <c r="A16" s="199" t="s">
        <v>20</v>
      </c>
      <c r="B16" s="200"/>
      <c r="C16" s="201">
        <f>SUM(C5:D15)</f>
        <v>3551</v>
      </c>
      <c r="D16" s="202"/>
      <c r="E16" s="201">
        <f>SUM(E5:F15)</f>
        <v>4116</v>
      </c>
      <c r="F16" s="202"/>
      <c r="G16" s="201">
        <f>SUM(G5:H15)</f>
        <v>3429</v>
      </c>
      <c r="H16" s="202"/>
      <c r="I16" s="201">
        <f>SUM(I5:J15)</f>
        <v>5726</v>
      </c>
      <c r="J16" s="202"/>
      <c r="K16" s="201">
        <f>SUM(K5:L15)</f>
        <v>2094</v>
      </c>
      <c r="L16" s="202"/>
      <c r="M16" s="3">
        <f>SUM(M5:M15)</f>
        <v>6153</v>
      </c>
      <c r="N16" s="4">
        <f>SUM(N5:N15)</f>
        <v>1489</v>
      </c>
      <c r="O16" s="4">
        <f>SUM(O5:O15)</f>
        <v>4499</v>
      </c>
      <c r="P16" s="4">
        <f>SUM(P5:P15)</f>
        <v>7027</v>
      </c>
      <c r="Q16" s="5">
        <f>SUM(Q5:Q15)</f>
        <v>5117</v>
      </c>
    </row>
    <row r="17" spans="1:17" x14ac:dyDescent="0.3">
      <c r="A17" s="190" t="s">
        <v>21</v>
      </c>
      <c r="B17" s="191"/>
      <c r="C17" s="251">
        <v>290</v>
      </c>
      <c r="D17" s="252"/>
      <c r="E17" s="253">
        <v>4080</v>
      </c>
      <c r="F17" s="254"/>
      <c r="G17" s="255">
        <v>3420</v>
      </c>
      <c r="H17" s="256"/>
      <c r="I17" s="255">
        <v>3812</v>
      </c>
      <c r="J17" s="256"/>
      <c r="K17" s="253">
        <v>1392</v>
      </c>
      <c r="L17" s="254"/>
      <c r="M17" s="9">
        <v>4620</v>
      </c>
      <c r="N17" s="9">
        <v>1104</v>
      </c>
      <c r="O17" s="9">
        <v>799</v>
      </c>
      <c r="P17" s="9">
        <v>4337</v>
      </c>
      <c r="Q17" s="9">
        <v>2573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85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188</v>
      </c>
      <c r="D25" s="259"/>
      <c r="E25" s="260" t="s">
        <v>92</v>
      </c>
      <c r="F25" s="261"/>
      <c r="G25" s="258">
        <v>0</v>
      </c>
      <c r="H25" s="259"/>
      <c r="I25" s="258">
        <v>198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15</v>
      </c>
      <c r="D26" s="259"/>
      <c r="E26" s="260" t="s">
        <v>25</v>
      </c>
      <c r="F26" s="261"/>
      <c r="G26" s="258">
        <v>0</v>
      </c>
      <c r="H26" s="259"/>
      <c r="I26" s="258">
        <v>30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79</v>
      </c>
      <c r="D27" s="259"/>
      <c r="E27" s="260" t="s">
        <v>46</v>
      </c>
      <c r="F27" s="261"/>
      <c r="G27" s="258">
        <v>0</v>
      </c>
      <c r="H27" s="259"/>
      <c r="I27" s="258">
        <v>26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89</v>
      </c>
      <c r="D28" s="261"/>
      <c r="E28" s="260" t="s">
        <v>90</v>
      </c>
      <c r="F28" s="261"/>
      <c r="G28" s="258">
        <v>0</v>
      </c>
      <c r="H28" s="259"/>
      <c r="I28" s="258">
        <v>3</v>
      </c>
      <c r="J28" s="259"/>
      <c r="K28" s="8">
        <v>2</v>
      </c>
    </row>
    <row r="29" spans="1:17" x14ac:dyDescent="0.3">
      <c r="A29" s="101" t="s">
        <v>16</v>
      </c>
      <c r="B29" s="102"/>
      <c r="C29" s="270" t="s">
        <v>96</v>
      </c>
      <c r="D29" s="271"/>
      <c r="E29" s="260" t="s">
        <v>97</v>
      </c>
      <c r="F29" s="261"/>
      <c r="G29" s="258">
        <v>0</v>
      </c>
      <c r="H29" s="259"/>
      <c r="I29" s="258">
        <v>32</v>
      </c>
      <c r="J29" s="259"/>
      <c r="K29" s="8">
        <v>6</v>
      </c>
    </row>
    <row r="30" spans="1:17" x14ac:dyDescent="0.3">
      <c r="A30" s="101" t="s">
        <v>17</v>
      </c>
      <c r="B30" s="102"/>
      <c r="C30" s="272">
        <v>20</v>
      </c>
      <c r="D30" s="271"/>
      <c r="E30" s="258">
        <v>0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3</v>
      </c>
      <c r="D31" s="271"/>
      <c r="E31" s="260" t="s">
        <v>25</v>
      </c>
      <c r="F31" s="261"/>
      <c r="G31" s="258">
        <v>0</v>
      </c>
      <c r="H31" s="259"/>
      <c r="I31" s="258">
        <v>4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6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85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93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95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54</v>
      </c>
      <c r="D40" s="259"/>
      <c r="E40" s="276" t="s">
        <v>94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91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98</v>
      </c>
      <c r="D42" s="271"/>
      <c r="E42" s="276" t="s">
        <v>75</v>
      </c>
      <c r="F42" s="277"/>
      <c r="G42" s="258">
        <v>0</v>
      </c>
      <c r="H42" s="259"/>
      <c r="I42" s="258" t="s">
        <v>99</v>
      </c>
      <c r="J42" s="259"/>
      <c r="K42" s="8" t="s">
        <v>100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66</v>
      </c>
      <c r="D49" s="282"/>
      <c r="E49" s="281" t="s">
        <v>68</v>
      </c>
      <c r="F49" s="282"/>
      <c r="G49" s="281" t="s">
        <v>77</v>
      </c>
      <c r="H49" s="282"/>
      <c r="I49" s="281" t="s">
        <v>85</v>
      </c>
      <c r="J49" s="282"/>
    </row>
    <row r="50" spans="1:10" x14ac:dyDescent="0.3">
      <c r="A50" s="284" t="s">
        <v>30</v>
      </c>
      <c r="B50" s="285"/>
      <c r="C50" s="286">
        <v>14780</v>
      </c>
      <c r="D50" s="287"/>
      <c r="E50" s="286">
        <v>14742</v>
      </c>
      <c r="F50" s="287"/>
      <c r="G50" s="286">
        <v>14689</v>
      </c>
      <c r="H50" s="287"/>
      <c r="I50" s="286">
        <v>14623</v>
      </c>
      <c r="J50" s="287"/>
    </row>
    <row r="51" spans="1:10" x14ac:dyDescent="0.3">
      <c r="A51" s="284" t="s">
        <v>31</v>
      </c>
      <c r="B51" s="285"/>
      <c r="C51" s="286">
        <v>8413</v>
      </c>
      <c r="D51" s="287"/>
      <c r="E51" s="286">
        <v>8419</v>
      </c>
      <c r="F51" s="287"/>
      <c r="G51" s="286">
        <v>8421</v>
      </c>
      <c r="H51" s="287"/>
      <c r="I51" s="286">
        <v>8413</v>
      </c>
      <c r="J51" s="287"/>
    </row>
    <row r="52" spans="1:10" x14ac:dyDescent="0.3">
      <c r="A52" s="284" t="s">
        <v>32</v>
      </c>
      <c r="B52" s="285"/>
      <c r="C52" s="286">
        <v>116494</v>
      </c>
      <c r="D52" s="287"/>
      <c r="E52" s="286">
        <v>116576</v>
      </c>
      <c r="F52" s="287"/>
      <c r="G52" s="286">
        <v>116607</v>
      </c>
      <c r="H52" s="287"/>
      <c r="I52" s="286">
        <v>116557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52569</v>
      </c>
      <c r="D54" s="287"/>
      <c r="E54" s="286">
        <v>52521</v>
      </c>
      <c r="F54" s="287"/>
      <c r="G54" s="286">
        <v>52491</v>
      </c>
      <c r="H54" s="287"/>
      <c r="I54" s="286">
        <v>52449</v>
      </c>
      <c r="J54" s="287"/>
    </row>
    <row r="55" spans="1:10" x14ac:dyDescent="0.3">
      <c r="A55" s="284" t="s">
        <v>53</v>
      </c>
      <c r="B55" s="285"/>
      <c r="C55" s="286">
        <v>1971</v>
      </c>
      <c r="D55" s="287"/>
      <c r="E55" s="286">
        <v>2106</v>
      </c>
      <c r="F55" s="287"/>
      <c r="G55" s="286">
        <v>2312</v>
      </c>
      <c r="H55" s="287"/>
      <c r="I55" s="286">
        <v>2519</v>
      </c>
      <c r="J55" s="287"/>
    </row>
    <row r="56" spans="1:10" x14ac:dyDescent="0.3">
      <c r="A56" s="284" t="s">
        <v>49</v>
      </c>
      <c r="B56" s="285"/>
      <c r="C56" s="286">
        <v>7476</v>
      </c>
      <c r="D56" s="287"/>
      <c r="E56" s="286">
        <v>7816</v>
      </c>
      <c r="F56" s="287"/>
      <c r="G56" s="286">
        <v>8225</v>
      </c>
      <c r="H56" s="287"/>
      <c r="I56" s="286">
        <v>8603</v>
      </c>
      <c r="J56" s="287"/>
    </row>
    <row r="57" spans="1:10" x14ac:dyDescent="0.3">
      <c r="A57" s="284" t="s">
        <v>35</v>
      </c>
      <c r="B57" s="285"/>
      <c r="C57" s="286">
        <v>1462</v>
      </c>
      <c r="D57" s="287"/>
      <c r="E57" s="286">
        <v>1464</v>
      </c>
      <c r="F57" s="287"/>
      <c r="G57" s="286">
        <v>1466</v>
      </c>
      <c r="H57" s="287"/>
      <c r="I57" s="286">
        <v>1465</v>
      </c>
      <c r="J57" s="287"/>
    </row>
    <row r="58" spans="1:10" x14ac:dyDescent="0.3">
      <c r="A58" s="120" t="s">
        <v>36</v>
      </c>
      <c r="B58" s="121"/>
      <c r="C58" s="103">
        <f>SUM(C50:D57)</f>
        <v>203405</v>
      </c>
      <c r="D58" s="104"/>
      <c r="E58" s="103">
        <f>SUM(E50:F57)</f>
        <v>203884</v>
      </c>
      <c r="F58" s="104"/>
      <c r="G58" s="103">
        <f>SUM(G50:H57)</f>
        <v>204451</v>
      </c>
      <c r="H58" s="104"/>
      <c r="I58" s="103">
        <f>SUM(I50:J57)</f>
        <v>204869</v>
      </c>
      <c r="J58" s="104"/>
    </row>
    <row r="60" spans="1:10" x14ac:dyDescent="0.3">
      <c r="A60" s="124" t="s">
        <v>37</v>
      </c>
      <c r="B60" s="125"/>
      <c r="C60" s="130" t="s">
        <v>66</v>
      </c>
      <c r="D60" s="131"/>
      <c r="E60" s="130" t="s">
        <v>68</v>
      </c>
      <c r="F60" s="131"/>
      <c r="G60" s="130" t="s">
        <v>77</v>
      </c>
      <c r="H60" s="131"/>
      <c r="I60" s="130" t="s">
        <v>85</v>
      </c>
      <c r="J60" s="131"/>
    </row>
    <row r="61" spans="1:10" x14ac:dyDescent="0.3">
      <c r="A61" s="126"/>
      <c r="B61" s="127"/>
      <c r="C61" s="288">
        <v>134249</v>
      </c>
      <c r="D61" s="289"/>
      <c r="E61" s="288">
        <v>134523</v>
      </c>
      <c r="F61" s="289"/>
      <c r="G61" s="288">
        <v>134845</v>
      </c>
      <c r="H61" s="289"/>
      <c r="I61" s="288">
        <v>135132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52</v>
      </c>
      <c r="D66" s="115"/>
      <c r="E66" s="114" t="s">
        <v>58</v>
      </c>
      <c r="F66" s="115"/>
      <c r="G66" s="114" t="s">
        <v>62</v>
      </c>
      <c r="H66" s="115"/>
      <c r="I66" s="114" t="s">
        <v>86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25087</v>
      </c>
      <c r="D69" s="287"/>
      <c r="E69" s="286">
        <v>25535</v>
      </c>
      <c r="F69" s="287"/>
      <c r="G69" s="286">
        <v>25946</v>
      </c>
      <c r="H69" s="287"/>
      <c r="I69" s="286">
        <v>26425</v>
      </c>
      <c r="J69" s="287"/>
    </row>
    <row r="70" spans="1:10" x14ac:dyDescent="0.3">
      <c r="A70" s="101" t="s">
        <v>13</v>
      </c>
      <c r="B70" s="102"/>
      <c r="C70" s="286">
        <v>6348</v>
      </c>
      <c r="D70" s="287"/>
      <c r="E70" s="286">
        <v>6410</v>
      </c>
      <c r="F70" s="287"/>
      <c r="G70" s="286">
        <v>6472</v>
      </c>
      <c r="H70" s="287"/>
      <c r="I70" s="286">
        <v>6548</v>
      </c>
      <c r="J70" s="287"/>
    </row>
    <row r="71" spans="1:10" x14ac:dyDescent="0.3">
      <c r="A71" s="107" t="s">
        <v>14</v>
      </c>
      <c r="B71" s="108"/>
      <c r="C71" s="286">
        <v>5238</v>
      </c>
      <c r="D71" s="287"/>
      <c r="E71" s="286">
        <v>5313</v>
      </c>
      <c r="F71" s="287"/>
      <c r="G71" s="286">
        <v>5395</v>
      </c>
      <c r="H71" s="287"/>
      <c r="I71" s="286">
        <v>5483</v>
      </c>
      <c r="J71" s="287"/>
    </row>
    <row r="72" spans="1:10" x14ac:dyDescent="0.3">
      <c r="A72" s="107" t="s">
        <v>41</v>
      </c>
      <c r="B72" s="108"/>
      <c r="C72" s="286">
        <v>935</v>
      </c>
      <c r="D72" s="287"/>
      <c r="E72" s="286">
        <v>968</v>
      </c>
      <c r="F72" s="287"/>
      <c r="G72" s="286">
        <v>1002</v>
      </c>
      <c r="H72" s="287"/>
      <c r="I72" s="286">
        <v>1038</v>
      </c>
      <c r="J72" s="287"/>
    </row>
    <row r="73" spans="1:10" x14ac:dyDescent="0.3">
      <c r="A73" s="101" t="s">
        <v>15</v>
      </c>
      <c r="B73" s="102"/>
      <c r="C73" s="286">
        <v>3590</v>
      </c>
      <c r="D73" s="287"/>
      <c r="E73" s="286">
        <v>3684</v>
      </c>
      <c r="F73" s="287"/>
      <c r="G73" s="286">
        <v>3746</v>
      </c>
      <c r="H73" s="287"/>
      <c r="I73" s="286">
        <v>4002</v>
      </c>
      <c r="J73" s="287"/>
    </row>
    <row r="74" spans="1:10" x14ac:dyDescent="0.3">
      <c r="A74" s="107" t="s">
        <v>16</v>
      </c>
      <c r="B74" s="108"/>
      <c r="C74" s="286">
        <v>4141</v>
      </c>
      <c r="D74" s="287"/>
      <c r="E74" s="286">
        <v>4191</v>
      </c>
      <c r="F74" s="287"/>
      <c r="G74" s="286">
        <v>4260</v>
      </c>
      <c r="H74" s="287"/>
      <c r="I74" s="286">
        <v>4380</v>
      </c>
      <c r="J74" s="287"/>
    </row>
    <row r="75" spans="1:10" x14ac:dyDescent="0.3">
      <c r="A75" s="101" t="s">
        <v>17</v>
      </c>
      <c r="B75" s="102"/>
      <c r="C75" s="286">
        <v>5346</v>
      </c>
      <c r="D75" s="287"/>
      <c r="E75" s="286">
        <v>5480</v>
      </c>
      <c r="F75" s="287"/>
      <c r="G75" s="286">
        <v>5630</v>
      </c>
      <c r="H75" s="287"/>
      <c r="I75" s="286">
        <v>5918</v>
      </c>
      <c r="J75" s="287"/>
    </row>
    <row r="76" spans="1:10" x14ac:dyDescent="0.3">
      <c r="A76" s="107" t="s">
        <v>18</v>
      </c>
      <c r="B76" s="108"/>
      <c r="C76" s="286">
        <v>1335</v>
      </c>
      <c r="D76" s="287"/>
      <c r="E76" s="286">
        <v>1344</v>
      </c>
      <c r="F76" s="287"/>
      <c r="G76" s="286">
        <v>1357</v>
      </c>
      <c r="H76" s="287"/>
      <c r="I76" s="286">
        <v>1369</v>
      </c>
      <c r="J76" s="287"/>
    </row>
    <row r="77" spans="1:10" x14ac:dyDescent="0.3">
      <c r="A77" s="101" t="s">
        <v>19</v>
      </c>
      <c r="B77" s="102"/>
      <c r="C77" s="286">
        <v>4404</v>
      </c>
      <c r="D77" s="287"/>
      <c r="E77" s="286">
        <v>4487</v>
      </c>
      <c r="F77" s="287"/>
      <c r="G77" s="286">
        <v>4531</v>
      </c>
      <c r="H77" s="287"/>
      <c r="I77" s="286">
        <v>4728</v>
      </c>
      <c r="J77" s="287"/>
    </row>
    <row r="78" spans="1:10" x14ac:dyDescent="0.3">
      <c r="A78" s="105" t="s">
        <v>42</v>
      </c>
      <c r="B78" s="106"/>
      <c r="C78" s="103">
        <f>SUM(C69:C77)</f>
        <v>56424</v>
      </c>
      <c r="D78" s="104"/>
      <c r="E78" s="103">
        <f>SUM(E69:E77)</f>
        <v>57412</v>
      </c>
      <c r="F78" s="104"/>
      <c r="G78" s="103">
        <f>SUM(G69:G77)</f>
        <v>58339</v>
      </c>
      <c r="H78" s="104"/>
      <c r="I78" s="103">
        <f>SUM(I69:I77)</f>
        <v>59891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workbookViewId="0">
      <selection activeCell="P25" sqref="P25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101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46</v>
      </c>
      <c r="D5" s="299"/>
      <c r="E5" s="298">
        <v>4080</v>
      </c>
      <c r="F5" s="299"/>
      <c r="G5" s="298">
        <v>3420</v>
      </c>
      <c r="H5" s="299"/>
      <c r="I5" s="298">
        <v>3632</v>
      </c>
      <c r="J5" s="299"/>
      <c r="K5" s="298">
        <v>1340</v>
      </c>
      <c r="L5" s="299"/>
      <c r="M5" s="10">
        <v>4520</v>
      </c>
      <c r="N5" s="10">
        <v>1004</v>
      </c>
      <c r="O5" s="10">
        <v>5219</v>
      </c>
      <c r="P5" s="10">
        <v>2927</v>
      </c>
      <c r="Q5" s="10">
        <v>807</v>
      </c>
    </row>
    <row r="6" spans="1:17" ht="13.5" customHeight="1" x14ac:dyDescent="0.3">
      <c r="A6" s="211" t="s">
        <v>11</v>
      </c>
      <c r="B6" s="212"/>
      <c r="C6" s="149">
        <v>800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509</v>
      </c>
      <c r="D7" s="240"/>
      <c r="E7" s="239">
        <v>12</v>
      </c>
      <c r="F7" s="240"/>
      <c r="G7" s="239">
        <v>7</v>
      </c>
      <c r="H7" s="240"/>
      <c r="I7" s="239">
        <v>291</v>
      </c>
      <c r="J7" s="240"/>
      <c r="K7" s="239">
        <v>310</v>
      </c>
      <c r="L7" s="240"/>
      <c r="M7" s="1">
        <v>302</v>
      </c>
      <c r="N7" s="1">
        <v>18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140</v>
      </c>
      <c r="D8" s="240"/>
      <c r="E8" s="239">
        <v>0</v>
      </c>
      <c r="F8" s="240"/>
      <c r="G8" s="239">
        <v>0</v>
      </c>
      <c r="H8" s="240"/>
      <c r="I8" s="239">
        <v>212</v>
      </c>
      <c r="J8" s="240"/>
      <c r="K8" s="239">
        <v>60</v>
      </c>
      <c r="L8" s="240"/>
      <c r="M8" s="1">
        <v>212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170</v>
      </c>
      <c r="D9" s="240"/>
      <c r="E9" s="239">
        <v>0</v>
      </c>
      <c r="F9" s="240"/>
      <c r="G9" s="239">
        <v>0</v>
      </c>
      <c r="H9" s="240"/>
      <c r="I9" s="239">
        <v>231</v>
      </c>
      <c r="J9" s="240"/>
      <c r="K9" s="239">
        <v>133</v>
      </c>
      <c r="L9" s="240"/>
      <c r="M9" s="1">
        <v>270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510</v>
      </c>
      <c r="D10" s="240"/>
      <c r="E10" s="239">
        <v>0</v>
      </c>
      <c r="F10" s="240"/>
      <c r="G10" s="239">
        <v>0</v>
      </c>
      <c r="H10" s="240"/>
      <c r="I10" s="239">
        <v>230</v>
      </c>
      <c r="J10" s="240"/>
      <c r="K10" s="239">
        <v>10</v>
      </c>
      <c r="L10" s="240"/>
      <c r="M10" s="1">
        <v>126</v>
      </c>
      <c r="N10" s="1">
        <v>51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169</v>
      </c>
      <c r="D11" s="246"/>
      <c r="E11" s="239">
        <v>14</v>
      </c>
      <c r="F11" s="240"/>
      <c r="G11" s="239">
        <v>0</v>
      </c>
      <c r="H11" s="240"/>
      <c r="I11" s="239">
        <v>100</v>
      </c>
      <c r="J11" s="240"/>
      <c r="K11" s="239">
        <v>70</v>
      </c>
      <c r="L11" s="240"/>
      <c r="M11" s="1">
        <v>115</v>
      </c>
      <c r="N11" s="1">
        <v>160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210</v>
      </c>
      <c r="D12" s="246"/>
      <c r="E12" s="239">
        <v>0</v>
      </c>
      <c r="F12" s="240"/>
      <c r="G12" s="239">
        <v>0</v>
      </c>
      <c r="H12" s="240"/>
      <c r="I12" s="239">
        <v>170</v>
      </c>
      <c r="J12" s="240"/>
      <c r="K12" s="239">
        <v>10</v>
      </c>
      <c r="L12" s="240"/>
      <c r="M12" s="1">
        <v>175</v>
      </c>
      <c r="N12" s="1">
        <v>145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100</v>
      </c>
      <c r="D13" s="246"/>
      <c r="E13" s="239">
        <v>0</v>
      </c>
      <c r="F13" s="240"/>
      <c r="G13" s="239">
        <v>2</v>
      </c>
      <c r="H13" s="240"/>
      <c r="I13" s="239">
        <v>240</v>
      </c>
      <c r="J13" s="240"/>
      <c r="K13" s="239">
        <v>65</v>
      </c>
      <c r="L13" s="240"/>
      <c r="M13" s="1">
        <v>80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275</v>
      </c>
      <c r="D14" s="248"/>
      <c r="E14" s="247">
        <v>0</v>
      </c>
      <c r="F14" s="248"/>
      <c r="G14" s="247">
        <v>0</v>
      </c>
      <c r="H14" s="248"/>
      <c r="I14" s="239">
        <v>195</v>
      </c>
      <c r="J14" s="240"/>
      <c r="K14" s="247">
        <v>33</v>
      </c>
      <c r="L14" s="248"/>
      <c r="M14" s="2">
        <v>180</v>
      </c>
      <c r="N14" s="2">
        <v>20</v>
      </c>
      <c r="O14" s="2">
        <v>0</v>
      </c>
      <c r="P14" s="2">
        <v>40</v>
      </c>
      <c r="Q14" s="2">
        <v>48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4970</v>
      </c>
      <c r="P15" s="2">
        <v>3683</v>
      </c>
      <c r="Q15" s="2">
        <v>3831</v>
      </c>
    </row>
    <row r="16" spans="1:17" ht="15" thickBot="1" x14ac:dyDescent="0.35">
      <c r="A16" s="199" t="s">
        <v>20</v>
      </c>
      <c r="B16" s="200"/>
      <c r="C16" s="201">
        <f>SUM(C5:D15)</f>
        <v>2929</v>
      </c>
      <c r="D16" s="202"/>
      <c r="E16" s="201">
        <f>SUM(E5:F15)</f>
        <v>4106</v>
      </c>
      <c r="F16" s="202"/>
      <c r="G16" s="201">
        <f>SUM(G5:H15)</f>
        <v>3429</v>
      </c>
      <c r="H16" s="202"/>
      <c r="I16" s="201">
        <f>SUM(I5:J15)</f>
        <v>5301</v>
      </c>
      <c r="J16" s="202"/>
      <c r="K16" s="201">
        <f>SUM(K5:L15)</f>
        <v>2031</v>
      </c>
      <c r="L16" s="202"/>
      <c r="M16" s="3">
        <f>SUM(M5:M15)</f>
        <v>5980</v>
      </c>
      <c r="N16" s="4">
        <f>SUM(N5:N15)</f>
        <v>1457</v>
      </c>
      <c r="O16" s="4">
        <f>SUM(O5:O15)</f>
        <v>10279</v>
      </c>
      <c r="P16" s="4">
        <f>SUM(P5:P15)</f>
        <v>6743</v>
      </c>
      <c r="Q16" s="5">
        <f>SUM(Q5:Q15)</f>
        <v>4765</v>
      </c>
    </row>
    <row r="17" spans="1:17" x14ac:dyDescent="0.3">
      <c r="A17" s="190" t="s">
        <v>21</v>
      </c>
      <c r="B17" s="191"/>
      <c r="C17" s="251">
        <v>50</v>
      </c>
      <c r="D17" s="252"/>
      <c r="E17" s="253">
        <v>4080</v>
      </c>
      <c r="F17" s="254"/>
      <c r="G17" s="255">
        <v>3420</v>
      </c>
      <c r="H17" s="256"/>
      <c r="I17" s="255">
        <v>3632</v>
      </c>
      <c r="J17" s="256"/>
      <c r="K17" s="253">
        <v>1332</v>
      </c>
      <c r="L17" s="254"/>
      <c r="M17" s="9">
        <v>4520</v>
      </c>
      <c r="N17" s="9">
        <v>1004</v>
      </c>
      <c r="O17" s="9">
        <v>5219</v>
      </c>
      <c r="P17" s="9">
        <v>2921</v>
      </c>
      <c r="Q17" s="9">
        <v>807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101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196</v>
      </c>
      <c r="D25" s="259"/>
      <c r="E25" s="260" t="s">
        <v>108</v>
      </c>
      <c r="F25" s="261"/>
      <c r="G25" s="258">
        <v>0</v>
      </c>
      <c r="H25" s="259"/>
      <c r="I25" s="258">
        <v>198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9</v>
      </c>
      <c r="D26" s="259"/>
      <c r="E26" s="260" t="s">
        <v>25</v>
      </c>
      <c r="F26" s="261"/>
      <c r="G26" s="258">
        <v>0</v>
      </c>
      <c r="H26" s="259"/>
      <c r="I26" s="258">
        <v>48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91</v>
      </c>
      <c r="D27" s="259"/>
      <c r="E27" s="260" t="s">
        <v>103</v>
      </c>
      <c r="F27" s="261"/>
      <c r="G27" s="258">
        <v>0</v>
      </c>
      <c r="H27" s="259"/>
      <c r="I27" s="258">
        <v>30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89</v>
      </c>
      <c r="D28" s="261"/>
      <c r="E28" s="260" t="s">
        <v>106</v>
      </c>
      <c r="F28" s="261"/>
      <c r="G28" s="258">
        <v>0</v>
      </c>
      <c r="H28" s="259"/>
      <c r="I28" s="258">
        <v>8</v>
      </c>
      <c r="J28" s="259"/>
      <c r="K28" s="8">
        <v>2</v>
      </c>
    </row>
    <row r="29" spans="1:17" x14ac:dyDescent="0.3">
      <c r="A29" s="101" t="s">
        <v>16</v>
      </c>
      <c r="B29" s="102"/>
      <c r="C29" s="270" t="s">
        <v>96</v>
      </c>
      <c r="D29" s="271"/>
      <c r="E29" s="260" t="s">
        <v>97</v>
      </c>
      <c r="F29" s="261"/>
      <c r="G29" s="258">
        <v>0</v>
      </c>
      <c r="H29" s="259"/>
      <c r="I29" s="258">
        <v>32</v>
      </c>
      <c r="J29" s="259"/>
      <c r="K29" s="8">
        <v>6</v>
      </c>
    </row>
    <row r="30" spans="1:17" x14ac:dyDescent="0.3">
      <c r="A30" s="101" t="s">
        <v>17</v>
      </c>
      <c r="B30" s="102"/>
      <c r="C30" s="272">
        <v>10</v>
      </c>
      <c r="D30" s="271"/>
      <c r="E30" s="258">
        <v>0</v>
      </c>
      <c r="F30" s="259"/>
      <c r="G30" s="258">
        <v>0</v>
      </c>
      <c r="H30" s="259"/>
      <c r="I30" s="258">
        <v>10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3</v>
      </c>
      <c r="D31" s="271"/>
      <c r="E31" s="260" t="s">
        <v>25</v>
      </c>
      <c r="F31" s="261"/>
      <c r="G31" s="258">
        <v>0</v>
      </c>
      <c r="H31" s="259"/>
      <c r="I31" s="258">
        <v>4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14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101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109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102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104</v>
      </c>
      <c r="D40" s="259"/>
      <c r="E40" s="276" t="s">
        <v>105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107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98</v>
      </c>
      <c r="D42" s="271"/>
      <c r="E42" s="276" t="s">
        <v>75</v>
      </c>
      <c r="F42" s="277"/>
      <c r="G42" s="258">
        <v>0</v>
      </c>
      <c r="H42" s="259"/>
      <c r="I42" s="258" t="s">
        <v>99</v>
      </c>
      <c r="J42" s="259"/>
      <c r="K42" s="8" t="s">
        <v>100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68</v>
      </c>
      <c r="D49" s="282"/>
      <c r="E49" s="281" t="s">
        <v>77</v>
      </c>
      <c r="F49" s="282"/>
      <c r="G49" s="281" t="s">
        <v>85</v>
      </c>
      <c r="H49" s="282"/>
      <c r="I49" s="281" t="s">
        <v>101</v>
      </c>
      <c r="J49" s="282"/>
    </row>
    <row r="50" spans="1:10" x14ac:dyDescent="0.3">
      <c r="A50" s="284" t="s">
        <v>30</v>
      </c>
      <c r="B50" s="285"/>
      <c r="C50" s="286">
        <v>14742</v>
      </c>
      <c r="D50" s="287"/>
      <c r="E50" s="286">
        <v>14689</v>
      </c>
      <c r="F50" s="287"/>
      <c r="G50" s="286">
        <v>14623</v>
      </c>
      <c r="H50" s="287"/>
      <c r="I50" s="286">
        <v>14568</v>
      </c>
      <c r="J50" s="287"/>
    </row>
    <row r="51" spans="1:10" x14ac:dyDescent="0.3">
      <c r="A51" s="284" t="s">
        <v>31</v>
      </c>
      <c r="B51" s="285"/>
      <c r="C51" s="286">
        <v>8419</v>
      </c>
      <c r="D51" s="287"/>
      <c r="E51" s="286">
        <v>8421</v>
      </c>
      <c r="F51" s="287"/>
      <c r="G51" s="286">
        <v>8413</v>
      </c>
      <c r="H51" s="287"/>
      <c r="I51" s="286">
        <v>8412</v>
      </c>
      <c r="J51" s="287"/>
    </row>
    <row r="52" spans="1:10" x14ac:dyDescent="0.3">
      <c r="A52" s="284" t="s">
        <v>32</v>
      </c>
      <c r="B52" s="285"/>
      <c r="C52" s="286">
        <v>116576</v>
      </c>
      <c r="D52" s="287"/>
      <c r="E52" s="286">
        <v>116607</v>
      </c>
      <c r="F52" s="287"/>
      <c r="G52" s="286">
        <v>116557</v>
      </c>
      <c r="H52" s="287"/>
      <c r="I52" s="286">
        <v>116523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52521</v>
      </c>
      <c r="D54" s="287"/>
      <c r="E54" s="286">
        <v>52491</v>
      </c>
      <c r="F54" s="287"/>
      <c r="G54" s="286">
        <v>52449</v>
      </c>
      <c r="H54" s="287"/>
      <c r="I54" s="286">
        <v>52429</v>
      </c>
      <c r="J54" s="287"/>
    </row>
    <row r="55" spans="1:10" x14ac:dyDescent="0.3">
      <c r="A55" s="284" t="s">
        <v>53</v>
      </c>
      <c r="B55" s="285"/>
      <c r="C55" s="286">
        <v>2106</v>
      </c>
      <c r="D55" s="287"/>
      <c r="E55" s="286">
        <v>2312</v>
      </c>
      <c r="F55" s="287"/>
      <c r="G55" s="286">
        <v>2519</v>
      </c>
      <c r="H55" s="287"/>
      <c r="I55" s="286">
        <v>2649</v>
      </c>
      <c r="J55" s="287"/>
    </row>
    <row r="56" spans="1:10" x14ac:dyDescent="0.3">
      <c r="A56" s="284" t="s">
        <v>49</v>
      </c>
      <c r="B56" s="285"/>
      <c r="C56" s="286">
        <v>7816</v>
      </c>
      <c r="D56" s="287"/>
      <c r="E56" s="286">
        <v>8225</v>
      </c>
      <c r="F56" s="287"/>
      <c r="G56" s="286">
        <v>8603</v>
      </c>
      <c r="H56" s="287"/>
      <c r="I56" s="286">
        <v>8803</v>
      </c>
      <c r="J56" s="287"/>
    </row>
    <row r="57" spans="1:10" x14ac:dyDescent="0.3">
      <c r="A57" s="284" t="s">
        <v>35</v>
      </c>
      <c r="B57" s="285"/>
      <c r="C57" s="286">
        <v>1464</v>
      </c>
      <c r="D57" s="287"/>
      <c r="E57" s="286">
        <v>1466</v>
      </c>
      <c r="F57" s="287"/>
      <c r="G57" s="286">
        <v>1465</v>
      </c>
      <c r="H57" s="287"/>
      <c r="I57" s="286">
        <v>1467</v>
      </c>
      <c r="J57" s="287"/>
    </row>
    <row r="58" spans="1:10" x14ac:dyDescent="0.3">
      <c r="A58" s="120" t="s">
        <v>36</v>
      </c>
      <c r="B58" s="121"/>
      <c r="C58" s="103">
        <f>SUM(C50:D57)</f>
        <v>203884</v>
      </c>
      <c r="D58" s="104"/>
      <c r="E58" s="103">
        <f>SUM(E50:F57)</f>
        <v>204451</v>
      </c>
      <c r="F58" s="104"/>
      <c r="G58" s="103">
        <f>SUM(G50:H57)</f>
        <v>204869</v>
      </c>
      <c r="H58" s="104"/>
      <c r="I58" s="103">
        <f>SUM(I50:J57)</f>
        <v>205091</v>
      </c>
      <c r="J58" s="104"/>
    </row>
    <row r="60" spans="1:10" x14ac:dyDescent="0.3">
      <c r="A60" s="124" t="s">
        <v>37</v>
      </c>
      <c r="B60" s="125"/>
      <c r="C60" s="130" t="s">
        <v>68</v>
      </c>
      <c r="D60" s="131"/>
      <c r="E60" s="130" t="s">
        <v>77</v>
      </c>
      <c r="F60" s="131"/>
      <c r="G60" s="130" t="s">
        <v>85</v>
      </c>
      <c r="H60" s="131"/>
      <c r="I60" s="130" t="s">
        <v>101</v>
      </c>
      <c r="J60" s="131"/>
    </row>
    <row r="61" spans="1:10" x14ac:dyDescent="0.3">
      <c r="A61" s="126"/>
      <c r="B61" s="127"/>
      <c r="C61" s="288">
        <v>134523</v>
      </c>
      <c r="D61" s="289"/>
      <c r="E61" s="288">
        <v>134845</v>
      </c>
      <c r="F61" s="289"/>
      <c r="G61" s="288">
        <v>135132</v>
      </c>
      <c r="H61" s="289"/>
      <c r="I61" s="288">
        <v>135294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52</v>
      </c>
      <c r="D66" s="115"/>
      <c r="E66" s="114" t="s">
        <v>58</v>
      </c>
      <c r="F66" s="115"/>
      <c r="G66" s="114" t="s">
        <v>62</v>
      </c>
      <c r="H66" s="115"/>
      <c r="I66" s="114" t="s">
        <v>86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25087</v>
      </c>
      <c r="D69" s="287"/>
      <c r="E69" s="286">
        <v>25535</v>
      </c>
      <c r="F69" s="287"/>
      <c r="G69" s="286">
        <v>25946</v>
      </c>
      <c r="H69" s="287"/>
      <c r="I69" s="286">
        <v>26425</v>
      </c>
      <c r="J69" s="287"/>
    </row>
    <row r="70" spans="1:10" x14ac:dyDescent="0.3">
      <c r="A70" s="101" t="s">
        <v>13</v>
      </c>
      <c r="B70" s="102"/>
      <c r="C70" s="286">
        <v>6348</v>
      </c>
      <c r="D70" s="287"/>
      <c r="E70" s="286">
        <v>6410</v>
      </c>
      <c r="F70" s="287"/>
      <c r="G70" s="286">
        <v>6472</v>
      </c>
      <c r="H70" s="287"/>
      <c r="I70" s="286">
        <v>6548</v>
      </c>
      <c r="J70" s="287"/>
    </row>
    <row r="71" spans="1:10" x14ac:dyDescent="0.3">
      <c r="A71" s="107" t="s">
        <v>14</v>
      </c>
      <c r="B71" s="108"/>
      <c r="C71" s="286">
        <v>5238</v>
      </c>
      <c r="D71" s="287"/>
      <c r="E71" s="286">
        <v>5313</v>
      </c>
      <c r="F71" s="287"/>
      <c r="G71" s="286">
        <v>5395</v>
      </c>
      <c r="H71" s="287"/>
      <c r="I71" s="286">
        <v>5483</v>
      </c>
      <c r="J71" s="287"/>
    </row>
    <row r="72" spans="1:10" x14ac:dyDescent="0.3">
      <c r="A72" s="107" t="s">
        <v>41</v>
      </c>
      <c r="B72" s="108"/>
      <c r="C72" s="286">
        <v>935</v>
      </c>
      <c r="D72" s="287"/>
      <c r="E72" s="286">
        <v>968</v>
      </c>
      <c r="F72" s="287"/>
      <c r="G72" s="286">
        <v>1002</v>
      </c>
      <c r="H72" s="287"/>
      <c r="I72" s="286">
        <v>1038</v>
      </c>
      <c r="J72" s="287"/>
    </row>
    <row r="73" spans="1:10" x14ac:dyDescent="0.3">
      <c r="A73" s="101" t="s">
        <v>15</v>
      </c>
      <c r="B73" s="102"/>
      <c r="C73" s="286">
        <v>3590</v>
      </c>
      <c r="D73" s="287"/>
      <c r="E73" s="286">
        <v>3684</v>
      </c>
      <c r="F73" s="287"/>
      <c r="G73" s="286">
        <v>3746</v>
      </c>
      <c r="H73" s="287"/>
      <c r="I73" s="286">
        <v>4002</v>
      </c>
      <c r="J73" s="287"/>
    </row>
    <row r="74" spans="1:10" x14ac:dyDescent="0.3">
      <c r="A74" s="107" t="s">
        <v>16</v>
      </c>
      <c r="B74" s="108"/>
      <c r="C74" s="286">
        <v>4141</v>
      </c>
      <c r="D74" s="287"/>
      <c r="E74" s="286">
        <v>4191</v>
      </c>
      <c r="F74" s="287"/>
      <c r="G74" s="286">
        <v>4260</v>
      </c>
      <c r="H74" s="287"/>
      <c r="I74" s="286">
        <v>4380</v>
      </c>
      <c r="J74" s="287"/>
    </row>
    <row r="75" spans="1:10" x14ac:dyDescent="0.3">
      <c r="A75" s="101" t="s">
        <v>17</v>
      </c>
      <c r="B75" s="102"/>
      <c r="C75" s="286">
        <v>5346</v>
      </c>
      <c r="D75" s="287"/>
      <c r="E75" s="286">
        <v>5480</v>
      </c>
      <c r="F75" s="287"/>
      <c r="G75" s="286">
        <v>5630</v>
      </c>
      <c r="H75" s="287"/>
      <c r="I75" s="286">
        <v>5918</v>
      </c>
      <c r="J75" s="287"/>
    </row>
    <row r="76" spans="1:10" x14ac:dyDescent="0.3">
      <c r="A76" s="107" t="s">
        <v>18</v>
      </c>
      <c r="B76" s="108"/>
      <c r="C76" s="286">
        <v>1335</v>
      </c>
      <c r="D76" s="287"/>
      <c r="E76" s="286">
        <v>1344</v>
      </c>
      <c r="F76" s="287"/>
      <c r="G76" s="286">
        <v>1357</v>
      </c>
      <c r="H76" s="287"/>
      <c r="I76" s="286">
        <v>1369</v>
      </c>
      <c r="J76" s="287"/>
    </row>
    <row r="77" spans="1:10" x14ac:dyDescent="0.3">
      <c r="A77" s="101" t="s">
        <v>19</v>
      </c>
      <c r="B77" s="102"/>
      <c r="C77" s="286">
        <v>4404</v>
      </c>
      <c r="D77" s="287"/>
      <c r="E77" s="286">
        <v>4487</v>
      </c>
      <c r="F77" s="287"/>
      <c r="G77" s="286">
        <v>4531</v>
      </c>
      <c r="H77" s="287"/>
      <c r="I77" s="286">
        <v>4728</v>
      </c>
      <c r="J77" s="287"/>
    </row>
    <row r="78" spans="1:10" x14ac:dyDescent="0.3">
      <c r="A78" s="105" t="s">
        <v>42</v>
      </c>
      <c r="B78" s="106"/>
      <c r="C78" s="103">
        <f>SUM(C69:C77)</f>
        <v>56424</v>
      </c>
      <c r="D78" s="104"/>
      <c r="E78" s="103">
        <f>SUM(E69:E77)</f>
        <v>57412</v>
      </c>
      <c r="F78" s="104"/>
      <c r="G78" s="103">
        <f>SUM(G69:G77)</f>
        <v>58339</v>
      </c>
      <c r="H78" s="104"/>
      <c r="I78" s="103">
        <f>SUM(I69:I77)</f>
        <v>59891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110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46</v>
      </c>
      <c r="D5" s="299"/>
      <c r="E5" s="298">
        <v>4080</v>
      </c>
      <c r="F5" s="299"/>
      <c r="G5" s="298">
        <v>3420</v>
      </c>
      <c r="H5" s="299"/>
      <c r="I5" s="298">
        <v>3392</v>
      </c>
      <c r="J5" s="299"/>
      <c r="K5" s="298">
        <v>1160</v>
      </c>
      <c r="L5" s="299"/>
      <c r="M5" s="10">
        <v>4280</v>
      </c>
      <c r="N5" s="10">
        <v>984</v>
      </c>
      <c r="O5" s="10">
        <v>4719</v>
      </c>
      <c r="P5" s="10">
        <v>2927</v>
      </c>
      <c r="Q5" s="10">
        <v>807</v>
      </c>
    </row>
    <row r="6" spans="1:17" ht="13.5" customHeight="1" x14ac:dyDescent="0.3">
      <c r="A6" s="211" t="s">
        <v>11</v>
      </c>
      <c r="B6" s="212"/>
      <c r="C6" s="149">
        <v>800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372</v>
      </c>
      <c r="D7" s="240"/>
      <c r="E7" s="239">
        <v>11</v>
      </c>
      <c r="F7" s="240"/>
      <c r="G7" s="239">
        <v>7</v>
      </c>
      <c r="H7" s="240"/>
      <c r="I7" s="239">
        <v>362</v>
      </c>
      <c r="J7" s="240"/>
      <c r="K7" s="239">
        <v>375</v>
      </c>
      <c r="L7" s="240"/>
      <c r="M7" s="1">
        <v>422</v>
      </c>
      <c r="N7" s="1">
        <v>17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108</v>
      </c>
      <c r="D8" s="240"/>
      <c r="E8" s="239">
        <v>0</v>
      </c>
      <c r="F8" s="240"/>
      <c r="G8" s="239">
        <v>0</v>
      </c>
      <c r="H8" s="240"/>
      <c r="I8" s="239">
        <v>204</v>
      </c>
      <c r="J8" s="240"/>
      <c r="K8" s="239">
        <v>0</v>
      </c>
      <c r="L8" s="240"/>
      <c r="M8" s="1">
        <v>191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85</v>
      </c>
      <c r="D9" s="240"/>
      <c r="E9" s="239">
        <v>0</v>
      </c>
      <c r="F9" s="240"/>
      <c r="G9" s="239">
        <v>0</v>
      </c>
      <c r="H9" s="240"/>
      <c r="I9" s="239">
        <v>191</v>
      </c>
      <c r="J9" s="240"/>
      <c r="K9" s="239">
        <v>108</v>
      </c>
      <c r="L9" s="240"/>
      <c r="M9" s="1">
        <v>262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455</v>
      </c>
      <c r="D10" s="240"/>
      <c r="E10" s="239">
        <v>0</v>
      </c>
      <c r="F10" s="240"/>
      <c r="G10" s="239">
        <v>0</v>
      </c>
      <c r="H10" s="240"/>
      <c r="I10" s="239">
        <v>319</v>
      </c>
      <c r="J10" s="240"/>
      <c r="K10" s="239">
        <v>60</v>
      </c>
      <c r="L10" s="240"/>
      <c r="M10" s="1">
        <v>156</v>
      </c>
      <c r="N10" s="1">
        <v>70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167</v>
      </c>
      <c r="D11" s="246"/>
      <c r="E11" s="239">
        <v>14</v>
      </c>
      <c r="F11" s="240"/>
      <c r="G11" s="239">
        <v>0</v>
      </c>
      <c r="H11" s="240"/>
      <c r="I11" s="239">
        <v>79</v>
      </c>
      <c r="J11" s="240"/>
      <c r="K11" s="239">
        <v>57</v>
      </c>
      <c r="L11" s="240"/>
      <c r="M11" s="1">
        <v>111</v>
      </c>
      <c r="N11" s="1">
        <v>153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150</v>
      </c>
      <c r="D12" s="246"/>
      <c r="E12" s="239">
        <v>0</v>
      </c>
      <c r="F12" s="240"/>
      <c r="G12" s="239">
        <v>0</v>
      </c>
      <c r="H12" s="240"/>
      <c r="I12" s="239">
        <v>90</v>
      </c>
      <c r="J12" s="240"/>
      <c r="K12" s="239">
        <v>0</v>
      </c>
      <c r="L12" s="240"/>
      <c r="M12" s="1">
        <v>135</v>
      </c>
      <c r="N12" s="1">
        <v>120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315</v>
      </c>
      <c r="D13" s="246"/>
      <c r="E13" s="239">
        <v>0</v>
      </c>
      <c r="F13" s="240"/>
      <c r="G13" s="239">
        <v>1</v>
      </c>
      <c r="H13" s="240"/>
      <c r="I13" s="239">
        <v>240</v>
      </c>
      <c r="J13" s="240"/>
      <c r="K13" s="239">
        <v>60</v>
      </c>
      <c r="L13" s="240"/>
      <c r="M13" s="1">
        <v>77</v>
      </c>
      <c r="N13" s="1">
        <v>37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151</v>
      </c>
      <c r="D14" s="248"/>
      <c r="E14" s="247">
        <v>0</v>
      </c>
      <c r="F14" s="248"/>
      <c r="G14" s="247">
        <v>0</v>
      </c>
      <c r="H14" s="248"/>
      <c r="I14" s="239">
        <v>190</v>
      </c>
      <c r="J14" s="240"/>
      <c r="K14" s="247">
        <v>14</v>
      </c>
      <c r="L14" s="248"/>
      <c r="M14" s="2">
        <v>189</v>
      </c>
      <c r="N14" s="2">
        <v>17</v>
      </c>
      <c r="O14" s="2">
        <v>0</v>
      </c>
      <c r="P14" s="2">
        <v>40</v>
      </c>
      <c r="Q14" s="2">
        <v>47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3555</v>
      </c>
      <c r="P15" s="2">
        <v>2868</v>
      </c>
      <c r="Q15" s="2">
        <v>2677</v>
      </c>
    </row>
    <row r="16" spans="1:17" ht="15" thickBot="1" x14ac:dyDescent="0.35">
      <c r="A16" s="199" t="s">
        <v>20</v>
      </c>
      <c r="B16" s="200"/>
      <c r="C16" s="201">
        <f>SUM(C5:D15)</f>
        <v>2649</v>
      </c>
      <c r="D16" s="202"/>
      <c r="E16" s="201">
        <f>SUM(E5:F15)</f>
        <v>4105</v>
      </c>
      <c r="F16" s="202"/>
      <c r="G16" s="201">
        <f>SUM(G5:H15)</f>
        <v>3428</v>
      </c>
      <c r="H16" s="202"/>
      <c r="I16" s="201">
        <f>SUM(I5:J15)</f>
        <v>5067</v>
      </c>
      <c r="J16" s="202"/>
      <c r="K16" s="201">
        <f>SUM(K5:L15)</f>
        <v>1834</v>
      </c>
      <c r="L16" s="202"/>
      <c r="M16" s="3">
        <f>SUM(M5:M15)</f>
        <v>5823</v>
      </c>
      <c r="N16" s="4">
        <f>SUM(N5:N15)</f>
        <v>1422</v>
      </c>
      <c r="O16" s="4">
        <f>SUM(O5:O15)</f>
        <v>8364</v>
      </c>
      <c r="P16" s="4">
        <f>SUM(P5:P15)</f>
        <v>5928</v>
      </c>
      <c r="Q16" s="5">
        <f>SUM(Q5:Q15)</f>
        <v>3610</v>
      </c>
    </row>
    <row r="17" spans="1:17" x14ac:dyDescent="0.3">
      <c r="A17" s="190" t="s">
        <v>21</v>
      </c>
      <c r="B17" s="191"/>
      <c r="C17" s="251">
        <v>46</v>
      </c>
      <c r="D17" s="252"/>
      <c r="E17" s="253">
        <v>4080</v>
      </c>
      <c r="F17" s="254"/>
      <c r="G17" s="255">
        <v>3420</v>
      </c>
      <c r="H17" s="256"/>
      <c r="I17" s="255">
        <v>3392</v>
      </c>
      <c r="J17" s="256"/>
      <c r="K17" s="253">
        <v>1152</v>
      </c>
      <c r="L17" s="254"/>
      <c r="M17" s="9">
        <v>4280</v>
      </c>
      <c r="N17" s="9">
        <v>984</v>
      </c>
      <c r="O17" s="9">
        <v>4719</v>
      </c>
      <c r="P17" s="9">
        <v>2921</v>
      </c>
      <c r="Q17" s="9">
        <v>807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110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246</v>
      </c>
      <c r="D25" s="259"/>
      <c r="E25" s="260" t="s">
        <v>118</v>
      </c>
      <c r="F25" s="261"/>
      <c r="G25" s="258">
        <v>0</v>
      </c>
      <c r="H25" s="259"/>
      <c r="I25" s="258">
        <v>198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10</v>
      </c>
      <c r="D26" s="259"/>
      <c r="E26" s="260" t="s">
        <v>25</v>
      </c>
      <c r="F26" s="261"/>
      <c r="G26" s="258">
        <v>0</v>
      </c>
      <c r="H26" s="259"/>
      <c r="I26" s="258">
        <v>46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169</v>
      </c>
      <c r="D27" s="259"/>
      <c r="E27" s="260" t="s">
        <v>112</v>
      </c>
      <c r="F27" s="261"/>
      <c r="G27" s="258">
        <v>0</v>
      </c>
      <c r="H27" s="259"/>
      <c r="I27" s="258">
        <v>33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115</v>
      </c>
      <c r="D28" s="261"/>
      <c r="E28" s="260" t="s">
        <v>116</v>
      </c>
      <c r="F28" s="261"/>
      <c r="G28" s="258">
        <v>0</v>
      </c>
      <c r="H28" s="259"/>
      <c r="I28" s="258">
        <v>4</v>
      </c>
      <c r="J28" s="259"/>
      <c r="K28" s="8">
        <v>2</v>
      </c>
    </row>
    <row r="29" spans="1:17" x14ac:dyDescent="0.3">
      <c r="A29" s="101" t="s">
        <v>16</v>
      </c>
      <c r="B29" s="102"/>
      <c r="C29" s="270" t="s">
        <v>96</v>
      </c>
      <c r="D29" s="271"/>
      <c r="E29" s="260" t="s">
        <v>97</v>
      </c>
      <c r="F29" s="261"/>
      <c r="G29" s="258">
        <v>0</v>
      </c>
      <c r="H29" s="259"/>
      <c r="I29" s="258">
        <v>32</v>
      </c>
      <c r="J29" s="259"/>
      <c r="K29" s="8">
        <v>6</v>
      </c>
    </row>
    <row r="30" spans="1:17" x14ac:dyDescent="0.3">
      <c r="A30" s="101" t="s">
        <v>17</v>
      </c>
      <c r="B30" s="102"/>
      <c r="C30" s="272">
        <v>12</v>
      </c>
      <c r="D30" s="271"/>
      <c r="E30" s="258">
        <v>0</v>
      </c>
      <c r="F30" s="259"/>
      <c r="G30" s="258">
        <v>0</v>
      </c>
      <c r="H30" s="259"/>
      <c r="I30" s="258">
        <v>12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1</v>
      </c>
      <c r="D31" s="271"/>
      <c r="E31" s="260" t="s">
        <v>25</v>
      </c>
      <c r="F31" s="261"/>
      <c r="G31" s="258">
        <v>0</v>
      </c>
      <c r="H31" s="259"/>
      <c r="I31" s="258">
        <v>3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11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110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119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120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114</v>
      </c>
      <c r="D40" s="259"/>
      <c r="E40" s="276" t="s">
        <v>113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117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98</v>
      </c>
      <c r="D42" s="271"/>
      <c r="E42" s="276" t="s">
        <v>75</v>
      </c>
      <c r="F42" s="277"/>
      <c r="G42" s="258">
        <v>0</v>
      </c>
      <c r="H42" s="259"/>
      <c r="I42" s="258" t="s">
        <v>99</v>
      </c>
      <c r="J42" s="259"/>
      <c r="K42" s="8" t="s">
        <v>100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111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77</v>
      </c>
      <c r="D49" s="282"/>
      <c r="E49" s="281" t="s">
        <v>85</v>
      </c>
      <c r="F49" s="282"/>
      <c r="G49" s="281" t="s">
        <v>101</v>
      </c>
      <c r="H49" s="282"/>
      <c r="I49" s="281" t="s">
        <v>110</v>
      </c>
      <c r="J49" s="282"/>
    </row>
    <row r="50" spans="1:10" x14ac:dyDescent="0.3">
      <c r="A50" s="284" t="s">
        <v>30</v>
      </c>
      <c r="B50" s="285"/>
      <c r="C50" s="286">
        <v>14689</v>
      </c>
      <c r="D50" s="287"/>
      <c r="E50" s="286">
        <v>14623</v>
      </c>
      <c r="F50" s="287"/>
      <c r="G50" s="286">
        <v>14568</v>
      </c>
      <c r="H50" s="287"/>
      <c r="I50" s="286">
        <v>14516</v>
      </c>
      <c r="J50" s="287"/>
    </row>
    <row r="51" spans="1:10" x14ac:dyDescent="0.3">
      <c r="A51" s="284" t="s">
        <v>31</v>
      </c>
      <c r="B51" s="285"/>
      <c r="C51" s="286">
        <v>8421</v>
      </c>
      <c r="D51" s="287"/>
      <c r="E51" s="286">
        <v>8413</v>
      </c>
      <c r="F51" s="287"/>
      <c r="G51" s="286">
        <v>8412</v>
      </c>
      <c r="H51" s="287"/>
      <c r="I51" s="286">
        <v>8413</v>
      </c>
      <c r="J51" s="287"/>
    </row>
    <row r="52" spans="1:10" x14ac:dyDescent="0.3">
      <c r="A52" s="284" t="s">
        <v>32</v>
      </c>
      <c r="B52" s="285"/>
      <c r="C52" s="286">
        <v>116607</v>
      </c>
      <c r="D52" s="287"/>
      <c r="E52" s="286">
        <v>116557</v>
      </c>
      <c r="F52" s="287"/>
      <c r="G52" s="286">
        <v>116523</v>
      </c>
      <c r="H52" s="287"/>
      <c r="I52" s="286">
        <v>116447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52491</v>
      </c>
      <c r="D54" s="287"/>
      <c r="E54" s="286">
        <v>52449</v>
      </c>
      <c r="F54" s="287"/>
      <c r="G54" s="286">
        <v>52429</v>
      </c>
      <c r="H54" s="287"/>
      <c r="I54" s="286">
        <v>52398</v>
      </c>
      <c r="J54" s="287"/>
    </row>
    <row r="55" spans="1:10" x14ac:dyDescent="0.3">
      <c r="A55" s="284" t="s">
        <v>53</v>
      </c>
      <c r="B55" s="285"/>
      <c r="C55" s="286">
        <v>2312</v>
      </c>
      <c r="D55" s="287"/>
      <c r="E55" s="286">
        <v>2519</v>
      </c>
      <c r="F55" s="287"/>
      <c r="G55" s="286">
        <v>2649</v>
      </c>
      <c r="H55" s="287"/>
      <c r="I55" s="286">
        <v>2769</v>
      </c>
      <c r="J55" s="287"/>
    </row>
    <row r="56" spans="1:10" x14ac:dyDescent="0.3">
      <c r="A56" s="284" t="s">
        <v>49</v>
      </c>
      <c r="B56" s="285"/>
      <c r="C56" s="286">
        <v>8225</v>
      </c>
      <c r="D56" s="287"/>
      <c r="E56" s="286">
        <v>8603</v>
      </c>
      <c r="F56" s="287"/>
      <c r="G56" s="286">
        <v>8803</v>
      </c>
      <c r="H56" s="287"/>
      <c r="I56" s="286">
        <v>9018</v>
      </c>
      <c r="J56" s="287"/>
    </row>
    <row r="57" spans="1:10" x14ac:dyDescent="0.3">
      <c r="A57" s="284" t="s">
        <v>35</v>
      </c>
      <c r="B57" s="285"/>
      <c r="C57" s="286">
        <v>1466</v>
      </c>
      <c r="D57" s="287"/>
      <c r="E57" s="286">
        <v>1465</v>
      </c>
      <c r="F57" s="287"/>
      <c r="G57" s="286">
        <v>1467</v>
      </c>
      <c r="H57" s="287"/>
      <c r="I57" s="286">
        <v>1467</v>
      </c>
      <c r="J57" s="287"/>
    </row>
    <row r="58" spans="1:10" x14ac:dyDescent="0.3">
      <c r="A58" s="120" t="s">
        <v>36</v>
      </c>
      <c r="B58" s="121"/>
      <c r="C58" s="103">
        <f>SUM(C50:D57)</f>
        <v>204451</v>
      </c>
      <c r="D58" s="104"/>
      <c r="E58" s="103">
        <f>SUM(E50:F57)</f>
        <v>204869</v>
      </c>
      <c r="F58" s="104"/>
      <c r="G58" s="103">
        <f>SUM(G50:H57)</f>
        <v>205091</v>
      </c>
      <c r="H58" s="104"/>
      <c r="I58" s="103">
        <f>SUM(I50:J57)</f>
        <v>205268</v>
      </c>
      <c r="J58" s="104"/>
    </row>
    <row r="60" spans="1:10" x14ac:dyDescent="0.3">
      <c r="A60" s="124" t="s">
        <v>37</v>
      </c>
      <c r="B60" s="125"/>
      <c r="C60" s="130" t="s">
        <v>77</v>
      </c>
      <c r="D60" s="131"/>
      <c r="E60" s="130" t="s">
        <v>85</v>
      </c>
      <c r="F60" s="131"/>
      <c r="G60" s="130" t="s">
        <v>101</v>
      </c>
      <c r="H60" s="131"/>
      <c r="I60" s="130" t="s">
        <v>110</v>
      </c>
      <c r="J60" s="131"/>
    </row>
    <row r="61" spans="1:10" x14ac:dyDescent="0.3">
      <c r="A61" s="126"/>
      <c r="B61" s="127"/>
      <c r="C61" s="288">
        <v>134845</v>
      </c>
      <c r="D61" s="289"/>
      <c r="E61" s="288">
        <v>135132</v>
      </c>
      <c r="F61" s="289"/>
      <c r="G61" s="288">
        <v>135294</v>
      </c>
      <c r="H61" s="289"/>
      <c r="I61" s="288">
        <v>135504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52</v>
      </c>
      <c r="D66" s="115"/>
      <c r="E66" s="114" t="s">
        <v>58</v>
      </c>
      <c r="F66" s="115"/>
      <c r="G66" s="114" t="s">
        <v>62</v>
      </c>
      <c r="H66" s="115"/>
      <c r="I66" s="114" t="s">
        <v>86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25087</v>
      </c>
      <c r="D69" s="287"/>
      <c r="E69" s="286">
        <v>25535</v>
      </c>
      <c r="F69" s="287"/>
      <c r="G69" s="286">
        <v>25946</v>
      </c>
      <c r="H69" s="287"/>
      <c r="I69" s="286">
        <v>26425</v>
      </c>
      <c r="J69" s="287"/>
    </row>
    <row r="70" spans="1:10" x14ac:dyDescent="0.3">
      <c r="A70" s="101" t="s">
        <v>13</v>
      </c>
      <c r="B70" s="102"/>
      <c r="C70" s="286">
        <v>6348</v>
      </c>
      <c r="D70" s="287"/>
      <c r="E70" s="286">
        <v>6410</v>
      </c>
      <c r="F70" s="287"/>
      <c r="G70" s="286">
        <v>6472</v>
      </c>
      <c r="H70" s="287"/>
      <c r="I70" s="286">
        <v>6548</v>
      </c>
      <c r="J70" s="287"/>
    </row>
    <row r="71" spans="1:10" x14ac:dyDescent="0.3">
      <c r="A71" s="107" t="s">
        <v>14</v>
      </c>
      <c r="B71" s="108"/>
      <c r="C71" s="286">
        <v>5238</v>
      </c>
      <c r="D71" s="287"/>
      <c r="E71" s="286">
        <v>5313</v>
      </c>
      <c r="F71" s="287"/>
      <c r="G71" s="286">
        <v>5395</v>
      </c>
      <c r="H71" s="287"/>
      <c r="I71" s="286">
        <v>5483</v>
      </c>
      <c r="J71" s="287"/>
    </row>
    <row r="72" spans="1:10" x14ac:dyDescent="0.3">
      <c r="A72" s="107" t="s">
        <v>41</v>
      </c>
      <c r="B72" s="108"/>
      <c r="C72" s="286">
        <v>935</v>
      </c>
      <c r="D72" s="287"/>
      <c r="E72" s="286">
        <v>968</v>
      </c>
      <c r="F72" s="287"/>
      <c r="G72" s="286">
        <v>1002</v>
      </c>
      <c r="H72" s="287"/>
      <c r="I72" s="286">
        <v>1038</v>
      </c>
      <c r="J72" s="287"/>
    </row>
    <row r="73" spans="1:10" x14ac:dyDescent="0.3">
      <c r="A73" s="101" t="s">
        <v>15</v>
      </c>
      <c r="B73" s="102"/>
      <c r="C73" s="286">
        <v>3590</v>
      </c>
      <c r="D73" s="287"/>
      <c r="E73" s="286">
        <v>3684</v>
      </c>
      <c r="F73" s="287"/>
      <c r="G73" s="286">
        <v>3746</v>
      </c>
      <c r="H73" s="287"/>
      <c r="I73" s="286">
        <v>4002</v>
      </c>
      <c r="J73" s="287"/>
    </row>
    <row r="74" spans="1:10" x14ac:dyDescent="0.3">
      <c r="A74" s="107" t="s">
        <v>16</v>
      </c>
      <c r="B74" s="108"/>
      <c r="C74" s="286">
        <v>4141</v>
      </c>
      <c r="D74" s="287"/>
      <c r="E74" s="286">
        <v>4191</v>
      </c>
      <c r="F74" s="287"/>
      <c r="G74" s="286">
        <v>4260</v>
      </c>
      <c r="H74" s="287"/>
      <c r="I74" s="286">
        <v>4380</v>
      </c>
      <c r="J74" s="287"/>
    </row>
    <row r="75" spans="1:10" x14ac:dyDescent="0.3">
      <c r="A75" s="101" t="s">
        <v>17</v>
      </c>
      <c r="B75" s="102"/>
      <c r="C75" s="286">
        <v>5346</v>
      </c>
      <c r="D75" s="287"/>
      <c r="E75" s="286">
        <v>5480</v>
      </c>
      <c r="F75" s="287"/>
      <c r="G75" s="286">
        <v>5630</v>
      </c>
      <c r="H75" s="287"/>
      <c r="I75" s="286">
        <v>5918</v>
      </c>
      <c r="J75" s="287"/>
    </row>
    <row r="76" spans="1:10" x14ac:dyDescent="0.3">
      <c r="A76" s="107" t="s">
        <v>18</v>
      </c>
      <c r="B76" s="108"/>
      <c r="C76" s="286">
        <v>1335</v>
      </c>
      <c r="D76" s="287"/>
      <c r="E76" s="286">
        <v>1344</v>
      </c>
      <c r="F76" s="287"/>
      <c r="G76" s="286">
        <v>1357</v>
      </c>
      <c r="H76" s="287"/>
      <c r="I76" s="286">
        <v>1369</v>
      </c>
      <c r="J76" s="287"/>
    </row>
    <row r="77" spans="1:10" x14ac:dyDescent="0.3">
      <c r="A77" s="101" t="s">
        <v>19</v>
      </c>
      <c r="B77" s="102"/>
      <c r="C77" s="286">
        <v>4404</v>
      </c>
      <c r="D77" s="287"/>
      <c r="E77" s="286">
        <v>4487</v>
      </c>
      <c r="F77" s="287"/>
      <c r="G77" s="286">
        <v>4531</v>
      </c>
      <c r="H77" s="287"/>
      <c r="I77" s="286">
        <v>4728</v>
      </c>
      <c r="J77" s="287"/>
    </row>
    <row r="78" spans="1:10" x14ac:dyDescent="0.3">
      <c r="A78" s="105" t="s">
        <v>42</v>
      </c>
      <c r="B78" s="106"/>
      <c r="C78" s="103">
        <f>SUM(C69:C77)</f>
        <v>56424</v>
      </c>
      <c r="D78" s="104"/>
      <c r="E78" s="103">
        <f>SUM(E69:E77)</f>
        <v>57412</v>
      </c>
      <c r="F78" s="104"/>
      <c r="G78" s="103">
        <f>SUM(G69:G77)</f>
        <v>58339</v>
      </c>
      <c r="H78" s="104"/>
      <c r="I78" s="103">
        <f>SUM(I69:I77)</f>
        <v>59891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121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46</v>
      </c>
      <c r="D5" s="299"/>
      <c r="E5" s="298">
        <v>3984</v>
      </c>
      <c r="F5" s="299"/>
      <c r="G5" s="298">
        <v>3336</v>
      </c>
      <c r="H5" s="299"/>
      <c r="I5" s="298">
        <v>3248</v>
      </c>
      <c r="J5" s="299"/>
      <c r="K5" s="298">
        <v>1124</v>
      </c>
      <c r="L5" s="299"/>
      <c r="M5" s="10">
        <v>4060</v>
      </c>
      <c r="N5" s="10">
        <v>964</v>
      </c>
      <c r="O5" s="10">
        <v>3894</v>
      </c>
      <c r="P5" s="10">
        <v>2312</v>
      </c>
      <c r="Q5" s="10">
        <v>72</v>
      </c>
    </row>
    <row r="6" spans="1:17" ht="13.5" customHeight="1" x14ac:dyDescent="0.3">
      <c r="A6" s="211" t="s">
        <v>11</v>
      </c>
      <c r="B6" s="212"/>
      <c r="C6" s="149">
        <v>800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326</v>
      </c>
      <c r="D7" s="240"/>
      <c r="E7" s="239">
        <v>11</v>
      </c>
      <c r="F7" s="240"/>
      <c r="G7" s="239">
        <v>7</v>
      </c>
      <c r="H7" s="240"/>
      <c r="I7" s="239">
        <v>315</v>
      </c>
      <c r="J7" s="240"/>
      <c r="K7" s="239">
        <v>294</v>
      </c>
      <c r="L7" s="240"/>
      <c r="M7" s="1">
        <v>382</v>
      </c>
      <c r="N7" s="1">
        <v>34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83</v>
      </c>
      <c r="D8" s="240"/>
      <c r="E8" s="239">
        <v>0</v>
      </c>
      <c r="F8" s="240"/>
      <c r="G8" s="239">
        <v>0</v>
      </c>
      <c r="H8" s="240"/>
      <c r="I8" s="239">
        <v>168</v>
      </c>
      <c r="J8" s="240"/>
      <c r="K8" s="239">
        <v>0</v>
      </c>
      <c r="L8" s="240"/>
      <c r="M8" s="1">
        <v>172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69</v>
      </c>
      <c r="D9" s="240"/>
      <c r="E9" s="239">
        <v>0</v>
      </c>
      <c r="F9" s="240"/>
      <c r="G9" s="239">
        <v>0</v>
      </c>
      <c r="H9" s="240"/>
      <c r="I9" s="239">
        <v>140</v>
      </c>
      <c r="J9" s="240"/>
      <c r="K9" s="239">
        <v>86</v>
      </c>
      <c r="L9" s="240"/>
      <c r="M9" s="1">
        <v>229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432</v>
      </c>
      <c r="D10" s="240"/>
      <c r="E10" s="239">
        <v>0</v>
      </c>
      <c r="F10" s="240"/>
      <c r="G10" s="239">
        <v>0</v>
      </c>
      <c r="H10" s="240"/>
      <c r="I10" s="239">
        <v>294</v>
      </c>
      <c r="J10" s="240"/>
      <c r="K10" s="239">
        <v>58</v>
      </c>
      <c r="L10" s="240"/>
      <c r="M10" s="1">
        <v>267</v>
      </c>
      <c r="N10" s="1">
        <v>55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137</v>
      </c>
      <c r="D11" s="246"/>
      <c r="E11" s="239">
        <v>14</v>
      </c>
      <c r="F11" s="240"/>
      <c r="G11" s="239">
        <v>0</v>
      </c>
      <c r="H11" s="240"/>
      <c r="I11" s="239">
        <v>67</v>
      </c>
      <c r="J11" s="240"/>
      <c r="K11" s="239">
        <v>49</v>
      </c>
      <c r="L11" s="240"/>
      <c r="M11" s="1">
        <v>95</v>
      </c>
      <c r="N11" s="1">
        <v>119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100</v>
      </c>
      <c r="D12" s="246"/>
      <c r="E12" s="239">
        <v>0</v>
      </c>
      <c r="F12" s="240"/>
      <c r="G12" s="239">
        <v>0</v>
      </c>
      <c r="H12" s="240"/>
      <c r="I12" s="239">
        <v>30</v>
      </c>
      <c r="J12" s="240"/>
      <c r="K12" s="239">
        <v>0</v>
      </c>
      <c r="L12" s="240"/>
      <c r="M12" s="1">
        <v>100</v>
      </c>
      <c r="N12" s="1">
        <v>105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294</v>
      </c>
      <c r="D13" s="246"/>
      <c r="E13" s="239">
        <v>0</v>
      </c>
      <c r="F13" s="240"/>
      <c r="G13" s="239">
        <v>1</v>
      </c>
      <c r="H13" s="240"/>
      <c r="I13" s="239">
        <v>240</v>
      </c>
      <c r="J13" s="240"/>
      <c r="K13" s="239">
        <v>46</v>
      </c>
      <c r="L13" s="240"/>
      <c r="M13" s="1">
        <v>21</v>
      </c>
      <c r="N13" s="1">
        <v>37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118</v>
      </c>
      <c r="D14" s="248"/>
      <c r="E14" s="247">
        <v>0</v>
      </c>
      <c r="F14" s="248"/>
      <c r="G14" s="247">
        <v>0</v>
      </c>
      <c r="H14" s="248"/>
      <c r="I14" s="239">
        <v>163</v>
      </c>
      <c r="J14" s="240"/>
      <c r="K14" s="247">
        <v>12</v>
      </c>
      <c r="L14" s="248"/>
      <c r="M14" s="2">
        <v>154</v>
      </c>
      <c r="N14" s="2">
        <v>17</v>
      </c>
      <c r="O14" s="2">
        <v>0</v>
      </c>
      <c r="P14" s="2">
        <v>40</v>
      </c>
      <c r="Q14" s="2">
        <v>47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3756</v>
      </c>
      <c r="P15" s="2">
        <v>2557</v>
      </c>
      <c r="Q15" s="2">
        <v>3089</v>
      </c>
    </row>
    <row r="16" spans="1:17" ht="15" thickBot="1" x14ac:dyDescent="0.35">
      <c r="A16" s="199" t="s">
        <v>20</v>
      </c>
      <c r="B16" s="200"/>
      <c r="C16" s="201">
        <f>SUM(C5:D15)</f>
        <v>2405</v>
      </c>
      <c r="D16" s="202"/>
      <c r="E16" s="201">
        <f>SUM(E5:F15)</f>
        <v>4009</v>
      </c>
      <c r="F16" s="202"/>
      <c r="G16" s="201">
        <f>SUM(G5:H15)</f>
        <v>3344</v>
      </c>
      <c r="H16" s="202"/>
      <c r="I16" s="201">
        <f>SUM(I5:J15)</f>
        <v>4665</v>
      </c>
      <c r="J16" s="202"/>
      <c r="K16" s="201">
        <f>SUM(K5:L15)</f>
        <v>1669</v>
      </c>
      <c r="L16" s="202"/>
      <c r="M16" s="3">
        <f>SUM(M5:M15)</f>
        <v>5480</v>
      </c>
      <c r="N16" s="4">
        <f>SUM(N5:N15)</f>
        <v>1355</v>
      </c>
      <c r="O16" s="4">
        <f>SUM(O5:O15)</f>
        <v>7740</v>
      </c>
      <c r="P16" s="4">
        <f>SUM(P5:P15)</f>
        <v>5002</v>
      </c>
      <c r="Q16" s="5">
        <f>SUM(Q5:Q15)</f>
        <v>3287</v>
      </c>
    </row>
    <row r="17" spans="1:17" x14ac:dyDescent="0.3">
      <c r="A17" s="190" t="s">
        <v>21</v>
      </c>
      <c r="B17" s="191"/>
      <c r="C17" s="251">
        <v>46</v>
      </c>
      <c r="D17" s="252"/>
      <c r="E17" s="253">
        <v>3984</v>
      </c>
      <c r="F17" s="254"/>
      <c r="G17" s="255">
        <v>3336</v>
      </c>
      <c r="H17" s="256"/>
      <c r="I17" s="255">
        <v>3248</v>
      </c>
      <c r="J17" s="256"/>
      <c r="K17" s="253">
        <v>1124</v>
      </c>
      <c r="L17" s="254"/>
      <c r="M17" s="9">
        <v>4060</v>
      </c>
      <c r="N17" s="9">
        <v>964</v>
      </c>
      <c r="O17" s="9">
        <v>3894</v>
      </c>
      <c r="P17" s="9">
        <v>2306</v>
      </c>
      <c r="Q17" s="9">
        <v>72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121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230</v>
      </c>
      <c r="D25" s="259"/>
      <c r="E25" s="260" t="s">
        <v>133</v>
      </c>
      <c r="F25" s="261"/>
      <c r="G25" s="258">
        <v>0</v>
      </c>
      <c r="H25" s="259"/>
      <c r="I25" s="258">
        <v>197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3</v>
      </c>
      <c r="D26" s="259"/>
      <c r="E26" s="260" t="s">
        <v>25</v>
      </c>
      <c r="F26" s="261"/>
      <c r="G26" s="258">
        <v>0</v>
      </c>
      <c r="H26" s="259"/>
      <c r="I26" s="258">
        <v>40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151</v>
      </c>
      <c r="D27" s="259"/>
      <c r="E27" s="260" t="s">
        <v>127</v>
      </c>
      <c r="F27" s="261"/>
      <c r="G27" s="258">
        <v>2</v>
      </c>
      <c r="H27" s="259"/>
      <c r="I27" s="258">
        <v>33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115</v>
      </c>
      <c r="D28" s="261"/>
      <c r="E28" s="260" t="s">
        <v>131</v>
      </c>
      <c r="F28" s="261"/>
      <c r="G28" s="258">
        <v>0</v>
      </c>
      <c r="H28" s="259"/>
      <c r="I28" s="258">
        <v>4</v>
      </c>
      <c r="J28" s="259"/>
      <c r="K28" s="8">
        <v>2</v>
      </c>
    </row>
    <row r="29" spans="1:17" x14ac:dyDescent="0.3">
      <c r="A29" s="101" t="s">
        <v>16</v>
      </c>
      <c r="B29" s="102"/>
      <c r="C29" s="270" t="s">
        <v>123</v>
      </c>
      <c r="D29" s="271"/>
      <c r="E29" s="260" t="s">
        <v>97</v>
      </c>
      <c r="F29" s="261"/>
      <c r="G29" s="258">
        <v>0</v>
      </c>
      <c r="H29" s="259"/>
      <c r="I29" s="258">
        <v>27</v>
      </c>
      <c r="J29" s="259"/>
      <c r="K29" s="8">
        <v>8</v>
      </c>
    </row>
    <row r="30" spans="1:17" x14ac:dyDescent="0.3">
      <c r="A30" s="101" t="s">
        <v>17</v>
      </c>
      <c r="B30" s="102"/>
      <c r="C30" s="272">
        <v>15</v>
      </c>
      <c r="D30" s="271"/>
      <c r="E30" s="258" t="s">
        <v>130</v>
      </c>
      <c r="F30" s="259"/>
      <c r="G30" s="258">
        <v>0</v>
      </c>
      <c r="H30" s="259"/>
      <c r="I30" s="258">
        <v>15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5</v>
      </c>
      <c r="D31" s="271"/>
      <c r="E31" s="260" t="s">
        <v>25</v>
      </c>
      <c r="F31" s="261"/>
      <c r="G31" s="258">
        <v>0</v>
      </c>
      <c r="H31" s="259"/>
      <c r="I31" s="258">
        <v>3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11</v>
      </c>
      <c r="D32" s="259"/>
      <c r="E32" s="260" t="s">
        <v>25</v>
      </c>
      <c r="F32" s="261"/>
      <c r="G32" s="258">
        <v>0</v>
      </c>
      <c r="H32" s="259"/>
      <c r="I32" s="258">
        <v>5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121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134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135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128</v>
      </c>
      <c r="D40" s="259"/>
      <c r="E40" s="276" t="s">
        <v>129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132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124</v>
      </c>
      <c r="D42" s="271"/>
      <c r="E42" s="276" t="s">
        <v>125</v>
      </c>
      <c r="F42" s="277"/>
      <c r="G42" s="258">
        <v>0</v>
      </c>
      <c r="H42" s="259"/>
      <c r="I42" s="258" t="s">
        <v>126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69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85</v>
      </c>
      <c r="D49" s="282"/>
      <c r="E49" s="281" t="s">
        <v>101</v>
      </c>
      <c r="F49" s="282"/>
      <c r="G49" s="281" t="s">
        <v>110</v>
      </c>
      <c r="H49" s="282"/>
      <c r="I49" s="281" t="s">
        <v>121</v>
      </c>
      <c r="J49" s="282"/>
    </row>
    <row r="50" spans="1:10" x14ac:dyDescent="0.3">
      <c r="A50" s="284" t="s">
        <v>30</v>
      </c>
      <c r="B50" s="285"/>
      <c r="C50" s="286">
        <v>14623</v>
      </c>
      <c r="D50" s="287"/>
      <c r="E50" s="286">
        <v>14568</v>
      </c>
      <c r="F50" s="287"/>
      <c r="G50" s="286">
        <v>14516</v>
      </c>
      <c r="H50" s="287"/>
      <c r="I50" s="286">
        <v>14472</v>
      </c>
      <c r="J50" s="287"/>
    </row>
    <row r="51" spans="1:10" x14ac:dyDescent="0.3">
      <c r="A51" s="284" t="s">
        <v>31</v>
      </c>
      <c r="B51" s="285"/>
      <c r="C51" s="286">
        <v>8413</v>
      </c>
      <c r="D51" s="287"/>
      <c r="E51" s="286">
        <v>8412</v>
      </c>
      <c r="F51" s="287"/>
      <c r="G51" s="286">
        <v>8413</v>
      </c>
      <c r="H51" s="287"/>
      <c r="I51" s="286">
        <v>8398</v>
      </c>
      <c r="J51" s="287"/>
    </row>
    <row r="52" spans="1:10" x14ac:dyDescent="0.3">
      <c r="A52" s="284" t="s">
        <v>32</v>
      </c>
      <c r="B52" s="285"/>
      <c r="C52" s="286">
        <v>116557</v>
      </c>
      <c r="D52" s="287"/>
      <c r="E52" s="286">
        <v>116523</v>
      </c>
      <c r="F52" s="287"/>
      <c r="G52" s="286">
        <v>116447</v>
      </c>
      <c r="H52" s="287"/>
      <c r="I52" s="286">
        <v>116430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52449</v>
      </c>
      <c r="D54" s="287"/>
      <c r="E54" s="286">
        <v>52429</v>
      </c>
      <c r="F54" s="287"/>
      <c r="G54" s="286">
        <v>52398</v>
      </c>
      <c r="H54" s="287"/>
      <c r="I54" s="286">
        <v>52354</v>
      </c>
      <c r="J54" s="287"/>
    </row>
    <row r="55" spans="1:10" x14ac:dyDescent="0.3">
      <c r="A55" s="284" t="s">
        <v>53</v>
      </c>
      <c r="B55" s="285"/>
      <c r="C55" s="286">
        <v>2519</v>
      </c>
      <c r="D55" s="287"/>
      <c r="E55" s="286">
        <v>2649</v>
      </c>
      <c r="F55" s="287"/>
      <c r="G55" s="286">
        <v>2769</v>
      </c>
      <c r="H55" s="287"/>
      <c r="I55" s="286">
        <v>2910</v>
      </c>
      <c r="J55" s="287"/>
    </row>
    <row r="56" spans="1:10" x14ac:dyDescent="0.3">
      <c r="A56" s="284" t="s">
        <v>49</v>
      </c>
      <c r="B56" s="285"/>
      <c r="C56" s="286">
        <v>8603</v>
      </c>
      <c r="D56" s="287"/>
      <c r="E56" s="286">
        <v>8803</v>
      </c>
      <c r="F56" s="287"/>
      <c r="G56" s="286">
        <v>9018</v>
      </c>
      <c r="H56" s="287"/>
      <c r="I56" s="286">
        <v>9301</v>
      </c>
      <c r="J56" s="287"/>
    </row>
    <row r="57" spans="1:10" x14ac:dyDescent="0.3">
      <c r="A57" s="284" t="s">
        <v>35</v>
      </c>
      <c r="B57" s="285"/>
      <c r="C57" s="286">
        <v>1465</v>
      </c>
      <c r="D57" s="287"/>
      <c r="E57" s="286">
        <v>1467</v>
      </c>
      <c r="F57" s="287"/>
      <c r="G57" s="286">
        <v>1467</v>
      </c>
      <c r="H57" s="287"/>
      <c r="I57" s="286">
        <v>1467</v>
      </c>
      <c r="J57" s="287"/>
    </row>
    <row r="58" spans="1:10" x14ac:dyDescent="0.3">
      <c r="A58" s="120" t="s">
        <v>36</v>
      </c>
      <c r="B58" s="121"/>
      <c r="C58" s="103">
        <f>SUM(C50:D57)</f>
        <v>204869</v>
      </c>
      <c r="D58" s="104"/>
      <c r="E58" s="103">
        <f>SUM(E50:F57)</f>
        <v>205091</v>
      </c>
      <c r="F58" s="104"/>
      <c r="G58" s="103">
        <f>SUM(G50:H57)</f>
        <v>205268</v>
      </c>
      <c r="H58" s="104"/>
      <c r="I58" s="103">
        <f>SUM(I50:J57)</f>
        <v>205572</v>
      </c>
      <c r="J58" s="104"/>
    </row>
    <row r="60" spans="1:10" x14ac:dyDescent="0.3">
      <c r="A60" s="124" t="s">
        <v>37</v>
      </c>
      <c r="B60" s="125"/>
      <c r="C60" s="130" t="s">
        <v>85</v>
      </c>
      <c r="D60" s="131"/>
      <c r="E60" s="130" t="s">
        <v>101</v>
      </c>
      <c r="F60" s="131"/>
      <c r="G60" s="130" t="s">
        <v>110</v>
      </c>
      <c r="H60" s="131"/>
      <c r="I60" s="130" t="s">
        <v>121</v>
      </c>
      <c r="J60" s="131"/>
    </row>
    <row r="61" spans="1:10" x14ac:dyDescent="0.3">
      <c r="A61" s="126"/>
      <c r="B61" s="127"/>
      <c r="C61" s="288">
        <v>135132</v>
      </c>
      <c r="D61" s="289"/>
      <c r="E61" s="288">
        <v>135294</v>
      </c>
      <c r="F61" s="289"/>
      <c r="G61" s="288">
        <v>135504</v>
      </c>
      <c r="H61" s="289"/>
      <c r="I61" s="288">
        <v>135184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58</v>
      </c>
      <c r="D66" s="115"/>
      <c r="E66" s="114" t="s">
        <v>62</v>
      </c>
      <c r="F66" s="115"/>
      <c r="G66" s="114" t="s">
        <v>86</v>
      </c>
      <c r="H66" s="115"/>
      <c r="I66" s="114" t="s">
        <v>122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25535</v>
      </c>
      <c r="D69" s="287"/>
      <c r="E69" s="286">
        <v>25946</v>
      </c>
      <c r="F69" s="287"/>
      <c r="G69" s="286">
        <v>26425</v>
      </c>
      <c r="H69" s="287"/>
      <c r="I69" s="286">
        <v>26734</v>
      </c>
      <c r="J69" s="287"/>
    </row>
    <row r="70" spans="1:10" x14ac:dyDescent="0.3">
      <c r="A70" s="101" t="s">
        <v>13</v>
      </c>
      <c r="B70" s="102"/>
      <c r="C70" s="286">
        <v>6410</v>
      </c>
      <c r="D70" s="287"/>
      <c r="E70" s="286">
        <v>6472</v>
      </c>
      <c r="F70" s="287"/>
      <c r="G70" s="286">
        <v>6548</v>
      </c>
      <c r="H70" s="287"/>
      <c r="I70" s="286">
        <v>6594</v>
      </c>
      <c r="J70" s="287"/>
    </row>
    <row r="71" spans="1:10" x14ac:dyDescent="0.3">
      <c r="A71" s="107" t="s">
        <v>14</v>
      </c>
      <c r="B71" s="108"/>
      <c r="C71" s="286">
        <v>5313</v>
      </c>
      <c r="D71" s="287"/>
      <c r="E71" s="286">
        <v>5395</v>
      </c>
      <c r="F71" s="287"/>
      <c r="G71" s="286">
        <v>5483</v>
      </c>
      <c r="H71" s="287"/>
      <c r="I71" s="286">
        <v>5540</v>
      </c>
      <c r="J71" s="287"/>
    </row>
    <row r="72" spans="1:10" x14ac:dyDescent="0.3">
      <c r="A72" s="107" t="s">
        <v>41</v>
      </c>
      <c r="B72" s="108"/>
      <c r="C72" s="286">
        <v>968</v>
      </c>
      <c r="D72" s="287"/>
      <c r="E72" s="286">
        <v>1002</v>
      </c>
      <c r="F72" s="287"/>
      <c r="G72" s="286">
        <v>1038</v>
      </c>
      <c r="H72" s="287"/>
      <c r="I72" s="286">
        <v>1070</v>
      </c>
      <c r="J72" s="287"/>
    </row>
    <row r="73" spans="1:10" x14ac:dyDescent="0.3">
      <c r="A73" s="101" t="s">
        <v>15</v>
      </c>
      <c r="B73" s="102"/>
      <c r="C73" s="286">
        <v>3684</v>
      </c>
      <c r="D73" s="287"/>
      <c r="E73" s="286">
        <v>3746</v>
      </c>
      <c r="F73" s="287"/>
      <c r="G73" s="286">
        <v>4002</v>
      </c>
      <c r="H73" s="287"/>
      <c r="I73" s="286">
        <v>3930</v>
      </c>
      <c r="J73" s="287"/>
    </row>
    <row r="74" spans="1:10" x14ac:dyDescent="0.3">
      <c r="A74" s="107" t="s">
        <v>16</v>
      </c>
      <c r="B74" s="108"/>
      <c r="C74" s="286">
        <v>4191</v>
      </c>
      <c r="D74" s="287"/>
      <c r="E74" s="286">
        <v>4260</v>
      </c>
      <c r="F74" s="287"/>
      <c r="G74" s="286">
        <v>4380</v>
      </c>
      <c r="H74" s="287"/>
      <c r="I74" s="286">
        <v>4451</v>
      </c>
      <c r="J74" s="287"/>
    </row>
    <row r="75" spans="1:10" x14ac:dyDescent="0.3">
      <c r="A75" s="101" t="s">
        <v>17</v>
      </c>
      <c r="B75" s="102"/>
      <c r="C75" s="286">
        <v>5480</v>
      </c>
      <c r="D75" s="287"/>
      <c r="E75" s="286">
        <v>5630</v>
      </c>
      <c r="F75" s="287"/>
      <c r="G75" s="286">
        <v>5918</v>
      </c>
      <c r="H75" s="287"/>
      <c r="I75" s="286">
        <v>6110</v>
      </c>
      <c r="J75" s="287"/>
    </row>
    <row r="76" spans="1:10" x14ac:dyDescent="0.3">
      <c r="A76" s="107" t="s">
        <v>18</v>
      </c>
      <c r="B76" s="108"/>
      <c r="C76" s="286">
        <v>1344</v>
      </c>
      <c r="D76" s="287"/>
      <c r="E76" s="286">
        <v>1357</v>
      </c>
      <c r="F76" s="287"/>
      <c r="G76" s="286">
        <v>1369</v>
      </c>
      <c r="H76" s="287"/>
      <c r="I76" s="286">
        <v>1378</v>
      </c>
      <c r="J76" s="287"/>
    </row>
    <row r="77" spans="1:10" x14ac:dyDescent="0.3">
      <c r="A77" s="101" t="s">
        <v>19</v>
      </c>
      <c r="B77" s="102"/>
      <c r="C77" s="286">
        <v>4487</v>
      </c>
      <c r="D77" s="287"/>
      <c r="E77" s="286">
        <v>4531</v>
      </c>
      <c r="F77" s="287"/>
      <c r="G77" s="286">
        <v>4728</v>
      </c>
      <c r="H77" s="287"/>
      <c r="I77" s="286">
        <v>4835</v>
      </c>
      <c r="J77" s="287"/>
    </row>
    <row r="78" spans="1:10" x14ac:dyDescent="0.3">
      <c r="A78" s="105" t="s">
        <v>42</v>
      </c>
      <c r="B78" s="106"/>
      <c r="C78" s="103">
        <f>SUM(C69:C77)</f>
        <v>57412</v>
      </c>
      <c r="D78" s="104"/>
      <c r="E78" s="103">
        <f>SUM(E69:E77)</f>
        <v>58339</v>
      </c>
      <c r="F78" s="104"/>
      <c r="G78" s="103">
        <f>SUM(G69:G77)</f>
        <v>59891</v>
      </c>
      <c r="H78" s="104"/>
      <c r="I78" s="103">
        <f>SUM(I69:I77)</f>
        <v>60642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136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9446</v>
      </c>
      <c r="D5" s="299"/>
      <c r="E5" s="298">
        <v>3984</v>
      </c>
      <c r="F5" s="299"/>
      <c r="G5" s="298">
        <v>3336</v>
      </c>
      <c r="H5" s="299"/>
      <c r="I5" s="298">
        <v>3248</v>
      </c>
      <c r="J5" s="299"/>
      <c r="K5" s="298">
        <v>1088</v>
      </c>
      <c r="L5" s="299"/>
      <c r="M5" s="10">
        <v>3320</v>
      </c>
      <c r="N5" s="10">
        <v>764</v>
      </c>
      <c r="O5" s="10">
        <v>2614</v>
      </c>
      <c r="P5" s="10">
        <v>1632</v>
      </c>
      <c r="Q5" s="10">
        <v>0</v>
      </c>
    </row>
    <row r="6" spans="1:17" ht="13.5" customHeight="1" x14ac:dyDescent="0.3">
      <c r="A6" s="211" t="s">
        <v>11</v>
      </c>
      <c r="B6" s="212"/>
      <c r="C6" s="149">
        <v>859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278</v>
      </c>
      <c r="D7" s="240"/>
      <c r="E7" s="239">
        <v>11</v>
      </c>
      <c r="F7" s="240"/>
      <c r="G7" s="239">
        <v>7</v>
      </c>
      <c r="H7" s="240"/>
      <c r="I7" s="239">
        <v>295</v>
      </c>
      <c r="J7" s="240"/>
      <c r="K7" s="239">
        <v>301</v>
      </c>
      <c r="L7" s="240"/>
      <c r="M7" s="1">
        <v>533</v>
      </c>
      <c r="N7" s="1">
        <v>34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356</v>
      </c>
      <c r="D8" s="240"/>
      <c r="E8" s="239">
        <v>0</v>
      </c>
      <c r="F8" s="240"/>
      <c r="G8" s="239">
        <v>0</v>
      </c>
      <c r="H8" s="240"/>
      <c r="I8" s="239">
        <v>130</v>
      </c>
      <c r="J8" s="240"/>
      <c r="K8" s="239">
        <v>0</v>
      </c>
      <c r="L8" s="240"/>
      <c r="M8" s="1">
        <v>158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248</v>
      </c>
      <c r="D9" s="240"/>
      <c r="E9" s="239">
        <v>0</v>
      </c>
      <c r="F9" s="240"/>
      <c r="G9" s="239">
        <v>0</v>
      </c>
      <c r="H9" s="240"/>
      <c r="I9" s="239">
        <v>92</v>
      </c>
      <c r="J9" s="240"/>
      <c r="K9" s="239">
        <v>78</v>
      </c>
      <c r="L9" s="240"/>
      <c r="M9" s="1">
        <v>214</v>
      </c>
      <c r="N9" s="1">
        <v>8</v>
      </c>
      <c r="O9" s="1">
        <v>7</v>
      </c>
      <c r="P9" s="1">
        <v>42</v>
      </c>
      <c r="Q9" s="1">
        <v>26</v>
      </c>
    </row>
    <row r="10" spans="1:17" x14ac:dyDescent="0.3">
      <c r="A10" s="101" t="s">
        <v>15</v>
      </c>
      <c r="B10" s="102"/>
      <c r="C10" s="239">
        <v>390</v>
      </c>
      <c r="D10" s="240"/>
      <c r="E10" s="239">
        <v>0</v>
      </c>
      <c r="F10" s="240"/>
      <c r="G10" s="239">
        <v>0</v>
      </c>
      <c r="H10" s="240"/>
      <c r="I10" s="239">
        <v>278</v>
      </c>
      <c r="J10" s="240"/>
      <c r="K10" s="239">
        <v>50</v>
      </c>
      <c r="L10" s="240"/>
      <c r="M10" s="1">
        <v>212</v>
      </c>
      <c r="N10" s="1">
        <v>40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252</v>
      </c>
      <c r="D11" s="246"/>
      <c r="E11" s="239">
        <v>14</v>
      </c>
      <c r="F11" s="240"/>
      <c r="G11" s="239">
        <v>0</v>
      </c>
      <c r="H11" s="240"/>
      <c r="I11" s="239">
        <v>58</v>
      </c>
      <c r="J11" s="240"/>
      <c r="K11" s="239">
        <v>39</v>
      </c>
      <c r="L11" s="240"/>
      <c r="M11" s="1">
        <v>174</v>
      </c>
      <c r="N11" s="1">
        <v>210</v>
      </c>
      <c r="O11" s="1">
        <v>82</v>
      </c>
      <c r="P11" s="1">
        <v>14</v>
      </c>
      <c r="Q11" s="1">
        <v>15</v>
      </c>
    </row>
    <row r="12" spans="1:17" x14ac:dyDescent="0.3">
      <c r="A12" s="101" t="s">
        <v>17</v>
      </c>
      <c r="B12" s="102"/>
      <c r="C12" s="245">
        <v>250</v>
      </c>
      <c r="D12" s="246"/>
      <c r="E12" s="239">
        <v>73</v>
      </c>
      <c r="F12" s="240"/>
      <c r="G12" s="239">
        <v>70</v>
      </c>
      <c r="H12" s="240"/>
      <c r="I12" s="239">
        <v>74</v>
      </c>
      <c r="J12" s="240"/>
      <c r="K12" s="239">
        <v>10</v>
      </c>
      <c r="L12" s="240"/>
      <c r="M12" s="1">
        <v>330</v>
      </c>
      <c r="N12" s="1">
        <v>165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269</v>
      </c>
      <c r="D13" s="246"/>
      <c r="E13" s="239">
        <v>0</v>
      </c>
      <c r="F13" s="240"/>
      <c r="G13" s="239">
        <v>1</v>
      </c>
      <c r="H13" s="240"/>
      <c r="I13" s="239">
        <v>240</v>
      </c>
      <c r="J13" s="240"/>
      <c r="K13" s="239">
        <v>34</v>
      </c>
      <c r="L13" s="240"/>
      <c r="M13" s="1">
        <v>67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105</v>
      </c>
      <c r="D14" s="248"/>
      <c r="E14" s="247">
        <v>0</v>
      </c>
      <c r="F14" s="248"/>
      <c r="G14" s="247">
        <v>0</v>
      </c>
      <c r="H14" s="248"/>
      <c r="I14" s="239">
        <v>148</v>
      </c>
      <c r="J14" s="240"/>
      <c r="K14" s="247">
        <v>12</v>
      </c>
      <c r="L14" s="248"/>
      <c r="M14" s="2">
        <v>144</v>
      </c>
      <c r="N14" s="2">
        <v>17</v>
      </c>
      <c r="O14" s="2">
        <v>0</v>
      </c>
      <c r="P14" s="2">
        <v>40</v>
      </c>
      <c r="Q14" s="2">
        <v>47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2896</v>
      </c>
      <c r="P15" s="2">
        <v>2201</v>
      </c>
      <c r="Q15" s="2">
        <v>2386</v>
      </c>
    </row>
    <row r="16" spans="1:17" ht="15" thickBot="1" x14ac:dyDescent="0.35">
      <c r="A16" s="199" t="s">
        <v>20</v>
      </c>
      <c r="B16" s="200"/>
      <c r="C16" s="201">
        <f>SUM(C5:D15)</f>
        <v>12453</v>
      </c>
      <c r="D16" s="202"/>
      <c r="E16" s="201">
        <f>SUM(E5:F15)</f>
        <v>4082</v>
      </c>
      <c r="F16" s="202"/>
      <c r="G16" s="201">
        <f>SUM(G5:H15)</f>
        <v>3414</v>
      </c>
      <c r="H16" s="202"/>
      <c r="I16" s="201">
        <f>SUM(I5:J15)</f>
        <v>4563</v>
      </c>
      <c r="J16" s="202"/>
      <c r="K16" s="201">
        <f>SUM(K5:L15)</f>
        <v>1612</v>
      </c>
      <c r="L16" s="202"/>
      <c r="M16" s="3">
        <f>SUM(M5:M15)</f>
        <v>5152</v>
      </c>
      <c r="N16" s="4">
        <f>SUM(N5:N15)</f>
        <v>1289</v>
      </c>
      <c r="O16" s="4">
        <f>SUM(O5:O15)</f>
        <v>5600</v>
      </c>
      <c r="P16" s="4">
        <f>SUM(P5:P15)</f>
        <v>3966</v>
      </c>
      <c r="Q16" s="5">
        <f>SUM(Q5:Q15)</f>
        <v>2512</v>
      </c>
    </row>
    <row r="17" spans="1:17" x14ac:dyDescent="0.3">
      <c r="A17" s="190" t="s">
        <v>21</v>
      </c>
      <c r="B17" s="191"/>
      <c r="C17" s="251">
        <v>9446</v>
      </c>
      <c r="D17" s="252"/>
      <c r="E17" s="253">
        <v>3984</v>
      </c>
      <c r="F17" s="254"/>
      <c r="G17" s="255">
        <v>3336</v>
      </c>
      <c r="H17" s="256"/>
      <c r="I17" s="255">
        <v>3248</v>
      </c>
      <c r="J17" s="256"/>
      <c r="K17" s="253">
        <v>1088</v>
      </c>
      <c r="L17" s="254"/>
      <c r="M17" s="9">
        <v>3320</v>
      </c>
      <c r="N17" s="9">
        <v>764</v>
      </c>
      <c r="O17" s="9">
        <v>2194</v>
      </c>
      <c r="P17" s="9">
        <v>1396</v>
      </c>
      <c r="Q17" s="9">
        <v>0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136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241</v>
      </c>
      <c r="D25" s="259"/>
      <c r="E25" s="260" t="s">
        <v>143</v>
      </c>
      <c r="F25" s="261"/>
      <c r="G25" s="258">
        <v>0</v>
      </c>
      <c r="H25" s="259"/>
      <c r="I25" s="258">
        <v>196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5</v>
      </c>
      <c r="D26" s="259"/>
      <c r="E26" s="260" t="s">
        <v>25</v>
      </c>
      <c r="F26" s="261"/>
      <c r="G26" s="258">
        <v>0</v>
      </c>
      <c r="H26" s="259"/>
      <c r="I26" s="258">
        <v>41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151</v>
      </c>
      <c r="D27" s="259"/>
      <c r="E27" s="260" t="s">
        <v>127</v>
      </c>
      <c r="F27" s="261"/>
      <c r="G27" s="258">
        <v>2</v>
      </c>
      <c r="H27" s="259"/>
      <c r="I27" s="258">
        <v>33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141</v>
      </c>
      <c r="D28" s="261"/>
      <c r="E28" s="260" t="s">
        <v>131</v>
      </c>
      <c r="F28" s="261"/>
      <c r="G28" s="258">
        <v>0</v>
      </c>
      <c r="H28" s="259"/>
      <c r="I28" s="258">
        <v>5</v>
      </c>
      <c r="J28" s="259"/>
      <c r="K28" s="8">
        <v>3</v>
      </c>
    </row>
    <row r="29" spans="1:17" x14ac:dyDescent="0.3">
      <c r="A29" s="101" t="s">
        <v>16</v>
      </c>
      <c r="B29" s="102"/>
      <c r="C29" s="270" t="s">
        <v>138</v>
      </c>
      <c r="D29" s="271"/>
      <c r="E29" s="260" t="s">
        <v>97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20</v>
      </c>
      <c r="D30" s="271"/>
      <c r="E30" s="258" t="s">
        <v>140</v>
      </c>
      <c r="F30" s="259"/>
      <c r="G30" s="258">
        <v>0</v>
      </c>
      <c r="H30" s="259"/>
      <c r="I30" s="258">
        <v>10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2</v>
      </c>
      <c r="D31" s="271"/>
      <c r="E31" s="260" t="s">
        <v>25</v>
      </c>
      <c r="F31" s="261"/>
      <c r="G31" s="258">
        <v>0</v>
      </c>
      <c r="H31" s="259"/>
      <c r="I31" s="258">
        <v>3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8</v>
      </c>
      <c r="D32" s="259"/>
      <c r="E32" s="260" t="s">
        <v>25</v>
      </c>
      <c r="F32" s="261"/>
      <c r="G32" s="258">
        <v>0</v>
      </c>
      <c r="H32" s="259"/>
      <c r="I32" s="258">
        <v>5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136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144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145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128</v>
      </c>
      <c r="D40" s="259"/>
      <c r="E40" s="276" t="s">
        <v>129</v>
      </c>
      <c r="F40" s="277"/>
      <c r="G40" s="258">
        <v>3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142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139</v>
      </c>
      <c r="D42" s="271"/>
      <c r="E42" s="276" t="s">
        <v>125</v>
      </c>
      <c r="F42" s="277"/>
      <c r="G42" s="258">
        <v>0</v>
      </c>
      <c r="H42" s="259"/>
      <c r="I42" s="258" t="s">
        <v>126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137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101</v>
      </c>
      <c r="D49" s="282"/>
      <c r="E49" s="281" t="s">
        <v>110</v>
      </c>
      <c r="F49" s="282"/>
      <c r="G49" s="281" t="s">
        <v>121</v>
      </c>
      <c r="H49" s="282"/>
      <c r="I49" s="281" t="s">
        <v>136</v>
      </c>
      <c r="J49" s="282"/>
    </row>
    <row r="50" spans="1:10" x14ac:dyDescent="0.3">
      <c r="A50" s="284" t="s">
        <v>30</v>
      </c>
      <c r="B50" s="285"/>
      <c r="C50" s="286">
        <v>14568</v>
      </c>
      <c r="D50" s="287"/>
      <c r="E50" s="286">
        <v>14516</v>
      </c>
      <c r="F50" s="287"/>
      <c r="G50" s="286">
        <v>14472</v>
      </c>
      <c r="H50" s="287"/>
      <c r="I50" s="286">
        <v>14437</v>
      </c>
      <c r="J50" s="287"/>
    </row>
    <row r="51" spans="1:10" x14ac:dyDescent="0.3">
      <c r="A51" s="284" t="s">
        <v>31</v>
      </c>
      <c r="B51" s="285"/>
      <c r="C51" s="286">
        <v>8412</v>
      </c>
      <c r="D51" s="287"/>
      <c r="E51" s="286">
        <v>8413</v>
      </c>
      <c r="F51" s="287"/>
      <c r="G51" s="286">
        <v>8398</v>
      </c>
      <c r="H51" s="287"/>
      <c r="I51" s="286">
        <v>8419</v>
      </c>
      <c r="J51" s="287"/>
    </row>
    <row r="52" spans="1:10" x14ac:dyDescent="0.3">
      <c r="A52" s="284" t="s">
        <v>32</v>
      </c>
      <c r="B52" s="285"/>
      <c r="C52" s="286">
        <v>116523</v>
      </c>
      <c r="D52" s="287"/>
      <c r="E52" s="286">
        <v>116447</v>
      </c>
      <c r="F52" s="287"/>
      <c r="G52" s="286">
        <v>116430</v>
      </c>
      <c r="H52" s="287"/>
      <c r="I52" s="286">
        <v>116407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52429</v>
      </c>
      <c r="D54" s="287"/>
      <c r="E54" s="286">
        <v>52398</v>
      </c>
      <c r="F54" s="287"/>
      <c r="G54" s="286">
        <v>52354</v>
      </c>
      <c r="H54" s="287"/>
      <c r="I54" s="286">
        <v>52339</v>
      </c>
      <c r="J54" s="287"/>
    </row>
    <row r="55" spans="1:10" x14ac:dyDescent="0.3">
      <c r="A55" s="284" t="s">
        <v>53</v>
      </c>
      <c r="B55" s="285"/>
      <c r="C55" s="286">
        <v>2649</v>
      </c>
      <c r="D55" s="287"/>
      <c r="E55" s="286">
        <v>2769</v>
      </c>
      <c r="F55" s="287"/>
      <c r="G55" s="286">
        <v>2910</v>
      </c>
      <c r="H55" s="287"/>
      <c r="I55" s="286">
        <v>3038</v>
      </c>
      <c r="J55" s="287"/>
    </row>
    <row r="56" spans="1:10" x14ac:dyDescent="0.3">
      <c r="A56" s="284" t="s">
        <v>49</v>
      </c>
      <c r="B56" s="285"/>
      <c r="C56" s="286">
        <v>8803</v>
      </c>
      <c r="D56" s="287"/>
      <c r="E56" s="286">
        <v>9018</v>
      </c>
      <c r="F56" s="287"/>
      <c r="G56" s="286">
        <v>9301</v>
      </c>
      <c r="H56" s="287"/>
      <c r="I56" s="286">
        <v>9528</v>
      </c>
      <c r="J56" s="287"/>
    </row>
    <row r="57" spans="1:10" x14ac:dyDescent="0.3">
      <c r="A57" s="284" t="s">
        <v>35</v>
      </c>
      <c r="B57" s="285"/>
      <c r="C57" s="286">
        <v>1467</v>
      </c>
      <c r="D57" s="287"/>
      <c r="E57" s="286">
        <v>1467</v>
      </c>
      <c r="F57" s="287"/>
      <c r="G57" s="286">
        <v>1467</v>
      </c>
      <c r="H57" s="287"/>
      <c r="I57" s="286">
        <v>1471</v>
      </c>
      <c r="J57" s="287"/>
    </row>
    <row r="58" spans="1:10" x14ac:dyDescent="0.3">
      <c r="A58" s="120" t="s">
        <v>36</v>
      </c>
      <c r="B58" s="121"/>
      <c r="C58" s="103">
        <f>SUM(C50:D57)</f>
        <v>205091</v>
      </c>
      <c r="D58" s="104"/>
      <c r="E58" s="103">
        <f>SUM(E50:F57)</f>
        <v>205268</v>
      </c>
      <c r="F58" s="104"/>
      <c r="G58" s="103">
        <f>SUM(G50:H57)</f>
        <v>205572</v>
      </c>
      <c r="H58" s="104"/>
      <c r="I58" s="103">
        <f>SUM(I50:J57)</f>
        <v>205879</v>
      </c>
      <c r="J58" s="104"/>
    </row>
    <row r="60" spans="1:10" x14ac:dyDescent="0.3">
      <c r="A60" s="124" t="s">
        <v>37</v>
      </c>
      <c r="B60" s="125"/>
      <c r="C60" s="130" t="s">
        <v>101</v>
      </c>
      <c r="D60" s="131"/>
      <c r="E60" s="130" t="s">
        <v>110</v>
      </c>
      <c r="F60" s="131"/>
      <c r="G60" s="130" t="s">
        <v>121</v>
      </c>
      <c r="H60" s="131"/>
      <c r="I60" s="130" t="s">
        <v>136</v>
      </c>
      <c r="J60" s="131"/>
    </row>
    <row r="61" spans="1:10" x14ac:dyDescent="0.3">
      <c r="A61" s="126"/>
      <c r="B61" s="127"/>
      <c r="C61" s="288">
        <v>135294</v>
      </c>
      <c r="D61" s="289"/>
      <c r="E61" s="288">
        <v>135504</v>
      </c>
      <c r="F61" s="289"/>
      <c r="G61" s="288">
        <v>135184</v>
      </c>
      <c r="H61" s="289"/>
      <c r="I61" s="288">
        <v>135339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58</v>
      </c>
      <c r="D66" s="115"/>
      <c r="E66" s="114" t="s">
        <v>62</v>
      </c>
      <c r="F66" s="115"/>
      <c r="G66" s="114" t="s">
        <v>86</v>
      </c>
      <c r="H66" s="115"/>
      <c r="I66" s="114" t="s">
        <v>122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25535</v>
      </c>
      <c r="D69" s="287"/>
      <c r="E69" s="286">
        <v>25946</v>
      </c>
      <c r="F69" s="287"/>
      <c r="G69" s="286">
        <v>26425</v>
      </c>
      <c r="H69" s="287"/>
      <c r="I69" s="286">
        <v>26734</v>
      </c>
      <c r="J69" s="287"/>
    </row>
    <row r="70" spans="1:10" x14ac:dyDescent="0.3">
      <c r="A70" s="101" t="s">
        <v>13</v>
      </c>
      <c r="B70" s="102"/>
      <c r="C70" s="286">
        <v>6410</v>
      </c>
      <c r="D70" s="287"/>
      <c r="E70" s="286">
        <v>6472</v>
      </c>
      <c r="F70" s="287"/>
      <c r="G70" s="286">
        <v>6548</v>
      </c>
      <c r="H70" s="287"/>
      <c r="I70" s="286">
        <v>6594</v>
      </c>
      <c r="J70" s="287"/>
    </row>
    <row r="71" spans="1:10" x14ac:dyDescent="0.3">
      <c r="A71" s="107" t="s">
        <v>14</v>
      </c>
      <c r="B71" s="108"/>
      <c r="C71" s="286">
        <v>5313</v>
      </c>
      <c r="D71" s="287"/>
      <c r="E71" s="286">
        <v>5395</v>
      </c>
      <c r="F71" s="287"/>
      <c r="G71" s="286">
        <v>5483</v>
      </c>
      <c r="H71" s="287"/>
      <c r="I71" s="286">
        <v>5540</v>
      </c>
      <c r="J71" s="287"/>
    </row>
    <row r="72" spans="1:10" x14ac:dyDescent="0.3">
      <c r="A72" s="107" t="s">
        <v>41</v>
      </c>
      <c r="B72" s="108"/>
      <c r="C72" s="286">
        <v>968</v>
      </c>
      <c r="D72" s="287"/>
      <c r="E72" s="286">
        <v>1002</v>
      </c>
      <c r="F72" s="287"/>
      <c r="G72" s="286">
        <v>1038</v>
      </c>
      <c r="H72" s="287"/>
      <c r="I72" s="286">
        <v>1070</v>
      </c>
      <c r="J72" s="287"/>
    </row>
    <row r="73" spans="1:10" x14ac:dyDescent="0.3">
      <c r="A73" s="101" t="s">
        <v>15</v>
      </c>
      <c r="B73" s="102"/>
      <c r="C73" s="286">
        <v>3684</v>
      </c>
      <c r="D73" s="287"/>
      <c r="E73" s="286">
        <v>3746</v>
      </c>
      <c r="F73" s="287"/>
      <c r="G73" s="286">
        <v>4002</v>
      </c>
      <c r="H73" s="287"/>
      <c r="I73" s="286">
        <v>3930</v>
      </c>
      <c r="J73" s="287"/>
    </row>
    <row r="74" spans="1:10" x14ac:dyDescent="0.3">
      <c r="A74" s="107" t="s">
        <v>16</v>
      </c>
      <c r="B74" s="108"/>
      <c r="C74" s="286">
        <v>4191</v>
      </c>
      <c r="D74" s="287"/>
      <c r="E74" s="286">
        <v>4260</v>
      </c>
      <c r="F74" s="287"/>
      <c r="G74" s="286">
        <v>4380</v>
      </c>
      <c r="H74" s="287"/>
      <c r="I74" s="286">
        <v>4451</v>
      </c>
      <c r="J74" s="287"/>
    </row>
    <row r="75" spans="1:10" x14ac:dyDescent="0.3">
      <c r="A75" s="101" t="s">
        <v>17</v>
      </c>
      <c r="B75" s="102"/>
      <c r="C75" s="286">
        <v>5480</v>
      </c>
      <c r="D75" s="287"/>
      <c r="E75" s="286">
        <v>5630</v>
      </c>
      <c r="F75" s="287"/>
      <c r="G75" s="286">
        <v>5918</v>
      </c>
      <c r="H75" s="287"/>
      <c r="I75" s="286">
        <v>6110</v>
      </c>
      <c r="J75" s="287"/>
    </row>
    <row r="76" spans="1:10" x14ac:dyDescent="0.3">
      <c r="A76" s="107" t="s">
        <v>18</v>
      </c>
      <c r="B76" s="108"/>
      <c r="C76" s="286">
        <v>1344</v>
      </c>
      <c r="D76" s="287"/>
      <c r="E76" s="286">
        <v>1357</v>
      </c>
      <c r="F76" s="287"/>
      <c r="G76" s="286">
        <v>1369</v>
      </c>
      <c r="H76" s="287"/>
      <c r="I76" s="286">
        <v>1378</v>
      </c>
      <c r="J76" s="287"/>
    </row>
    <row r="77" spans="1:10" x14ac:dyDescent="0.3">
      <c r="A77" s="101" t="s">
        <v>19</v>
      </c>
      <c r="B77" s="102"/>
      <c r="C77" s="286">
        <v>4487</v>
      </c>
      <c r="D77" s="287"/>
      <c r="E77" s="286">
        <v>4531</v>
      </c>
      <c r="F77" s="287"/>
      <c r="G77" s="286">
        <v>4728</v>
      </c>
      <c r="H77" s="287"/>
      <c r="I77" s="286">
        <v>4835</v>
      </c>
      <c r="J77" s="287"/>
    </row>
    <row r="78" spans="1:10" x14ac:dyDescent="0.3">
      <c r="A78" s="105" t="s">
        <v>42</v>
      </c>
      <c r="B78" s="106"/>
      <c r="C78" s="103">
        <f>SUM(C69:C77)</f>
        <v>57412</v>
      </c>
      <c r="D78" s="104"/>
      <c r="E78" s="103">
        <f>SUM(E69:E77)</f>
        <v>58339</v>
      </c>
      <c r="F78" s="104"/>
      <c r="G78" s="103">
        <f>SUM(G69:G77)</f>
        <v>59891</v>
      </c>
      <c r="H78" s="104"/>
      <c r="I78" s="103">
        <f>SUM(I69:I77)</f>
        <v>60642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146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9446</v>
      </c>
      <c r="D5" s="299"/>
      <c r="E5" s="298">
        <v>3984</v>
      </c>
      <c r="F5" s="299"/>
      <c r="G5" s="298">
        <v>3336</v>
      </c>
      <c r="H5" s="299"/>
      <c r="I5" s="298">
        <v>3008</v>
      </c>
      <c r="J5" s="299"/>
      <c r="K5" s="298">
        <v>968</v>
      </c>
      <c r="L5" s="299"/>
      <c r="M5" s="10">
        <v>3120</v>
      </c>
      <c r="N5" s="10">
        <v>764</v>
      </c>
      <c r="O5" s="10">
        <v>1407</v>
      </c>
      <c r="P5" s="10">
        <v>846</v>
      </c>
      <c r="Q5" s="10">
        <v>0</v>
      </c>
    </row>
    <row r="6" spans="1:17" ht="13.5" customHeight="1" x14ac:dyDescent="0.3">
      <c r="A6" s="211" t="s">
        <v>11</v>
      </c>
      <c r="B6" s="212"/>
      <c r="C6" s="149">
        <v>859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208</v>
      </c>
      <c r="D7" s="240"/>
      <c r="E7" s="239">
        <v>11</v>
      </c>
      <c r="F7" s="240"/>
      <c r="G7" s="239">
        <v>7</v>
      </c>
      <c r="H7" s="240"/>
      <c r="I7" s="239">
        <v>468</v>
      </c>
      <c r="J7" s="240"/>
      <c r="K7" s="239">
        <v>325</v>
      </c>
      <c r="L7" s="240"/>
      <c r="M7" s="1">
        <v>689</v>
      </c>
      <c r="N7" s="1">
        <v>33</v>
      </c>
      <c r="O7" s="1">
        <v>1</v>
      </c>
      <c r="P7" s="1">
        <v>21</v>
      </c>
      <c r="Q7" s="1">
        <v>27</v>
      </c>
    </row>
    <row r="8" spans="1:17" x14ac:dyDescent="0.3">
      <c r="A8" s="101" t="s">
        <v>13</v>
      </c>
      <c r="B8" s="102"/>
      <c r="C8" s="239">
        <v>345</v>
      </c>
      <c r="D8" s="240"/>
      <c r="E8" s="239">
        <v>0</v>
      </c>
      <c r="F8" s="240"/>
      <c r="G8" s="239">
        <v>0</v>
      </c>
      <c r="H8" s="240"/>
      <c r="I8" s="239">
        <v>148</v>
      </c>
      <c r="J8" s="240"/>
      <c r="K8" s="239">
        <v>0</v>
      </c>
      <c r="L8" s="240"/>
      <c r="M8" s="1">
        <v>185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193</v>
      </c>
      <c r="D9" s="240"/>
      <c r="E9" s="239">
        <v>0</v>
      </c>
      <c r="F9" s="240"/>
      <c r="G9" s="239">
        <v>0</v>
      </c>
      <c r="H9" s="240"/>
      <c r="I9" s="239">
        <v>92</v>
      </c>
      <c r="J9" s="240"/>
      <c r="K9" s="239">
        <v>75</v>
      </c>
      <c r="L9" s="240"/>
      <c r="M9" s="1">
        <v>191</v>
      </c>
      <c r="N9" s="1">
        <v>8</v>
      </c>
      <c r="O9" s="1">
        <v>1</v>
      </c>
      <c r="P9" s="1">
        <v>42</v>
      </c>
      <c r="Q9" s="1">
        <v>2</v>
      </c>
    </row>
    <row r="10" spans="1:17" x14ac:dyDescent="0.3">
      <c r="A10" s="101" t="s">
        <v>15</v>
      </c>
      <c r="B10" s="102"/>
      <c r="C10" s="239">
        <v>342</v>
      </c>
      <c r="D10" s="240"/>
      <c r="E10" s="239">
        <v>0</v>
      </c>
      <c r="F10" s="240"/>
      <c r="G10" s="239">
        <v>0</v>
      </c>
      <c r="H10" s="240"/>
      <c r="I10" s="239">
        <v>265</v>
      </c>
      <c r="J10" s="240"/>
      <c r="K10" s="239">
        <v>40</v>
      </c>
      <c r="L10" s="240"/>
      <c r="M10" s="1">
        <v>156</v>
      </c>
      <c r="N10" s="1">
        <v>31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240</v>
      </c>
      <c r="D11" s="246"/>
      <c r="E11" s="239">
        <v>14</v>
      </c>
      <c r="F11" s="240"/>
      <c r="G11" s="239">
        <v>0</v>
      </c>
      <c r="H11" s="240"/>
      <c r="I11" s="239">
        <v>47</v>
      </c>
      <c r="J11" s="240"/>
      <c r="K11" s="239">
        <v>34</v>
      </c>
      <c r="L11" s="240"/>
      <c r="M11" s="1">
        <v>171</v>
      </c>
      <c r="N11" s="1">
        <v>208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210</v>
      </c>
      <c r="D12" s="246"/>
      <c r="E12" s="239">
        <v>33</v>
      </c>
      <c r="F12" s="240"/>
      <c r="G12" s="239">
        <v>65</v>
      </c>
      <c r="H12" s="240"/>
      <c r="I12" s="239">
        <v>59</v>
      </c>
      <c r="J12" s="240"/>
      <c r="K12" s="239">
        <v>10</v>
      </c>
      <c r="L12" s="240"/>
      <c r="M12" s="1">
        <v>290</v>
      </c>
      <c r="N12" s="1">
        <v>140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247</v>
      </c>
      <c r="D13" s="246"/>
      <c r="E13" s="239">
        <v>0</v>
      </c>
      <c r="F13" s="240"/>
      <c r="G13" s="239">
        <v>1</v>
      </c>
      <c r="H13" s="240"/>
      <c r="I13" s="239">
        <v>238</v>
      </c>
      <c r="J13" s="240"/>
      <c r="K13" s="239">
        <v>21</v>
      </c>
      <c r="L13" s="240"/>
      <c r="M13" s="1">
        <v>66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273</v>
      </c>
      <c r="D14" s="248"/>
      <c r="E14" s="247">
        <v>0</v>
      </c>
      <c r="F14" s="248"/>
      <c r="G14" s="247">
        <v>0</v>
      </c>
      <c r="H14" s="248"/>
      <c r="I14" s="239">
        <v>124</v>
      </c>
      <c r="J14" s="240"/>
      <c r="K14" s="247">
        <v>10</v>
      </c>
      <c r="L14" s="248"/>
      <c r="M14" s="2">
        <v>118</v>
      </c>
      <c r="N14" s="2">
        <v>17</v>
      </c>
      <c r="O14" s="2">
        <v>0</v>
      </c>
      <c r="P14" s="2">
        <v>9</v>
      </c>
      <c r="Q14" s="2">
        <v>5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3437</v>
      </c>
      <c r="P15" s="2">
        <v>2470</v>
      </c>
      <c r="Q15" s="2">
        <v>2013</v>
      </c>
    </row>
    <row r="16" spans="1:17" ht="15" thickBot="1" x14ac:dyDescent="0.35">
      <c r="A16" s="199" t="s">
        <v>20</v>
      </c>
      <c r="B16" s="200"/>
      <c r="C16" s="201">
        <f>SUM(C5:D15)</f>
        <v>12363</v>
      </c>
      <c r="D16" s="202"/>
      <c r="E16" s="201">
        <f>SUM(E5:F15)</f>
        <v>4042</v>
      </c>
      <c r="F16" s="202"/>
      <c r="G16" s="201">
        <f>SUM(G5:H15)</f>
        <v>3409</v>
      </c>
      <c r="H16" s="202"/>
      <c r="I16" s="201">
        <f>SUM(I5:J15)</f>
        <v>4449</v>
      </c>
      <c r="J16" s="202"/>
      <c r="K16" s="201">
        <f>SUM(K5:L15)</f>
        <v>1483</v>
      </c>
      <c r="L16" s="202"/>
      <c r="M16" s="3">
        <f>SUM(M5:M15)</f>
        <v>4986</v>
      </c>
      <c r="N16" s="4">
        <f>SUM(N5:N15)</f>
        <v>1252</v>
      </c>
      <c r="O16" s="4">
        <f>SUM(O5:O15)</f>
        <v>4928</v>
      </c>
      <c r="P16" s="4">
        <f>SUM(P5:P15)</f>
        <v>3418</v>
      </c>
      <c r="Q16" s="5">
        <f>SUM(Q5:Q15)</f>
        <v>2058</v>
      </c>
    </row>
    <row r="17" spans="1:17" x14ac:dyDescent="0.3">
      <c r="A17" s="190" t="s">
        <v>21</v>
      </c>
      <c r="B17" s="191"/>
      <c r="C17" s="251">
        <v>9296</v>
      </c>
      <c r="D17" s="252"/>
      <c r="E17" s="253">
        <v>3984</v>
      </c>
      <c r="F17" s="254"/>
      <c r="G17" s="255">
        <v>3336</v>
      </c>
      <c r="H17" s="256"/>
      <c r="I17" s="255">
        <v>2888</v>
      </c>
      <c r="J17" s="256"/>
      <c r="K17" s="253">
        <v>968</v>
      </c>
      <c r="L17" s="254"/>
      <c r="M17" s="9">
        <v>3020</v>
      </c>
      <c r="N17" s="9">
        <v>694</v>
      </c>
      <c r="O17" s="9">
        <v>307</v>
      </c>
      <c r="P17" s="9">
        <v>540</v>
      </c>
      <c r="Q17" s="9">
        <v>0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146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245</v>
      </c>
      <c r="D25" s="259"/>
      <c r="E25" s="260" t="s">
        <v>82</v>
      </c>
      <c r="F25" s="261"/>
      <c r="G25" s="258">
        <v>0</v>
      </c>
      <c r="H25" s="259"/>
      <c r="I25" s="258">
        <v>196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4</v>
      </c>
      <c r="D26" s="259"/>
      <c r="E26" s="260" t="s">
        <v>25</v>
      </c>
      <c r="F26" s="261"/>
      <c r="G26" s="258">
        <v>0</v>
      </c>
      <c r="H26" s="259"/>
      <c r="I26" s="258">
        <v>41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160</v>
      </c>
      <c r="D27" s="259"/>
      <c r="E27" s="260" t="s">
        <v>127</v>
      </c>
      <c r="F27" s="261"/>
      <c r="G27" s="258">
        <v>2</v>
      </c>
      <c r="H27" s="259"/>
      <c r="I27" s="258">
        <v>35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141</v>
      </c>
      <c r="D28" s="261"/>
      <c r="E28" s="260" t="s">
        <v>131</v>
      </c>
      <c r="F28" s="261"/>
      <c r="G28" s="258">
        <v>0</v>
      </c>
      <c r="H28" s="259"/>
      <c r="I28" s="258">
        <v>5</v>
      </c>
      <c r="J28" s="259"/>
      <c r="K28" s="8">
        <v>3</v>
      </c>
    </row>
    <row r="29" spans="1:17" x14ac:dyDescent="0.3">
      <c r="A29" s="101" t="s">
        <v>16</v>
      </c>
      <c r="B29" s="102"/>
      <c r="C29" s="270" t="s">
        <v>147</v>
      </c>
      <c r="D29" s="271"/>
      <c r="E29" s="260" t="s">
        <v>97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25</v>
      </c>
      <c r="D30" s="271"/>
      <c r="E30" s="258" t="s">
        <v>153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12</v>
      </c>
      <c r="D32" s="259"/>
      <c r="E32" s="260" t="s">
        <v>25</v>
      </c>
      <c r="F32" s="261"/>
      <c r="G32" s="258">
        <v>0</v>
      </c>
      <c r="H32" s="259"/>
      <c r="I32" s="258">
        <v>5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146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119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155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151</v>
      </c>
      <c r="D40" s="259"/>
      <c r="E40" s="276" t="s">
        <v>152</v>
      </c>
      <c r="F40" s="277"/>
      <c r="G40" s="258">
        <v>6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154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139</v>
      </c>
      <c r="D42" s="271"/>
      <c r="E42" s="276" t="s">
        <v>148</v>
      </c>
      <c r="F42" s="277"/>
      <c r="G42" s="258">
        <v>0</v>
      </c>
      <c r="H42" s="259"/>
      <c r="I42" s="258" t="s">
        <v>149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150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110</v>
      </c>
      <c r="D49" s="282"/>
      <c r="E49" s="281" t="s">
        <v>121</v>
      </c>
      <c r="F49" s="282"/>
      <c r="G49" s="281" t="s">
        <v>136</v>
      </c>
      <c r="H49" s="282"/>
      <c r="I49" s="281" t="s">
        <v>146</v>
      </c>
      <c r="J49" s="282"/>
    </row>
    <row r="50" spans="1:10" x14ac:dyDescent="0.3">
      <c r="A50" s="284" t="s">
        <v>30</v>
      </c>
      <c r="B50" s="285"/>
      <c r="C50" s="286">
        <v>14516</v>
      </c>
      <c r="D50" s="287"/>
      <c r="E50" s="286">
        <v>14472</v>
      </c>
      <c r="F50" s="287"/>
      <c r="G50" s="286">
        <v>14437</v>
      </c>
      <c r="H50" s="287"/>
      <c r="I50" s="286">
        <v>14410</v>
      </c>
      <c r="J50" s="287"/>
    </row>
    <row r="51" spans="1:10" x14ac:dyDescent="0.3">
      <c r="A51" s="284" t="s">
        <v>31</v>
      </c>
      <c r="B51" s="285"/>
      <c r="C51" s="286">
        <v>8413</v>
      </c>
      <c r="D51" s="287"/>
      <c r="E51" s="286">
        <v>8398</v>
      </c>
      <c r="F51" s="287"/>
      <c r="G51" s="286">
        <v>8419</v>
      </c>
      <c r="H51" s="287"/>
      <c r="I51" s="286">
        <v>8445</v>
      </c>
      <c r="J51" s="287"/>
    </row>
    <row r="52" spans="1:10" x14ac:dyDescent="0.3">
      <c r="A52" s="284" t="s">
        <v>32</v>
      </c>
      <c r="B52" s="285"/>
      <c r="C52" s="286">
        <v>116447</v>
      </c>
      <c r="D52" s="287"/>
      <c r="E52" s="286">
        <v>116430</v>
      </c>
      <c r="F52" s="287"/>
      <c r="G52" s="286">
        <v>116407</v>
      </c>
      <c r="H52" s="287"/>
      <c r="I52" s="286">
        <v>116362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52398</v>
      </c>
      <c r="D54" s="287"/>
      <c r="E54" s="286">
        <v>52354</v>
      </c>
      <c r="F54" s="287"/>
      <c r="G54" s="286">
        <v>52339</v>
      </c>
      <c r="H54" s="287"/>
      <c r="I54" s="286">
        <v>52316</v>
      </c>
      <c r="J54" s="287"/>
    </row>
    <row r="55" spans="1:10" x14ac:dyDescent="0.3">
      <c r="A55" s="284" t="s">
        <v>53</v>
      </c>
      <c r="B55" s="285"/>
      <c r="C55" s="286">
        <v>2769</v>
      </c>
      <c r="D55" s="287"/>
      <c r="E55" s="286">
        <v>2910</v>
      </c>
      <c r="F55" s="287"/>
      <c r="G55" s="286">
        <v>3038</v>
      </c>
      <c r="H55" s="287"/>
      <c r="I55" s="286">
        <v>3153</v>
      </c>
      <c r="J55" s="287"/>
    </row>
    <row r="56" spans="1:10" x14ac:dyDescent="0.3">
      <c r="A56" s="284" t="s">
        <v>49</v>
      </c>
      <c r="B56" s="285"/>
      <c r="C56" s="286">
        <v>9018</v>
      </c>
      <c r="D56" s="287"/>
      <c r="E56" s="286">
        <v>9301</v>
      </c>
      <c r="F56" s="287"/>
      <c r="G56" s="286">
        <v>9528</v>
      </c>
      <c r="H56" s="287"/>
      <c r="I56" s="286">
        <v>9744</v>
      </c>
      <c r="J56" s="287"/>
    </row>
    <row r="57" spans="1:10" x14ac:dyDescent="0.3">
      <c r="A57" s="284" t="s">
        <v>35</v>
      </c>
      <c r="B57" s="285"/>
      <c r="C57" s="286">
        <v>1467</v>
      </c>
      <c r="D57" s="287"/>
      <c r="E57" s="286">
        <v>1467</v>
      </c>
      <c r="F57" s="287"/>
      <c r="G57" s="286">
        <v>1471</v>
      </c>
      <c r="H57" s="287"/>
      <c r="I57" s="286">
        <v>1471</v>
      </c>
      <c r="J57" s="287"/>
    </row>
    <row r="58" spans="1:10" x14ac:dyDescent="0.3">
      <c r="A58" s="120" t="s">
        <v>36</v>
      </c>
      <c r="B58" s="121"/>
      <c r="C58" s="103">
        <f>SUM(C50:D57)</f>
        <v>205268</v>
      </c>
      <c r="D58" s="104"/>
      <c r="E58" s="103">
        <f>SUM(E50:F57)</f>
        <v>205572</v>
      </c>
      <c r="F58" s="104"/>
      <c r="G58" s="103">
        <f>SUM(G50:H57)</f>
        <v>205879</v>
      </c>
      <c r="H58" s="104"/>
      <c r="I58" s="103">
        <f>SUM(I50:J57)</f>
        <v>206141</v>
      </c>
      <c r="J58" s="104"/>
    </row>
    <row r="60" spans="1:10" x14ac:dyDescent="0.3">
      <c r="A60" s="124" t="s">
        <v>37</v>
      </c>
      <c r="B60" s="125"/>
      <c r="C60" s="130" t="s">
        <v>110</v>
      </c>
      <c r="D60" s="131"/>
      <c r="E60" s="130" t="s">
        <v>121</v>
      </c>
      <c r="F60" s="131"/>
      <c r="G60" s="130" t="s">
        <v>136</v>
      </c>
      <c r="H60" s="131"/>
      <c r="I60" s="130" t="s">
        <v>146</v>
      </c>
      <c r="J60" s="131"/>
    </row>
    <row r="61" spans="1:10" x14ac:dyDescent="0.3">
      <c r="A61" s="126"/>
      <c r="B61" s="127"/>
      <c r="C61" s="288">
        <v>135504</v>
      </c>
      <c r="D61" s="289"/>
      <c r="E61" s="288">
        <v>135184</v>
      </c>
      <c r="F61" s="289"/>
      <c r="G61" s="288">
        <v>135339</v>
      </c>
      <c r="H61" s="289"/>
      <c r="I61" s="288">
        <v>135460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58</v>
      </c>
      <c r="D66" s="115"/>
      <c r="E66" s="114" t="s">
        <v>62</v>
      </c>
      <c r="F66" s="115"/>
      <c r="G66" s="114" t="s">
        <v>86</v>
      </c>
      <c r="H66" s="115"/>
      <c r="I66" s="114" t="s">
        <v>122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25535</v>
      </c>
      <c r="D69" s="287"/>
      <c r="E69" s="286">
        <v>25946</v>
      </c>
      <c r="F69" s="287"/>
      <c r="G69" s="286">
        <v>26425</v>
      </c>
      <c r="H69" s="287"/>
      <c r="I69" s="286">
        <v>26734</v>
      </c>
      <c r="J69" s="287"/>
    </row>
    <row r="70" spans="1:10" x14ac:dyDescent="0.3">
      <c r="A70" s="101" t="s">
        <v>13</v>
      </c>
      <c r="B70" s="102"/>
      <c r="C70" s="286">
        <v>6410</v>
      </c>
      <c r="D70" s="287"/>
      <c r="E70" s="286">
        <v>6472</v>
      </c>
      <c r="F70" s="287"/>
      <c r="G70" s="286">
        <v>6548</v>
      </c>
      <c r="H70" s="287"/>
      <c r="I70" s="286">
        <v>6594</v>
      </c>
      <c r="J70" s="287"/>
    </row>
    <row r="71" spans="1:10" x14ac:dyDescent="0.3">
      <c r="A71" s="107" t="s">
        <v>14</v>
      </c>
      <c r="B71" s="108"/>
      <c r="C71" s="286">
        <v>5313</v>
      </c>
      <c r="D71" s="287"/>
      <c r="E71" s="286">
        <v>5395</v>
      </c>
      <c r="F71" s="287"/>
      <c r="G71" s="286">
        <v>5483</v>
      </c>
      <c r="H71" s="287"/>
      <c r="I71" s="286">
        <v>5540</v>
      </c>
      <c r="J71" s="287"/>
    </row>
    <row r="72" spans="1:10" x14ac:dyDescent="0.3">
      <c r="A72" s="107" t="s">
        <v>41</v>
      </c>
      <c r="B72" s="108"/>
      <c r="C72" s="286">
        <v>968</v>
      </c>
      <c r="D72" s="287"/>
      <c r="E72" s="286">
        <v>1002</v>
      </c>
      <c r="F72" s="287"/>
      <c r="G72" s="286">
        <v>1038</v>
      </c>
      <c r="H72" s="287"/>
      <c r="I72" s="286">
        <v>1070</v>
      </c>
      <c r="J72" s="287"/>
    </row>
    <row r="73" spans="1:10" x14ac:dyDescent="0.3">
      <c r="A73" s="101" t="s">
        <v>15</v>
      </c>
      <c r="B73" s="102"/>
      <c r="C73" s="286">
        <v>3684</v>
      </c>
      <c r="D73" s="287"/>
      <c r="E73" s="286">
        <v>3746</v>
      </c>
      <c r="F73" s="287"/>
      <c r="G73" s="286">
        <v>4002</v>
      </c>
      <c r="H73" s="287"/>
      <c r="I73" s="286">
        <v>3930</v>
      </c>
      <c r="J73" s="287"/>
    </row>
    <row r="74" spans="1:10" x14ac:dyDescent="0.3">
      <c r="A74" s="107" t="s">
        <v>16</v>
      </c>
      <c r="B74" s="108"/>
      <c r="C74" s="286">
        <v>4191</v>
      </c>
      <c r="D74" s="287"/>
      <c r="E74" s="286">
        <v>4260</v>
      </c>
      <c r="F74" s="287"/>
      <c r="G74" s="286">
        <v>4380</v>
      </c>
      <c r="H74" s="287"/>
      <c r="I74" s="286">
        <v>4451</v>
      </c>
      <c r="J74" s="287"/>
    </row>
    <row r="75" spans="1:10" x14ac:dyDescent="0.3">
      <c r="A75" s="101" t="s">
        <v>17</v>
      </c>
      <c r="B75" s="102"/>
      <c r="C75" s="286">
        <v>5480</v>
      </c>
      <c r="D75" s="287"/>
      <c r="E75" s="286">
        <v>5630</v>
      </c>
      <c r="F75" s="287"/>
      <c r="G75" s="286">
        <v>5918</v>
      </c>
      <c r="H75" s="287"/>
      <c r="I75" s="286">
        <v>6110</v>
      </c>
      <c r="J75" s="287"/>
    </row>
    <row r="76" spans="1:10" x14ac:dyDescent="0.3">
      <c r="A76" s="107" t="s">
        <v>18</v>
      </c>
      <c r="B76" s="108"/>
      <c r="C76" s="286">
        <v>1344</v>
      </c>
      <c r="D76" s="287"/>
      <c r="E76" s="286">
        <v>1357</v>
      </c>
      <c r="F76" s="287"/>
      <c r="G76" s="286">
        <v>1369</v>
      </c>
      <c r="H76" s="287"/>
      <c r="I76" s="286">
        <v>1378</v>
      </c>
      <c r="J76" s="287"/>
    </row>
    <row r="77" spans="1:10" x14ac:dyDescent="0.3">
      <c r="A77" s="101" t="s">
        <v>19</v>
      </c>
      <c r="B77" s="102"/>
      <c r="C77" s="286">
        <v>4487</v>
      </c>
      <c r="D77" s="287"/>
      <c r="E77" s="286">
        <v>4531</v>
      </c>
      <c r="F77" s="287"/>
      <c r="G77" s="286">
        <v>4728</v>
      </c>
      <c r="H77" s="287"/>
      <c r="I77" s="286">
        <v>4835</v>
      </c>
      <c r="J77" s="287"/>
    </row>
    <row r="78" spans="1:10" x14ac:dyDescent="0.3">
      <c r="A78" s="105" t="s">
        <v>42</v>
      </c>
      <c r="B78" s="106"/>
      <c r="C78" s="103">
        <f>SUM(C69:C77)</f>
        <v>57412</v>
      </c>
      <c r="D78" s="104"/>
      <c r="E78" s="103">
        <f>SUM(E69:E77)</f>
        <v>58339</v>
      </c>
      <c r="F78" s="104"/>
      <c r="G78" s="103">
        <f>SUM(G69:G77)</f>
        <v>59891</v>
      </c>
      <c r="H78" s="104"/>
      <c r="I78" s="103">
        <f>SUM(I69:I77)</f>
        <v>60642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156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9146</v>
      </c>
      <c r="D5" s="299"/>
      <c r="E5" s="298">
        <v>3984</v>
      </c>
      <c r="F5" s="299"/>
      <c r="G5" s="298">
        <v>3336</v>
      </c>
      <c r="H5" s="299"/>
      <c r="I5" s="298">
        <v>7768</v>
      </c>
      <c r="J5" s="299"/>
      <c r="K5" s="298">
        <v>788</v>
      </c>
      <c r="L5" s="299"/>
      <c r="M5" s="10">
        <v>2870</v>
      </c>
      <c r="N5" s="10">
        <v>694</v>
      </c>
      <c r="O5" s="10">
        <v>207</v>
      </c>
      <c r="P5" s="10">
        <v>346</v>
      </c>
      <c r="Q5" s="10">
        <v>0</v>
      </c>
    </row>
    <row r="6" spans="1:17" ht="13.5" customHeight="1" x14ac:dyDescent="0.3">
      <c r="A6" s="211" t="s">
        <v>11</v>
      </c>
      <c r="B6" s="212"/>
      <c r="C6" s="149">
        <v>859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246</v>
      </c>
      <c r="D7" s="240"/>
      <c r="E7" s="239">
        <v>11</v>
      </c>
      <c r="F7" s="240"/>
      <c r="G7" s="239">
        <v>7</v>
      </c>
      <c r="H7" s="240"/>
      <c r="I7" s="239">
        <v>378</v>
      </c>
      <c r="J7" s="240"/>
      <c r="K7" s="239">
        <v>299</v>
      </c>
      <c r="L7" s="240"/>
      <c r="M7" s="1">
        <v>608</v>
      </c>
      <c r="N7" s="1">
        <v>32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309</v>
      </c>
      <c r="D8" s="240"/>
      <c r="E8" s="239">
        <v>0</v>
      </c>
      <c r="F8" s="240"/>
      <c r="G8" s="239">
        <v>0</v>
      </c>
      <c r="H8" s="240"/>
      <c r="I8" s="239">
        <v>67</v>
      </c>
      <c r="J8" s="240"/>
      <c r="K8" s="239">
        <v>0</v>
      </c>
      <c r="L8" s="240"/>
      <c r="M8" s="1">
        <v>120</v>
      </c>
      <c r="N8" s="1">
        <v>16</v>
      </c>
      <c r="O8" s="1">
        <v>0</v>
      </c>
      <c r="P8" s="1">
        <v>0</v>
      </c>
      <c r="Q8" s="1">
        <v>0</v>
      </c>
    </row>
    <row r="9" spans="1:17" x14ac:dyDescent="0.3">
      <c r="A9" s="101" t="s">
        <v>14</v>
      </c>
      <c r="B9" s="102"/>
      <c r="C9" s="239">
        <v>321</v>
      </c>
      <c r="D9" s="240"/>
      <c r="E9" s="239">
        <v>0</v>
      </c>
      <c r="F9" s="240"/>
      <c r="G9" s="239">
        <v>0</v>
      </c>
      <c r="H9" s="240"/>
      <c r="I9" s="239">
        <v>187</v>
      </c>
      <c r="J9" s="240"/>
      <c r="K9" s="239">
        <v>68</v>
      </c>
      <c r="L9" s="240"/>
      <c r="M9" s="1">
        <v>174</v>
      </c>
      <c r="N9" s="1">
        <v>158</v>
      </c>
      <c r="O9" s="1">
        <v>1</v>
      </c>
      <c r="P9" s="1">
        <v>12</v>
      </c>
      <c r="Q9" s="1">
        <v>2</v>
      </c>
    </row>
    <row r="10" spans="1:17" x14ac:dyDescent="0.3">
      <c r="A10" s="101" t="s">
        <v>15</v>
      </c>
      <c r="B10" s="102"/>
      <c r="C10" s="239">
        <v>462</v>
      </c>
      <c r="D10" s="240"/>
      <c r="E10" s="239">
        <v>0</v>
      </c>
      <c r="F10" s="240"/>
      <c r="G10" s="239">
        <v>0</v>
      </c>
      <c r="H10" s="240"/>
      <c r="I10" s="239">
        <v>308</v>
      </c>
      <c r="J10" s="240"/>
      <c r="K10" s="239">
        <v>40</v>
      </c>
      <c r="L10" s="240"/>
      <c r="M10" s="1">
        <v>243</v>
      </c>
      <c r="N10" s="1">
        <v>100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231</v>
      </c>
      <c r="D11" s="246"/>
      <c r="E11" s="239">
        <v>14</v>
      </c>
      <c r="F11" s="240"/>
      <c r="G11" s="239">
        <v>0</v>
      </c>
      <c r="H11" s="240"/>
      <c r="I11" s="239">
        <v>40</v>
      </c>
      <c r="J11" s="240"/>
      <c r="K11" s="239">
        <v>200</v>
      </c>
      <c r="L11" s="240"/>
      <c r="M11" s="1">
        <v>165</v>
      </c>
      <c r="N11" s="1">
        <v>202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170</v>
      </c>
      <c r="D12" s="246"/>
      <c r="E12" s="239">
        <v>20</v>
      </c>
      <c r="F12" s="240"/>
      <c r="G12" s="239">
        <v>50</v>
      </c>
      <c r="H12" s="240"/>
      <c r="I12" s="239">
        <v>34</v>
      </c>
      <c r="J12" s="240"/>
      <c r="K12" s="239">
        <v>0</v>
      </c>
      <c r="L12" s="240"/>
      <c r="M12" s="1">
        <v>250</v>
      </c>
      <c r="N12" s="1">
        <v>130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234</v>
      </c>
      <c r="D13" s="246"/>
      <c r="E13" s="239">
        <v>0</v>
      </c>
      <c r="F13" s="240"/>
      <c r="G13" s="239">
        <v>1</v>
      </c>
      <c r="H13" s="240"/>
      <c r="I13" s="239">
        <v>233</v>
      </c>
      <c r="J13" s="240"/>
      <c r="K13" s="239">
        <v>16</v>
      </c>
      <c r="L13" s="240"/>
      <c r="M13" s="1">
        <v>14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280</v>
      </c>
      <c r="D14" s="248"/>
      <c r="E14" s="247">
        <v>0</v>
      </c>
      <c r="F14" s="248"/>
      <c r="G14" s="247">
        <v>0</v>
      </c>
      <c r="H14" s="248"/>
      <c r="I14" s="239">
        <v>108</v>
      </c>
      <c r="J14" s="240"/>
      <c r="K14" s="247">
        <v>3</v>
      </c>
      <c r="L14" s="248"/>
      <c r="M14" s="2">
        <v>105</v>
      </c>
      <c r="N14" s="2">
        <v>14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3541</v>
      </c>
      <c r="P15" s="2">
        <v>2406</v>
      </c>
      <c r="Q15" s="2">
        <v>1491</v>
      </c>
    </row>
    <row r="16" spans="1:17" ht="15" thickBot="1" x14ac:dyDescent="0.35">
      <c r="A16" s="199" t="s">
        <v>20</v>
      </c>
      <c r="B16" s="200"/>
      <c r="C16" s="201">
        <f>SUM(C5:D15)</f>
        <v>12258</v>
      </c>
      <c r="D16" s="202"/>
      <c r="E16" s="201">
        <f>SUM(E5:F15)</f>
        <v>4029</v>
      </c>
      <c r="F16" s="202"/>
      <c r="G16" s="201">
        <f>SUM(G5:H15)</f>
        <v>3394</v>
      </c>
      <c r="H16" s="202"/>
      <c r="I16" s="201">
        <f>SUM(I5:J15)</f>
        <v>9123</v>
      </c>
      <c r="J16" s="202"/>
      <c r="K16" s="201">
        <f>SUM(K5:L15)</f>
        <v>1414</v>
      </c>
      <c r="L16" s="202"/>
      <c r="M16" s="3">
        <f>SUM(M5:M15)</f>
        <v>4549</v>
      </c>
      <c r="N16" s="4">
        <f>SUM(N5:N15)</f>
        <v>1381</v>
      </c>
      <c r="O16" s="4">
        <f>SUM(O5:O15)</f>
        <v>3832</v>
      </c>
      <c r="P16" s="4">
        <f>SUM(P5:P15)</f>
        <v>2809</v>
      </c>
      <c r="Q16" s="5">
        <f>SUM(Q5:Q15)</f>
        <v>1513</v>
      </c>
    </row>
    <row r="17" spans="1:17" x14ac:dyDescent="0.3">
      <c r="A17" s="190" t="s">
        <v>21</v>
      </c>
      <c r="B17" s="191"/>
      <c r="C17" s="251">
        <v>9146</v>
      </c>
      <c r="D17" s="252"/>
      <c r="E17" s="253">
        <v>3984</v>
      </c>
      <c r="F17" s="254"/>
      <c r="G17" s="255">
        <v>3336</v>
      </c>
      <c r="H17" s="256"/>
      <c r="I17" s="255">
        <v>7648</v>
      </c>
      <c r="J17" s="256"/>
      <c r="K17" s="253">
        <v>668</v>
      </c>
      <c r="L17" s="254"/>
      <c r="M17" s="9">
        <v>1754</v>
      </c>
      <c r="N17" s="9">
        <v>694</v>
      </c>
      <c r="O17" s="9">
        <v>0</v>
      </c>
      <c r="P17" s="9">
        <v>205</v>
      </c>
      <c r="Q17" s="9">
        <v>0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156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239</v>
      </c>
      <c r="D25" s="259"/>
      <c r="E25" s="260" t="s">
        <v>82</v>
      </c>
      <c r="F25" s="261"/>
      <c r="G25" s="258">
        <v>0</v>
      </c>
      <c r="H25" s="259"/>
      <c r="I25" s="258">
        <v>19</v>
      </c>
      <c r="J25" s="259"/>
      <c r="K25" s="8">
        <v>6</v>
      </c>
    </row>
    <row r="26" spans="1:17" x14ac:dyDescent="0.3">
      <c r="A26" s="101" t="s">
        <v>13</v>
      </c>
      <c r="B26" s="102"/>
      <c r="C26" s="258">
        <v>4</v>
      </c>
      <c r="D26" s="259"/>
      <c r="E26" s="260" t="s">
        <v>25</v>
      </c>
      <c r="F26" s="261"/>
      <c r="G26" s="258">
        <v>0</v>
      </c>
      <c r="H26" s="259"/>
      <c r="I26" s="258">
        <v>39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160</v>
      </c>
      <c r="D27" s="259"/>
      <c r="E27" s="260" t="s">
        <v>127</v>
      </c>
      <c r="F27" s="261"/>
      <c r="G27" s="258">
        <v>2</v>
      </c>
      <c r="H27" s="259"/>
      <c r="I27" s="258">
        <v>35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115</v>
      </c>
      <c r="D28" s="261"/>
      <c r="E28" s="260" t="s">
        <v>116</v>
      </c>
      <c r="F28" s="261"/>
      <c r="G28" s="258">
        <v>0</v>
      </c>
      <c r="H28" s="259"/>
      <c r="I28" s="258">
        <v>5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147</v>
      </c>
      <c r="D29" s="271"/>
      <c r="E29" s="260" t="s">
        <v>97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20</v>
      </c>
      <c r="D30" s="271"/>
      <c r="E30" s="258" t="s">
        <v>153</v>
      </c>
      <c r="F30" s="259"/>
      <c r="G30" s="258">
        <v>0</v>
      </c>
      <c r="H30" s="259"/>
      <c r="I30" s="258">
        <v>6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5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30</v>
      </c>
      <c r="D32" s="259"/>
      <c r="E32" s="260" t="s">
        <v>25</v>
      </c>
      <c r="F32" s="261"/>
      <c r="G32" s="258">
        <v>0</v>
      </c>
      <c r="H32" s="259"/>
      <c r="I32" s="258">
        <v>5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156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134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158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151</v>
      </c>
      <c r="D40" s="259"/>
      <c r="E40" s="276" t="s">
        <v>152</v>
      </c>
      <c r="F40" s="277"/>
      <c r="G40" s="258">
        <v>6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157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139</v>
      </c>
      <c r="D42" s="271"/>
      <c r="E42" s="276" t="s">
        <v>148</v>
      </c>
      <c r="F42" s="277"/>
      <c r="G42" s="258">
        <v>0</v>
      </c>
      <c r="H42" s="259"/>
      <c r="I42" s="258" t="s">
        <v>149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121</v>
      </c>
      <c r="D49" s="282"/>
      <c r="E49" s="281" t="s">
        <v>136</v>
      </c>
      <c r="F49" s="282"/>
      <c r="G49" s="281" t="s">
        <v>146</v>
      </c>
      <c r="H49" s="282"/>
      <c r="I49" s="281" t="s">
        <v>156</v>
      </c>
      <c r="J49" s="282"/>
    </row>
    <row r="50" spans="1:10" x14ac:dyDescent="0.3">
      <c r="A50" s="284" t="s">
        <v>30</v>
      </c>
      <c r="B50" s="285"/>
      <c r="C50" s="286">
        <v>14472</v>
      </c>
      <c r="D50" s="287"/>
      <c r="E50" s="286">
        <v>14437</v>
      </c>
      <c r="F50" s="287"/>
      <c r="G50" s="286">
        <v>14410</v>
      </c>
      <c r="H50" s="287"/>
      <c r="I50" s="286">
        <v>14363</v>
      </c>
      <c r="J50" s="287"/>
    </row>
    <row r="51" spans="1:10" x14ac:dyDescent="0.3">
      <c r="A51" s="284" t="s">
        <v>31</v>
      </c>
      <c r="B51" s="285"/>
      <c r="C51" s="286">
        <v>8398</v>
      </c>
      <c r="D51" s="287"/>
      <c r="E51" s="286">
        <v>8419</v>
      </c>
      <c r="F51" s="287"/>
      <c r="G51" s="286">
        <v>8445</v>
      </c>
      <c r="H51" s="287"/>
      <c r="I51" s="286">
        <v>8446</v>
      </c>
      <c r="J51" s="287"/>
    </row>
    <row r="52" spans="1:10" x14ac:dyDescent="0.3">
      <c r="A52" s="284" t="s">
        <v>32</v>
      </c>
      <c r="B52" s="285"/>
      <c r="C52" s="286">
        <v>116430</v>
      </c>
      <c r="D52" s="287"/>
      <c r="E52" s="286">
        <v>116407</v>
      </c>
      <c r="F52" s="287"/>
      <c r="G52" s="286">
        <v>116362</v>
      </c>
      <c r="H52" s="287"/>
      <c r="I52" s="286">
        <v>116270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52354</v>
      </c>
      <c r="D54" s="287"/>
      <c r="E54" s="286">
        <v>52339</v>
      </c>
      <c r="F54" s="287"/>
      <c r="G54" s="286">
        <v>52316</v>
      </c>
      <c r="H54" s="287"/>
      <c r="I54" s="286">
        <v>52261</v>
      </c>
      <c r="J54" s="287"/>
    </row>
    <row r="55" spans="1:10" x14ac:dyDescent="0.3">
      <c r="A55" s="284" t="s">
        <v>53</v>
      </c>
      <c r="B55" s="285"/>
      <c r="C55" s="286">
        <v>2910</v>
      </c>
      <c r="D55" s="287"/>
      <c r="E55" s="286">
        <v>3038</v>
      </c>
      <c r="F55" s="287"/>
      <c r="G55" s="286">
        <v>3153</v>
      </c>
      <c r="H55" s="287"/>
      <c r="I55" s="286">
        <v>3218</v>
      </c>
      <c r="J55" s="287"/>
    </row>
    <row r="56" spans="1:10" x14ac:dyDescent="0.3">
      <c r="A56" s="284" t="s">
        <v>49</v>
      </c>
      <c r="B56" s="285"/>
      <c r="C56" s="286">
        <v>9301</v>
      </c>
      <c r="D56" s="287"/>
      <c r="E56" s="286">
        <v>9528</v>
      </c>
      <c r="F56" s="287"/>
      <c r="G56" s="286">
        <v>9744</v>
      </c>
      <c r="H56" s="287"/>
      <c r="I56" s="286">
        <v>9941</v>
      </c>
      <c r="J56" s="287"/>
    </row>
    <row r="57" spans="1:10" x14ac:dyDescent="0.3">
      <c r="A57" s="284" t="s">
        <v>35</v>
      </c>
      <c r="B57" s="285"/>
      <c r="C57" s="286">
        <v>1467</v>
      </c>
      <c r="D57" s="287"/>
      <c r="E57" s="286">
        <v>1471</v>
      </c>
      <c r="F57" s="287"/>
      <c r="G57" s="286">
        <v>1471</v>
      </c>
      <c r="H57" s="287"/>
      <c r="I57" s="286">
        <v>1481</v>
      </c>
      <c r="J57" s="287"/>
    </row>
    <row r="58" spans="1:10" x14ac:dyDescent="0.3">
      <c r="A58" s="120" t="s">
        <v>36</v>
      </c>
      <c r="B58" s="121"/>
      <c r="C58" s="103">
        <f>SUM(C50:D57)</f>
        <v>205572</v>
      </c>
      <c r="D58" s="104"/>
      <c r="E58" s="103">
        <f>SUM(E50:F57)</f>
        <v>205879</v>
      </c>
      <c r="F58" s="104"/>
      <c r="G58" s="103">
        <f>SUM(G50:H57)</f>
        <v>206141</v>
      </c>
      <c r="H58" s="104"/>
      <c r="I58" s="103">
        <f>SUM(I50:J57)</f>
        <v>206220</v>
      </c>
      <c r="J58" s="104"/>
    </row>
    <row r="60" spans="1:10" x14ac:dyDescent="0.3">
      <c r="A60" s="124" t="s">
        <v>37</v>
      </c>
      <c r="B60" s="125"/>
      <c r="C60" s="130" t="s">
        <v>121</v>
      </c>
      <c r="D60" s="131"/>
      <c r="E60" s="130" t="s">
        <v>136</v>
      </c>
      <c r="F60" s="131"/>
      <c r="G60" s="130" t="s">
        <v>146</v>
      </c>
      <c r="H60" s="131"/>
      <c r="I60" s="130" t="s">
        <v>156</v>
      </c>
      <c r="J60" s="131"/>
    </row>
    <row r="61" spans="1:10" x14ac:dyDescent="0.3">
      <c r="A61" s="126"/>
      <c r="B61" s="127"/>
      <c r="C61" s="288">
        <v>135184</v>
      </c>
      <c r="D61" s="289"/>
      <c r="E61" s="288">
        <v>135339</v>
      </c>
      <c r="F61" s="289"/>
      <c r="G61" s="288">
        <v>135460</v>
      </c>
      <c r="H61" s="289"/>
      <c r="I61" s="288">
        <v>135530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58</v>
      </c>
      <c r="D66" s="115"/>
      <c r="E66" s="114" t="s">
        <v>62</v>
      </c>
      <c r="F66" s="115"/>
      <c r="G66" s="114" t="s">
        <v>86</v>
      </c>
      <c r="H66" s="115"/>
      <c r="I66" s="114" t="s">
        <v>122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25535</v>
      </c>
      <c r="D69" s="287"/>
      <c r="E69" s="286">
        <v>25946</v>
      </c>
      <c r="F69" s="287"/>
      <c r="G69" s="286">
        <v>26425</v>
      </c>
      <c r="H69" s="287"/>
      <c r="I69" s="286">
        <v>26734</v>
      </c>
      <c r="J69" s="287"/>
    </row>
    <row r="70" spans="1:10" x14ac:dyDescent="0.3">
      <c r="A70" s="101" t="s">
        <v>13</v>
      </c>
      <c r="B70" s="102"/>
      <c r="C70" s="286">
        <v>6410</v>
      </c>
      <c r="D70" s="287"/>
      <c r="E70" s="286">
        <v>6472</v>
      </c>
      <c r="F70" s="287"/>
      <c r="G70" s="286">
        <v>6548</v>
      </c>
      <c r="H70" s="287"/>
      <c r="I70" s="286">
        <v>6594</v>
      </c>
      <c r="J70" s="287"/>
    </row>
    <row r="71" spans="1:10" x14ac:dyDescent="0.3">
      <c r="A71" s="107" t="s">
        <v>14</v>
      </c>
      <c r="B71" s="108"/>
      <c r="C71" s="286">
        <v>5313</v>
      </c>
      <c r="D71" s="287"/>
      <c r="E71" s="286">
        <v>5395</v>
      </c>
      <c r="F71" s="287"/>
      <c r="G71" s="286">
        <v>5483</v>
      </c>
      <c r="H71" s="287"/>
      <c r="I71" s="286">
        <v>5540</v>
      </c>
      <c r="J71" s="287"/>
    </row>
    <row r="72" spans="1:10" x14ac:dyDescent="0.3">
      <c r="A72" s="107" t="s">
        <v>41</v>
      </c>
      <c r="B72" s="108"/>
      <c r="C72" s="286">
        <v>968</v>
      </c>
      <c r="D72" s="287"/>
      <c r="E72" s="286">
        <v>1002</v>
      </c>
      <c r="F72" s="287"/>
      <c r="G72" s="286">
        <v>1038</v>
      </c>
      <c r="H72" s="287"/>
      <c r="I72" s="286">
        <v>1070</v>
      </c>
      <c r="J72" s="287"/>
    </row>
    <row r="73" spans="1:10" x14ac:dyDescent="0.3">
      <c r="A73" s="101" t="s">
        <v>15</v>
      </c>
      <c r="B73" s="102"/>
      <c r="C73" s="286">
        <v>3684</v>
      </c>
      <c r="D73" s="287"/>
      <c r="E73" s="286">
        <v>3746</v>
      </c>
      <c r="F73" s="287"/>
      <c r="G73" s="286">
        <v>4002</v>
      </c>
      <c r="H73" s="287"/>
      <c r="I73" s="286">
        <v>3930</v>
      </c>
      <c r="J73" s="287"/>
    </row>
    <row r="74" spans="1:10" x14ac:dyDescent="0.3">
      <c r="A74" s="107" t="s">
        <v>16</v>
      </c>
      <c r="B74" s="108"/>
      <c r="C74" s="286">
        <v>4191</v>
      </c>
      <c r="D74" s="287"/>
      <c r="E74" s="286">
        <v>4260</v>
      </c>
      <c r="F74" s="287"/>
      <c r="G74" s="286">
        <v>4380</v>
      </c>
      <c r="H74" s="287"/>
      <c r="I74" s="286">
        <v>4451</v>
      </c>
      <c r="J74" s="287"/>
    </row>
    <row r="75" spans="1:10" x14ac:dyDescent="0.3">
      <c r="A75" s="101" t="s">
        <v>17</v>
      </c>
      <c r="B75" s="102"/>
      <c r="C75" s="286">
        <v>5480</v>
      </c>
      <c r="D75" s="287"/>
      <c r="E75" s="286">
        <v>5630</v>
      </c>
      <c r="F75" s="287"/>
      <c r="G75" s="286">
        <v>5918</v>
      </c>
      <c r="H75" s="287"/>
      <c r="I75" s="286">
        <v>6110</v>
      </c>
      <c r="J75" s="287"/>
    </row>
    <row r="76" spans="1:10" x14ac:dyDescent="0.3">
      <c r="A76" s="107" t="s">
        <v>18</v>
      </c>
      <c r="B76" s="108"/>
      <c r="C76" s="286">
        <v>1344</v>
      </c>
      <c r="D76" s="287"/>
      <c r="E76" s="286">
        <v>1357</v>
      </c>
      <c r="F76" s="287"/>
      <c r="G76" s="286">
        <v>1369</v>
      </c>
      <c r="H76" s="287"/>
      <c r="I76" s="286">
        <v>1378</v>
      </c>
      <c r="J76" s="287"/>
    </row>
    <row r="77" spans="1:10" x14ac:dyDescent="0.3">
      <c r="A77" s="101" t="s">
        <v>19</v>
      </c>
      <c r="B77" s="102"/>
      <c r="C77" s="286">
        <v>4487</v>
      </c>
      <c r="D77" s="287"/>
      <c r="E77" s="286">
        <v>4531</v>
      </c>
      <c r="F77" s="287"/>
      <c r="G77" s="286">
        <v>4728</v>
      </c>
      <c r="H77" s="287"/>
      <c r="I77" s="286">
        <v>4835</v>
      </c>
      <c r="J77" s="287"/>
    </row>
    <row r="78" spans="1:10" x14ac:dyDescent="0.3">
      <c r="A78" s="105" t="s">
        <v>42</v>
      </c>
      <c r="B78" s="106"/>
      <c r="C78" s="103">
        <f>SUM(C69:C77)</f>
        <v>57412</v>
      </c>
      <c r="D78" s="104"/>
      <c r="E78" s="103">
        <f>SUM(E69:E77)</f>
        <v>58339</v>
      </c>
      <c r="F78" s="104"/>
      <c r="G78" s="103">
        <f>SUM(G69:G77)</f>
        <v>59891</v>
      </c>
      <c r="H78" s="104"/>
      <c r="I78" s="103">
        <f>SUM(I69:I77)</f>
        <v>60642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159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8846</v>
      </c>
      <c r="D5" s="299"/>
      <c r="E5" s="298">
        <v>3984</v>
      </c>
      <c r="F5" s="299"/>
      <c r="G5" s="298">
        <v>3336</v>
      </c>
      <c r="H5" s="299"/>
      <c r="I5" s="298">
        <v>7288</v>
      </c>
      <c r="J5" s="299"/>
      <c r="K5" s="298">
        <v>668</v>
      </c>
      <c r="L5" s="299"/>
      <c r="M5" s="10">
        <v>2070</v>
      </c>
      <c r="N5" s="10">
        <v>674</v>
      </c>
      <c r="O5" s="10">
        <v>0</v>
      </c>
      <c r="P5" s="10">
        <v>211</v>
      </c>
      <c r="Q5" s="10">
        <v>0</v>
      </c>
    </row>
    <row r="6" spans="1:17" ht="13.5" customHeight="1" x14ac:dyDescent="0.3">
      <c r="A6" s="211" t="s">
        <v>11</v>
      </c>
      <c r="B6" s="212"/>
      <c r="C6" s="149">
        <v>859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475</v>
      </c>
      <c r="D7" s="240"/>
      <c r="E7" s="239">
        <v>11</v>
      </c>
      <c r="F7" s="240"/>
      <c r="G7" s="239">
        <v>7</v>
      </c>
      <c r="H7" s="240"/>
      <c r="I7" s="239">
        <v>451</v>
      </c>
      <c r="J7" s="240"/>
      <c r="K7" s="239">
        <v>260</v>
      </c>
      <c r="L7" s="240"/>
      <c r="M7" s="1">
        <v>1009</v>
      </c>
      <c r="N7" s="1">
        <v>32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288</v>
      </c>
      <c r="D8" s="240"/>
      <c r="E8" s="239">
        <v>0</v>
      </c>
      <c r="F8" s="240"/>
      <c r="G8" s="239">
        <v>0</v>
      </c>
      <c r="H8" s="240"/>
      <c r="I8" s="239">
        <v>286</v>
      </c>
      <c r="J8" s="240"/>
      <c r="K8" s="239">
        <v>0</v>
      </c>
      <c r="L8" s="240"/>
      <c r="M8" s="1">
        <v>223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282</v>
      </c>
      <c r="D9" s="240"/>
      <c r="E9" s="239">
        <v>0</v>
      </c>
      <c r="F9" s="240"/>
      <c r="G9" s="239">
        <v>0</v>
      </c>
      <c r="H9" s="240"/>
      <c r="I9" s="239">
        <v>151</v>
      </c>
      <c r="J9" s="240"/>
      <c r="K9" s="239">
        <v>39</v>
      </c>
      <c r="L9" s="240"/>
      <c r="M9" s="1">
        <v>306</v>
      </c>
      <c r="N9" s="1">
        <v>8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420</v>
      </c>
      <c r="D10" s="240"/>
      <c r="E10" s="239">
        <v>0</v>
      </c>
      <c r="F10" s="240"/>
      <c r="G10" s="239">
        <v>0</v>
      </c>
      <c r="H10" s="240"/>
      <c r="I10" s="239">
        <v>287</v>
      </c>
      <c r="J10" s="240"/>
      <c r="K10" s="239">
        <v>40</v>
      </c>
      <c r="L10" s="240"/>
      <c r="M10" s="1">
        <v>225</v>
      </c>
      <c r="N10" s="1">
        <v>95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219</v>
      </c>
      <c r="D11" s="246"/>
      <c r="E11" s="239">
        <v>14</v>
      </c>
      <c r="F11" s="240"/>
      <c r="G11" s="239">
        <v>0</v>
      </c>
      <c r="H11" s="240"/>
      <c r="I11" s="239">
        <v>33</v>
      </c>
      <c r="J11" s="240"/>
      <c r="K11" s="239">
        <v>191</v>
      </c>
      <c r="L11" s="240"/>
      <c r="M11" s="1">
        <v>159</v>
      </c>
      <c r="N11" s="1">
        <v>195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135</v>
      </c>
      <c r="D12" s="246"/>
      <c r="E12" s="239">
        <v>0</v>
      </c>
      <c r="F12" s="240"/>
      <c r="G12" s="239">
        <v>40</v>
      </c>
      <c r="H12" s="240"/>
      <c r="I12" s="239">
        <v>5</v>
      </c>
      <c r="J12" s="240"/>
      <c r="K12" s="239">
        <v>0</v>
      </c>
      <c r="L12" s="240"/>
      <c r="M12" s="1">
        <v>205</v>
      </c>
      <c r="N12" s="1">
        <v>120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196</v>
      </c>
      <c r="D13" s="246"/>
      <c r="E13" s="239">
        <v>0</v>
      </c>
      <c r="F13" s="240"/>
      <c r="G13" s="239">
        <v>1</v>
      </c>
      <c r="H13" s="240"/>
      <c r="I13" s="239">
        <v>220</v>
      </c>
      <c r="J13" s="240"/>
      <c r="K13" s="239">
        <v>12</v>
      </c>
      <c r="L13" s="240"/>
      <c r="M13" s="1">
        <v>11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260</v>
      </c>
      <c r="D14" s="248"/>
      <c r="E14" s="247">
        <v>0</v>
      </c>
      <c r="F14" s="248"/>
      <c r="G14" s="247">
        <v>0</v>
      </c>
      <c r="H14" s="248"/>
      <c r="I14" s="239">
        <v>203</v>
      </c>
      <c r="J14" s="240"/>
      <c r="K14" s="247">
        <v>129</v>
      </c>
      <c r="L14" s="248"/>
      <c r="M14" s="2">
        <v>290</v>
      </c>
      <c r="N14" s="2">
        <v>32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2658</v>
      </c>
      <c r="P15" s="2">
        <v>1908</v>
      </c>
      <c r="Q15" s="2">
        <v>1040</v>
      </c>
    </row>
    <row r="16" spans="1:17" ht="15" thickBot="1" x14ac:dyDescent="0.35">
      <c r="A16" s="199" t="s">
        <v>20</v>
      </c>
      <c r="B16" s="200"/>
      <c r="C16" s="201">
        <f>SUM(C5:D15)</f>
        <v>11980</v>
      </c>
      <c r="D16" s="202"/>
      <c r="E16" s="201">
        <f>SUM(E5:F15)</f>
        <v>4009</v>
      </c>
      <c r="F16" s="202"/>
      <c r="G16" s="201">
        <f>SUM(G5:H15)</f>
        <v>3384</v>
      </c>
      <c r="H16" s="202"/>
      <c r="I16" s="201">
        <f>SUM(I5:J15)</f>
        <v>8924</v>
      </c>
      <c r="J16" s="202"/>
      <c r="K16" s="201">
        <f>SUM(K5:L15)</f>
        <v>1339</v>
      </c>
      <c r="L16" s="202"/>
      <c r="M16" s="3">
        <f>SUM(M5:M15)</f>
        <v>4498</v>
      </c>
      <c r="N16" s="4">
        <f>SUM(N5:N15)</f>
        <v>1207</v>
      </c>
      <c r="O16" s="4">
        <f>SUM(O5:O15)</f>
        <v>2741</v>
      </c>
      <c r="P16" s="4">
        <f>SUM(P5:P15)</f>
        <v>2176</v>
      </c>
      <c r="Q16" s="5">
        <f>SUM(Q5:Q15)</f>
        <v>1067</v>
      </c>
    </row>
    <row r="17" spans="1:17" x14ac:dyDescent="0.3">
      <c r="A17" s="190" t="s">
        <v>21</v>
      </c>
      <c r="B17" s="191"/>
      <c r="C17" s="251">
        <v>8846</v>
      </c>
      <c r="D17" s="252"/>
      <c r="E17" s="253">
        <v>3984</v>
      </c>
      <c r="F17" s="254"/>
      <c r="G17" s="255">
        <v>3336</v>
      </c>
      <c r="H17" s="256"/>
      <c r="I17" s="255">
        <v>7288</v>
      </c>
      <c r="J17" s="256"/>
      <c r="K17" s="253">
        <v>668</v>
      </c>
      <c r="L17" s="254"/>
      <c r="M17" s="9">
        <v>2070</v>
      </c>
      <c r="N17" s="9">
        <v>674</v>
      </c>
      <c r="O17" s="9">
        <v>0</v>
      </c>
      <c r="P17" s="9">
        <v>205</v>
      </c>
      <c r="Q17" s="9">
        <v>0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159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247</v>
      </c>
      <c r="D25" s="259"/>
      <c r="E25" s="260" t="s">
        <v>118</v>
      </c>
      <c r="F25" s="261"/>
      <c r="G25" s="258">
        <v>0</v>
      </c>
      <c r="H25" s="259"/>
      <c r="I25" s="258">
        <v>196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6</v>
      </c>
      <c r="D26" s="259"/>
      <c r="E26" s="260" t="s">
        <v>25</v>
      </c>
      <c r="F26" s="261"/>
      <c r="G26" s="258">
        <v>0</v>
      </c>
      <c r="H26" s="259"/>
      <c r="I26" s="258">
        <v>39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145</v>
      </c>
      <c r="D27" s="259"/>
      <c r="E27" s="260" t="s">
        <v>161</v>
      </c>
      <c r="F27" s="261"/>
      <c r="G27" s="258">
        <v>2</v>
      </c>
      <c r="H27" s="259"/>
      <c r="I27" s="258">
        <v>38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115</v>
      </c>
      <c r="D28" s="261"/>
      <c r="E28" s="260" t="s">
        <v>167</v>
      </c>
      <c r="F28" s="261"/>
      <c r="G28" s="258">
        <v>0</v>
      </c>
      <c r="H28" s="259"/>
      <c r="I28" s="258">
        <v>5</v>
      </c>
      <c r="J28" s="259"/>
      <c r="K28" s="8">
        <v>3</v>
      </c>
    </row>
    <row r="29" spans="1:17" x14ac:dyDescent="0.3">
      <c r="A29" s="101" t="s">
        <v>16</v>
      </c>
      <c r="B29" s="102"/>
      <c r="C29" s="270" t="s">
        <v>147</v>
      </c>
      <c r="D29" s="271"/>
      <c r="E29" s="260" t="s">
        <v>97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15</v>
      </c>
      <c r="D30" s="271"/>
      <c r="E30" s="258" t="s">
        <v>166</v>
      </c>
      <c r="F30" s="259"/>
      <c r="G30" s="258">
        <v>0</v>
      </c>
      <c r="H30" s="259"/>
      <c r="I30" s="258">
        <v>5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6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35</v>
      </c>
      <c r="D32" s="259"/>
      <c r="E32" s="260" t="s">
        <v>25</v>
      </c>
      <c r="F32" s="261"/>
      <c r="G32" s="258">
        <v>0</v>
      </c>
      <c r="H32" s="259"/>
      <c r="I32" s="258">
        <v>5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159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144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169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162</v>
      </c>
      <c r="D40" s="259"/>
      <c r="E40" s="276" t="s">
        <v>163</v>
      </c>
      <c r="F40" s="277"/>
      <c r="G40" s="258">
        <v>6</v>
      </c>
      <c r="H40" s="259"/>
      <c r="I40" s="258" t="s">
        <v>164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168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139</v>
      </c>
      <c r="D42" s="271"/>
      <c r="E42" s="276" t="s">
        <v>148</v>
      </c>
      <c r="F42" s="277"/>
      <c r="G42" s="258">
        <v>0</v>
      </c>
      <c r="H42" s="259"/>
      <c r="I42" s="258" t="s">
        <v>149</v>
      </c>
      <c r="J42" s="259"/>
      <c r="K42" s="8" t="s">
        <v>43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160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136</v>
      </c>
      <c r="D49" s="282"/>
      <c r="E49" s="281" t="s">
        <v>146</v>
      </c>
      <c r="F49" s="282"/>
      <c r="G49" s="281" t="s">
        <v>156</v>
      </c>
      <c r="H49" s="282"/>
      <c r="I49" s="281" t="s">
        <v>159</v>
      </c>
      <c r="J49" s="282"/>
    </row>
    <row r="50" spans="1:10" x14ac:dyDescent="0.3">
      <c r="A50" s="284" t="s">
        <v>30</v>
      </c>
      <c r="B50" s="285"/>
      <c r="C50" s="286">
        <v>14437</v>
      </c>
      <c r="D50" s="287"/>
      <c r="E50" s="286">
        <v>14410</v>
      </c>
      <c r="F50" s="287"/>
      <c r="G50" s="286">
        <v>14363</v>
      </c>
      <c r="H50" s="287"/>
      <c r="I50" s="286">
        <v>14321</v>
      </c>
      <c r="J50" s="287"/>
    </row>
    <row r="51" spans="1:10" x14ac:dyDescent="0.3">
      <c r="A51" s="284" t="s">
        <v>31</v>
      </c>
      <c r="B51" s="285"/>
      <c r="C51" s="286">
        <v>8419</v>
      </c>
      <c r="D51" s="287"/>
      <c r="E51" s="286">
        <v>8445</v>
      </c>
      <c r="F51" s="287"/>
      <c r="G51" s="286">
        <v>8446</v>
      </c>
      <c r="H51" s="287"/>
      <c r="I51" s="286">
        <v>8439</v>
      </c>
      <c r="J51" s="287"/>
    </row>
    <row r="52" spans="1:10" x14ac:dyDescent="0.3">
      <c r="A52" s="284" t="s">
        <v>32</v>
      </c>
      <c r="B52" s="285"/>
      <c r="C52" s="286">
        <v>116407</v>
      </c>
      <c r="D52" s="287"/>
      <c r="E52" s="286">
        <v>116362</v>
      </c>
      <c r="F52" s="287"/>
      <c r="G52" s="286">
        <v>116270</v>
      </c>
      <c r="H52" s="287"/>
      <c r="I52" s="286">
        <v>116150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52339</v>
      </c>
      <c r="D54" s="287"/>
      <c r="E54" s="286">
        <v>52316</v>
      </c>
      <c r="F54" s="287"/>
      <c r="G54" s="286">
        <v>52261</v>
      </c>
      <c r="H54" s="287"/>
      <c r="I54" s="286">
        <v>52191</v>
      </c>
      <c r="J54" s="287"/>
    </row>
    <row r="55" spans="1:10" x14ac:dyDescent="0.3">
      <c r="A55" s="284" t="s">
        <v>53</v>
      </c>
      <c r="B55" s="285"/>
      <c r="C55" s="286">
        <v>3038</v>
      </c>
      <c r="D55" s="287"/>
      <c r="E55" s="286">
        <v>3153</v>
      </c>
      <c r="F55" s="287"/>
      <c r="G55" s="286">
        <v>3218</v>
      </c>
      <c r="H55" s="287"/>
      <c r="I55" s="286">
        <v>3313</v>
      </c>
      <c r="J55" s="287"/>
    </row>
    <row r="56" spans="1:10" x14ac:dyDescent="0.3">
      <c r="A56" s="284" t="s">
        <v>49</v>
      </c>
      <c r="B56" s="285"/>
      <c r="C56" s="286">
        <v>9528</v>
      </c>
      <c r="D56" s="287"/>
      <c r="E56" s="286">
        <v>9744</v>
      </c>
      <c r="F56" s="287"/>
      <c r="G56" s="286">
        <v>9941</v>
      </c>
      <c r="H56" s="287"/>
      <c r="I56" s="286">
        <v>10156</v>
      </c>
      <c r="J56" s="287"/>
    </row>
    <row r="57" spans="1:10" x14ac:dyDescent="0.3">
      <c r="A57" s="284" t="s">
        <v>35</v>
      </c>
      <c r="B57" s="285"/>
      <c r="C57" s="286">
        <v>1471</v>
      </c>
      <c r="D57" s="287"/>
      <c r="E57" s="286">
        <v>1471</v>
      </c>
      <c r="F57" s="287"/>
      <c r="G57" s="286">
        <v>1481</v>
      </c>
      <c r="H57" s="287"/>
      <c r="I57" s="286">
        <v>1490</v>
      </c>
      <c r="J57" s="287"/>
    </row>
    <row r="58" spans="1:10" x14ac:dyDescent="0.3">
      <c r="A58" s="120" t="s">
        <v>36</v>
      </c>
      <c r="B58" s="121"/>
      <c r="C58" s="103">
        <f>SUM(C50:D57)</f>
        <v>205879</v>
      </c>
      <c r="D58" s="104"/>
      <c r="E58" s="103">
        <f>SUM(E50:F57)</f>
        <v>206141</v>
      </c>
      <c r="F58" s="104"/>
      <c r="G58" s="103">
        <f>SUM(G50:H57)</f>
        <v>206220</v>
      </c>
      <c r="H58" s="104"/>
      <c r="I58" s="103">
        <f>SUM(I50:J57)</f>
        <v>206300</v>
      </c>
      <c r="J58" s="104"/>
    </row>
    <row r="60" spans="1:10" x14ac:dyDescent="0.3">
      <c r="A60" s="124" t="s">
        <v>37</v>
      </c>
      <c r="B60" s="125"/>
      <c r="C60" s="130" t="s">
        <v>136</v>
      </c>
      <c r="D60" s="131"/>
      <c r="E60" s="130" t="s">
        <v>146</v>
      </c>
      <c r="F60" s="131"/>
      <c r="G60" s="130" t="s">
        <v>156</v>
      </c>
      <c r="H60" s="131"/>
      <c r="I60" s="130" t="s">
        <v>159</v>
      </c>
      <c r="J60" s="131"/>
    </row>
    <row r="61" spans="1:10" x14ac:dyDescent="0.3">
      <c r="A61" s="126"/>
      <c r="B61" s="127"/>
      <c r="C61" s="288">
        <v>135339</v>
      </c>
      <c r="D61" s="289"/>
      <c r="E61" s="288">
        <v>135460</v>
      </c>
      <c r="F61" s="289"/>
      <c r="G61" s="288">
        <v>135530</v>
      </c>
      <c r="H61" s="289"/>
      <c r="I61" s="288">
        <v>135576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62</v>
      </c>
      <c r="D66" s="115"/>
      <c r="E66" s="114" t="s">
        <v>86</v>
      </c>
      <c r="F66" s="115"/>
      <c r="G66" s="114" t="s">
        <v>122</v>
      </c>
      <c r="H66" s="115"/>
      <c r="I66" s="114" t="s">
        <v>165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25946</v>
      </c>
      <c r="D69" s="287"/>
      <c r="E69" s="286">
        <v>26425</v>
      </c>
      <c r="F69" s="287"/>
      <c r="G69" s="286">
        <v>26734</v>
      </c>
      <c r="H69" s="287"/>
      <c r="I69" s="286">
        <v>26961</v>
      </c>
      <c r="J69" s="287"/>
    </row>
    <row r="70" spans="1:10" x14ac:dyDescent="0.3">
      <c r="A70" s="101" t="s">
        <v>13</v>
      </c>
      <c r="B70" s="102"/>
      <c r="C70" s="286">
        <v>6472</v>
      </c>
      <c r="D70" s="287"/>
      <c r="E70" s="286">
        <v>6548</v>
      </c>
      <c r="F70" s="287"/>
      <c r="G70" s="286">
        <v>6594</v>
      </c>
      <c r="H70" s="287"/>
      <c r="I70" s="286">
        <v>6631</v>
      </c>
      <c r="J70" s="287"/>
    </row>
    <row r="71" spans="1:10" x14ac:dyDescent="0.3">
      <c r="A71" s="107" t="s">
        <v>14</v>
      </c>
      <c r="B71" s="108"/>
      <c r="C71" s="286">
        <v>5395</v>
      </c>
      <c r="D71" s="287"/>
      <c r="E71" s="286">
        <v>5483</v>
      </c>
      <c r="F71" s="287"/>
      <c r="G71" s="286">
        <v>5540</v>
      </c>
      <c r="H71" s="287"/>
      <c r="I71" s="286">
        <v>5617</v>
      </c>
      <c r="J71" s="287"/>
    </row>
    <row r="72" spans="1:10" x14ac:dyDescent="0.3">
      <c r="A72" s="107" t="s">
        <v>41</v>
      </c>
      <c r="B72" s="108"/>
      <c r="C72" s="286">
        <v>1002</v>
      </c>
      <c r="D72" s="287"/>
      <c r="E72" s="286">
        <v>1038</v>
      </c>
      <c r="F72" s="287"/>
      <c r="G72" s="286">
        <v>1070</v>
      </c>
      <c r="H72" s="287"/>
      <c r="I72" s="286">
        <v>1120</v>
      </c>
      <c r="J72" s="287"/>
    </row>
    <row r="73" spans="1:10" x14ac:dyDescent="0.3">
      <c r="A73" s="101" t="s">
        <v>15</v>
      </c>
      <c r="B73" s="102"/>
      <c r="C73" s="286">
        <v>3746</v>
      </c>
      <c r="D73" s="287"/>
      <c r="E73" s="286">
        <v>4002</v>
      </c>
      <c r="F73" s="287"/>
      <c r="G73" s="286">
        <v>3930</v>
      </c>
      <c r="H73" s="287"/>
      <c r="I73" s="286">
        <v>4011</v>
      </c>
      <c r="J73" s="287"/>
    </row>
    <row r="74" spans="1:10" x14ac:dyDescent="0.3">
      <c r="A74" s="107" t="s">
        <v>16</v>
      </c>
      <c r="B74" s="108"/>
      <c r="C74" s="286">
        <v>4260</v>
      </c>
      <c r="D74" s="287"/>
      <c r="E74" s="286">
        <v>4380</v>
      </c>
      <c r="F74" s="287"/>
      <c r="G74" s="286">
        <v>4451</v>
      </c>
      <c r="H74" s="287"/>
      <c r="I74" s="286">
        <v>4483</v>
      </c>
      <c r="J74" s="287"/>
    </row>
    <row r="75" spans="1:10" x14ac:dyDescent="0.3">
      <c r="A75" s="101" t="s">
        <v>17</v>
      </c>
      <c r="B75" s="102"/>
      <c r="C75" s="286">
        <v>5630</v>
      </c>
      <c r="D75" s="287"/>
      <c r="E75" s="286">
        <v>5918</v>
      </c>
      <c r="F75" s="287"/>
      <c r="G75" s="286">
        <v>6110</v>
      </c>
      <c r="H75" s="287"/>
      <c r="I75" s="286">
        <v>6309</v>
      </c>
      <c r="J75" s="287"/>
    </row>
    <row r="76" spans="1:10" x14ac:dyDescent="0.3">
      <c r="A76" s="107" t="s">
        <v>18</v>
      </c>
      <c r="B76" s="108"/>
      <c r="C76" s="286">
        <v>1357</v>
      </c>
      <c r="D76" s="287"/>
      <c r="E76" s="286">
        <v>1369</v>
      </c>
      <c r="F76" s="287"/>
      <c r="G76" s="286">
        <v>1378</v>
      </c>
      <c r="H76" s="287"/>
      <c r="I76" s="286">
        <v>1389</v>
      </c>
      <c r="J76" s="287"/>
    </row>
    <row r="77" spans="1:10" x14ac:dyDescent="0.3">
      <c r="A77" s="101" t="s">
        <v>19</v>
      </c>
      <c r="B77" s="102"/>
      <c r="C77" s="286">
        <v>4531</v>
      </c>
      <c r="D77" s="287"/>
      <c r="E77" s="286">
        <v>4728</v>
      </c>
      <c r="F77" s="287"/>
      <c r="G77" s="286">
        <v>4835</v>
      </c>
      <c r="H77" s="287"/>
      <c r="I77" s="286">
        <v>4922</v>
      </c>
      <c r="J77" s="287"/>
    </row>
    <row r="78" spans="1:10" x14ac:dyDescent="0.3">
      <c r="A78" s="105" t="s">
        <v>42</v>
      </c>
      <c r="B78" s="106"/>
      <c r="C78" s="103">
        <f>SUM(C69:C77)</f>
        <v>58339</v>
      </c>
      <c r="D78" s="104"/>
      <c r="E78" s="103">
        <f>SUM(E69:E77)</f>
        <v>59891</v>
      </c>
      <c r="F78" s="104"/>
      <c r="G78" s="103">
        <f>SUM(G69:G77)</f>
        <v>60642</v>
      </c>
      <c r="H78" s="104"/>
      <c r="I78" s="103">
        <f>SUM(I69:I77)</f>
        <v>61443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8"/>
  <sheetViews>
    <sheetView workbookViewId="0">
      <selection activeCell="O30" sqref="O30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170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8596</v>
      </c>
      <c r="D5" s="299"/>
      <c r="E5" s="298">
        <v>3984</v>
      </c>
      <c r="F5" s="299"/>
      <c r="G5" s="298">
        <v>3336</v>
      </c>
      <c r="H5" s="299"/>
      <c r="I5" s="298">
        <v>6988</v>
      </c>
      <c r="J5" s="299"/>
      <c r="K5" s="298">
        <v>668</v>
      </c>
      <c r="L5" s="299"/>
      <c r="M5" s="10">
        <v>1970</v>
      </c>
      <c r="N5" s="10">
        <v>654</v>
      </c>
      <c r="O5" s="10">
        <v>410</v>
      </c>
      <c r="P5" s="10">
        <v>741</v>
      </c>
      <c r="Q5" s="10">
        <v>1328</v>
      </c>
    </row>
    <row r="6" spans="1:17" ht="13.5" customHeight="1" x14ac:dyDescent="0.3">
      <c r="A6" s="211" t="s">
        <v>11</v>
      </c>
      <c r="B6" s="212"/>
      <c r="C6" s="149">
        <v>859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401</v>
      </c>
      <c r="D7" s="240"/>
      <c r="E7" s="239">
        <v>11</v>
      </c>
      <c r="F7" s="240"/>
      <c r="G7" s="239">
        <v>7</v>
      </c>
      <c r="H7" s="240"/>
      <c r="I7" s="239">
        <v>372</v>
      </c>
      <c r="J7" s="240"/>
      <c r="K7" s="239">
        <v>209</v>
      </c>
      <c r="L7" s="240"/>
      <c r="M7" s="1">
        <v>88</v>
      </c>
      <c r="N7" s="1">
        <v>32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268</v>
      </c>
      <c r="D8" s="240"/>
      <c r="E8" s="239">
        <v>0</v>
      </c>
      <c r="F8" s="240"/>
      <c r="G8" s="239">
        <v>0</v>
      </c>
      <c r="H8" s="240"/>
      <c r="I8" s="239">
        <v>261</v>
      </c>
      <c r="J8" s="240"/>
      <c r="K8" s="239">
        <v>0</v>
      </c>
      <c r="L8" s="240"/>
      <c r="M8" s="1">
        <v>215</v>
      </c>
      <c r="N8" s="1">
        <v>16</v>
      </c>
      <c r="O8" s="1">
        <v>0</v>
      </c>
      <c r="P8" s="1">
        <v>0</v>
      </c>
      <c r="Q8" s="1">
        <v>6</v>
      </c>
    </row>
    <row r="9" spans="1:17" x14ac:dyDescent="0.3">
      <c r="A9" s="101" t="s">
        <v>14</v>
      </c>
      <c r="B9" s="102"/>
      <c r="C9" s="239">
        <v>243</v>
      </c>
      <c r="D9" s="240"/>
      <c r="E9" s="239">
        <v>0</v>
      </c>
      <c r="F9" s="240"/>
      <c r="G9" s="239">
        <v>0</v>
      </c>
      <c r="H9" s="240"/>
      <c r="I9" s="239">
        <v>131</v>
      </c>
      <c r="J9" s="240"/>
      <c r="K9" s="239">
        <v>33</v>
      </c>
      <c r="L9" s="240"/>
      <c r="M9" s="1">
        <v>275</v>
      </c>
      <c r="N9" s="1">
        <v>8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378</v>
      </c>
      <c r="D10" s="240"/>
      <c r="E10" s="239">
        <v>0</v>
      </c>
      <c r="F10" s="240"/>
      <c r="G10" s="239">
        <v>0</v>
      </c>
      <c r="H10" s="240"/>
      <c r="I10" s="239">
        <v>250</v>
      </c>
      <c r="J10" s="240"/>
      <c r="K10" s="239">
        <v>40</v>
      </c>
      <c r="L10" s="240"/>
      <c r="M10" s="1">
        <v>207</v>
      </c>
      <c r="N10" s="1">
        <v>87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209</v>
      </c>
      <c r="D11" s="246"/>
      <c r="E11" s="239">
        <v>14</v>
      </c>
      <c r="F11" s="240"/>
      <c r="G11" s="239">
        <v>0</v>
      </c>
      <c r="H11" s="240"/>
      <c r="I11" s="239">
        <v>28</v>
      </c>
      <c r="J11" s="240"/>
      <c r="K11" s="239">
        <v>175</v>
      </c>
      <c r="L11" s="240"/>
      <c r="M11" s="1">
        <v>153</v>
      </c>
      <c r="N11" s="1">
        <v>189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215</v>
      </c>
      <c r="D12" s="246"/>
      <c r="E12" s="239">
        <v>0</v>
      </c>
      <c r="F12" s="240"/>
      <c r="G12" s="239">
        <v>25</v>
      </c>
      <c r="H12" s="240"/>
      <c r="I12" s="239">
        <v>275</v>
      </c>
      <c r="J12" s="240"/>
      <c r="K12" s="239">
        <v>0</v>
      </c>
      <c r="L12" s="240"/>
      <c r="M12" s="1">
        <v>155</v>
      </c>
      <c r="N12" s="1">
        <v>115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182</v>
      </c>
      <c r="D13" s="246"/>
      <c r="E13" s="239">
        <v>0</v>
      </c>
      <c r="F13" s="240"/>
      <c r="G13" s="239">
        <v>0</v>
      </c>
      <c r="H13" s="240"/>
      <c r="I13" s="239">
        <v>222</v>
      </c>
      <c r="J13" s="240"/>
      <c r="K13" s="239">
        <v>11</v>
      </c>
      <c r="L13" s="240"/>
      <c r="M13" s="1">
        <v>9</v>
      </c>
      <c r="N13" s="1">
        <v>35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241</v>
      </c>
      <c r="D14" s="248"/>
      <c r="E14" s="247">
        <v>0</v>
      </c>
      <c r="F14" s="248"/>
      <c r="G14" s="247">
        <v>0</v>
      </c>
      <c r="H14" s="248"/>
      <c r="I14" s="239">
        <v>170</v>
      </c>
      <c r="J14" s="240"/>
      <c r="K14" s="247">
        <v>132</v>
      </c>
      <c r="L14" s="248"/>
      <c r="M14" s="2">
        <v>284</v>
      </c>
      <c r="N14" s="2">
        <v>30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1536</v>
      </c>
      <c r="P15" s="2">
        <v>1285</v>
      </c>
      <c r="Q15" s="2">
        <v>1434</v>
      </c>
    </row>
    <row r="16" spans="1:17" ht="15" thickBot="1" x14ac:dyDescent="0.35">
      <c r="A16" s="199" t="s">
        <v>20</v>
      </c>
      <c r="B16" s="200"/>
      <c r="C16" s="201">
        <f>SUM(C5:D15)</f>
        <v>11592</v>
      </c>
      <c r="D16" s="202"/>
      <c r="E16" s="201">
        <f>SUM(E5:F15)</f>
        <v>4009</v>
      </c>
      <c r="F16" s="202"/>
      <c r="G16" s="201">
        <f>SUM(G5:H15)</f>
        <v>3368</v>
      </c>
      <c r="H16" s="202"/>
      <c r="I16" s="201">
        <f>SUM(I5:J15)</f>
        <v>8697</v>
      </c>
      <c r="J16" s="202"/>
      <c r="K16" s="201">
        <f>SUM(K5:L15)</f>
        <v>1268</v>
      </c>
      <c r="L16" s="202"/>
      <c r="M16" s="3">
        <f>SUM(M5:M15)</f>
        <v>3356</v>
      </c>
      <c r="N16" s="4">
        <f>SUM(N5:N15)</f>
        <v>1166</v>
      </c>
      <c r="O16" s="4">
        <f>SUM(O5:O15)</f>
        <v>2029</v>
      </c>
      <c r="P16" s="4">
        <f>SUM(P5:P15)</f>
        <v>2083</v>
      </c>
      <c r="Q16" s="5">
        <f>SUM(Q5:Q15)</f>
        <v>2789</v>
      </c>
    </row>
    <row r="17" spans="1:17" x14ac:dyDescent="0.3">
      <c r="A17" s="190" t="s">
        <v>21</v>
      </c>
      <c r="B17" s="191"/>
      <c r="C17" s="251">
        <v>8596</v>
      </c>
      <c r="D17" s="252"/>
      <c r="E17" s="253">
        <v>3984</v>
      </c>
      <c r="F17" s="254"/>
      <c r="G17" s="255">
        <v>3336</v>
      </c>
      <c r="H17" s="256"/>
      <c r="I17" s="255">
        <v>6988</v>
      </c>
      <c r="J17" s="256"/>
      <c r="K17" s="253">
        <v>668</v>
      </c>
      <c r="L17" s="254"/>
      <c r="M17" s="9">
        <v>1970</v>
      </c>
      <c r="N17" s="9">
        <v>654</v>
      </c>
      <c r="O17" s="9">
        <v>35</v>
      </c>
      <c r="P17" s="9">
        <v>430</v>
      </c>
      <c r="Q17" s="9">
        <v>873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170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260</v>
      </c>
      <c r="D25" s="259"/>
      <c r="E25" s="260" t="s">
        <v>181</v>
      </c>
      <c r="F25" s="261"/>
      <c r="G25" s="258">
        <v>0</v>
      </c>
      <c r="H25" s="259"/>
      <c r="I25" s="258">
        <v>196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13</v>
      </c>
      <c r="D26" s="259"/>
      <c r="E26" s="260" t="s">
        <v>25</v>
      </c>
      <c r="F26" s="261"/>
      <c r="G26" s="258">
        <v>0</v>
      </c>
      <c r="H26" s="259"/>
      <c r="I26" s="258">
        <v>42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152</v>
      </c>
      <c r="D27" s="259"/>
      <c r="E27" s="260" t="s">
        <v>46</v>
      </c>
      <c r="F27" s="261"/>
      <c r="G27" s="258">
        <v>0</v>
      </c>
      <c r="H27" s="259"/>
      <c r="I27" s="258">
        <v>35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115</v>
      </c>
      <c r="D28" s="261"/>
      <c r="E28" s="260" t="s">
        <v>179</v>
      </c>
      <c r="F28" s="261"/>
      <c r="G28" s="258">
        <v>0</v>
      </c>
      <c r="H28" s="259"/>
      <c r="I28" s="258">
        <v>5</v>
      </c>
      <c r="J28" s="259"/>
      <c r="K28" s="8">
        <v>3</v>
      </c>
    </row>
    <row r="29" spans="1:17" x14ac:dyDescent="0.3">
      <c r="A29" s="101" t="s">
        <v>16</v>
      </c>
      <c r="B29" s="102"/>
      <c r="C29" s="270" t="s">
        <v>123</v>
      </c>
      <c r="D29" s="271"/>
      <c r="E29" s="260" t="s">
        <v>97</v>
      </c>
      <c r="F29" s="261"/>
      <c r="G29" s="258">
        <v>0</v>
      </c>
      <c r="H29" s="259"/>
      <c r="I29" s="258">
        <v>33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12</v>
      </c>
      <c r="D30" s="271"/>
      <c r="E30" s="258" t="s">
        <v>166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5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59</v>
      </c>
      <c r="D32" s="259"/>
      <c r="E32" s="260" t="s">
        <v>177</v>
      </c>
      <c r="F32" s="261"/>
      <c r="G32" s="258">
        <v>0</v>
      </c>
      <c r="H32" s="259"/>
      <c r="I32" s="258">
        <v>12</v>
      </c>
      <c r="J32" s="259"/>
      <c r="K32" s="8">
        <v>2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170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182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178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172</v>
      </c>
      <c r="D40" s="259"/>
      <c r="E40" s="276" t="s">
        <v>173</v>
      </c>
      <c r="F40" s="277"/>
      <c r="G40" s="258">
        <v>6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180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174</v>
      </c>
      <c r="D42" s="271"/>
      <c r="E42" s="276" t="s">
        <v>148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171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146</v>
      </c>
      <c r="D49" s="282"/>
      <c r="E49" s="281" t="s">
        <v>156</v>
      </c>
      <c r="F49" s="282"/>
      <c r="G49" s="281" t="s">
        <v>159</v>
      </c>
      <c r="H49" s="282"/>
      <c r="I49" s="281" t="s">
        <v>170</v>
      </c>
      <c r="J49" s="282"/>
    </row>
    <row r="50" spans="1:10" x14ac:dyDescent="0.3">
      <c r="A50" s="284" t="s">
        <v>30</v>
      </c>
      <c r="B50" s="285"/>
      <c r="C50" s="286">
        <v>14410</v>
      </c>
      <c r="D50" s="287"/>
      <c r="E50" s="286">
        <v>14363</v>
      </c>
      <c r="F50" s="287"/>
      <c r="G50" s="286">
        <v>14321</v>
      </c>
      <c r="H50" s="287"/>
      <c r="I50" s="286">
        <v>14286</v>
      </c>
      <c r="J50" s="287"/>
    </row>
    <row r="51" spans="1:10" x14ac:dyDescent="0.3">
      <c r="A51" s="284" t="s">
        <v>31</v>
      </c>
      <c r="B51" s="285"/>
      <c r="C51" s="286">
        <v>8445</v>
      </c>
      <c r="D51" s="287"/>
      <c r="E51" s="286">
        <v>8446</v>
      </c>
      <c r="F51" s="287"/>
      <c r="G51" s="286">
        <v>8439</v>
      </c>
      <c r="H51" s="287"/>
      <c r="I51" s="286">
        <v>8424</v>
      </c>
      <c r="J51" s="287"/>
    </row>
    <row r="52" spans="1:10" x14ac:dyDescent="0.3">
      <c r="A52" s="284" t="s">
        <v>32</v>
      </c>
      <c r="B52" s="285"/>
      <c r="C52" s="286">
        <v>116362</v>
      </c>
      <c r="D52" s="287"/>
      <c r="E52" s="286">
        <v>116270</v>
      </c>
      <c r="F52" s="287"/>
      <c r="G52" s="286">
        <v>116150</v>
      </c>
      <c r="H52" s="287"/>
      <c r="I52" s="286">
        <v>116093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52316</v>
      </c>
      <c r="D54" s="287"/>
      <c r="E54" s="286">
        <v>52261</v>
      </c>
      <c r="F54" s="287"/>
      <c r="G54" s="286">
        <v>52191</v>
      </c>
      <c r="H54" s="287"/>
      <c r="I54" s="286">
        <v>52138</v>
      </c>
      <c r="J54" s="287"/>
    </row>
    <row r="55" spans="1:10" x14ac:dyDescent="0.3">
      <c r="A55" s="284" t="s">
        <v>53</v>
      </c>
      <c r="B55" s="285"/>
      <c r="C55" s="286">
        <v>3153</v>
      </c>
      <c r="D55" s="287"/>
      <c r="E55" s="286">
        <v>3218</v>
      </c>
      <c r="F55" s="287"/>
      <c r="G55" s="286">
        <v>3313</v>
      </c>
      <c r="H55" s="287"/>
      <c r="I55" s="286">
        <v>3413</v>
      </c>
      <c r="J55" s="287"/>
    </row>
    <row r="56" spans="1:10" x14ac:dyDescent="0.3">
      <c r="A56" s="284" t="s">
        <v>49</v>
      </c>
      <c r="B56" s="285"/>
      <c r="C56" s="286">
        <v>9744</v>
      </c>
      <c r="D56" s="287"/>
      <c r="E56" s="286">
        <v>9941</v>
      </c>
      <c r="F56" s="287"/>
      <c r="G56" s="286">
        <v>10156</v>
      </c>
      <c r="H56" s="287"/>
      <c r="I56" s="286">
        <v>10324</v>
      </c>
      <c r="J56" s="287"/>
    </row>
    <row r="57" spans="1:10" x14ac:dyDescent="0.3">
      <c r="A57" s="284" t="s">
        <v>35</v>
      </c>
      <c r="B57" s="285"/>
      <c r="C57" s="286">
        <v>1471</v>
      </c>
      <c r="D57" s="287"/>
      <c r="E57" s="286">
        <v>1481</v>
      </c>
      <c r="F57" s="287"/>
      <c r="G57" s="286">
        <v>1490</v>
      </c>
      <c r="H57" s="287"/>
      <c r="I57" s="286">
        <v>1494</v>
      </c>
      <c r="J57" s="287"/>
    </row>
    <row r="58" spans="1:10" x14ac:dyDescent="0.3">
      <c r="A58" s="120" t="s">
        <v>36</v>
      </c>
      <c r="B58" s="121"/>
      <c r="C58" s="103">
        <f>SUM(C50:D57)</f>
        <v>206141</v>
      </c>
      <c r="D58" s="104"/>
      <c r="E58" s="103">
        <f>SUM(E50:F57)</f>
        <v>206220</v>
      </c>
      <c r="F58" s="104"/>
      <c r="G58" s="103">
        <f>SUM(G50:H57)</f>
        <v>206300</v>
      </c>
      <c r="H58" s="104"/>
      <c r="I58" s="103">
        <f>SUM(I50:J57)</f>
        <v>206412</v>
      </c>
      <c r="J58" s="104"/>
    </row>
    <row r="60" spans="1:10" x14ac:dyDescent="0.3">
      <c r="A60" s="124" t="s">
        <v>37</v>
      </c>
      <c r="B60" s="125"/>
      <c r="C60" s="130" t="s">
        <v>146</v>
      </c>
      <c r="D60" s="131"/>
      <c r="E60" s="130" t="s">
        <v>156</v>
      </c>
      <c r="F60" s="131"/>
      <c r="G60" s="130" t="s">
        <v>159</v>
      </c>
      <c r="H60" s="131"/>
      <c r="I60" s="130" t="s">
        <v>170</v>
      </c>
      <c r="J60" s="131"/>
    </row>
    <row r="61" spans="1:10" x14ac:dyDescent="0.3">
      <c r="A61" s="126"/>
      <c r="B61" s="127"/>
      <c r="C61" s="288">
        <v>135460</v>
      </c>
      <c r="D61" s="289"/>
      <c r="E61" s="288">
        <v>135530</v>
      </c>
      <c r="F61" s="289"/>
      <c r="G61" s="288">
        <v>135576</v>
      </c>
      <c r="H61" s="289"/>
      <c r="I61" s="288">
        <v>135616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62</v>
      </c>
      <c r="D66" s="115"/>
      <c r="E66" s="114" t="s">
        <v>86</v>
      </c>
      <c r="F66" s="115"/>
      <c r="G66" s="114" t="s">
        <v>122</v>
      </c>
      <c r="H66" s="115"/>
      <c r="I66" s="114" t="s">
        <v>165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25946</v>
      </c>
      <c r="D69" s="287"/>
      <c r="E69" s="286">
        <v>26425</v>
      </c>
      <c r="F69" s="287"/>
      <c r="G69" s="286">
        <v>26734</v>
      </c>
      <c r="H69" s="287"/>
      <c r="I69" s="286">
        <v>26961</v>
      </c>
      <c r="J69" s="287"/>
    </row>
    <row r="70" spans="1:10" x14ac:dyDescent="0.3">
      <c r="A70" s="101" t="s">
        <v>13</v>
      </c>
      <c r="B70" s="102"/>
      <c r="C70" s="286">
        <v>6472</v>
      </c>
      <c r="D70" s="287"/>
      <c r="E70" s="286">
        <v>6548</v>
      </c>
      <c r="F70" s="287"/>
      <c r="G70" s="286">
        <v>6594</v>
      </c>
      <c r="H70" s="287"/>
      <c r="I70" s="286">
        <v>6631</v>
      </c>
      <c r="J70" s="287"/>
    </row>
    <row r="71" spans="1:10" x14ac:dyDescent="0.3">
      <c r="A71" s="107" t="s">
        <v>14</v>
      </c>
      <c r="B71" s="108"/>
      <c r="C71" s="286">
        <v>5395</v>
      </c>
      <c r="D71" s="287"/>
      <c r="E71" s="286">
        <v>5483</v>
      </c>
      <c r="F71" s="287"/>
      <c r="G71" s="286">
        <v>5540</v>
      </c>
      <c r="H71" s="287"/>
      <c r="I71" s="286">
        <v>5617</v>
      </c>
      <c r="J71" s="287"/>
    </row>
    <row r="72" spans="1:10" x14ac:dyDescent="0.3">
      <c r="A72" s="107" t="s">
        <v>41</v>
      </c>
      <c r="B72" s="108"/>
      <c r="C72" s="286">
        <v>1002</v>
      </c>
      <c r="D72" s="287"/>
      <c r="E72" s="286">
        <v>1038</v>
      </c>
      <c r="F72" s="287"/>
      <c r="G72" s="286">
        <v>1070</v>
      </c>
      <c r="H72" s="287"/>
      <c r="I72" s="286">
        <v>1120</v>
      </c>
      <c r="J72" s="287"/>
    </row>
    <row r="73" spans="1:10" x14ac:dyDescent="0.3">
      <c r="A73" s="101" t="s">
        <v>15</v>
      </c>
      <c r="B73" s="102"/>
      <c r="C73" s="286">
        <v>3746</v>
      </c>
      <c r="D73" s="287"/>
      <c r="E73" s="286">
        <v>4002</v>
      </c>
      <c r="F73" s="287"/>
      <c r="G73" s="286">
        <v>3930</v>
      </c>
      <c r="H73" s="287"/>
      <c r="I73" s="286">
        <v>4011</v>
      </c>
      <c r="J73" s="287"/>
    </row>
    <row r="74" spans="1:10" x14ac:dyDescent="0.3">
      <c r="A74" s="107" t="s">
        <v>16</v>
      </c>
      <c r="B74" s="108"/>
      <c r="C74" s="286">
        <v>4260</v>
      </c>
      <c r="D74" s="287"/>
      <c r="E74" s="286">
        <v>4380</v>
      </c>
      <c r="F74" s="287"/>
      <c r="G74" s="286">
        <v>4451</v>
      </c>
      <c r="H74" s="287"/>
      <c r="I74" s="286">
        <v>4483</v>
      </c>
      <c r="J74" s="287"/>
    </row>
    <row r="75" spans="1:10" x14ac:dyDescent="0.3">
      <c r="A75" s="101" t="s">
        <v>17</v>
      </c>
      <c r="B75" s="102"/>
      <c r="C75" s="286">
        <v>5630</v>
      </c>
      <c r="D75" s="287"/>
      <c r="E75" s="286">
        <v>5918</v>
      </c>
      <c r="F75" s="287"/>
      <c r="G75" s="286">
        <v>6110</v>
      </c>
      <c r="H75" s="287"/>
      <c r="I75" s="286">
        <v>6309</v>
      </c>
      <c r="J75" s="287"/>
    </row>
    <row r="76" spans="1:10" x14ac:dyDescent="0.3">
      <c r="A76" s="107" t="s">
        <v>18</v>
      </c>
      <c r="B76" s="108"/>
      <c r="C76" s="286">
        <v>1357</v>
      </c>
      <c r="D76" s="287"/>
      <c r="E76" s="286">
        <v>1369</v>
      </c>
      <c r="F76" s="287"/>
      <c r="G76" s="286">
        <v>1378</v>
      </c>
      <c r="H76" s="287"/>
      <c r="I76" s="286">
        <v>1389</v>
      </c>
      <c r="J76" s="287"/>
    </row>
    <row r="77" spans="1:10" x14ac:dyDescent="0.3">
      <c r="A77" s="101" t="s">
        <v>19</v>
      </c>
      <c r="B77" s="102"/>
      <c r="C77" s="286">
        <v>4531</v>
      </c>
      <c r="D77" s="287"/>
      <c r="E77" s="286">
        <v>4728</v>
      </c>
      <c r="F77" s="287"/>
      <c r="G77" s="286">
        <v>4835</v>
      </c>
      <c r="H77" s="287"/>
      <c r="I77" s="286">
        <v>4922</v>
      </c>
      <c r="J77" s="287"/>
    </row>
    <row r="78" spans="1:10" x14ac:dyDescent="0.3">
      <c r="A78" s="105" t="s">
        <v>42</v>
      </c>
      <c r="B78" s="106"/>
      <c r="C78" s="103">
        <f>SUM(C69:C77)</f>
        <v>58339</v>
      </c>
      <c r="D78" s="104"/>
      <c r="E78" s="103">
        <f>SUM(E69:E77)</f>
        <v>59891</v>
      </c>
      <c r="F78" s="104"/>
      <c r="G78" s="103">
        <f>SUM(G69:G77)</f>
        <v>60642</v>
      </c>
      <c r="H78" s="104"/>
      <c r="I78" s="103">
        <f>SUM(I69:I77)</f>
        <v>61443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8"/>
  <sheetViews>
    <sheetView workbookViewId="0">
      <selection activeCell="V19" sqref="V19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3.664062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183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8596</v>
      </c>
      <c r="D5" s="299"/>
      <c r="E5" s="298">
        <v>3984</v>
      </c>
      <c r="F5" s="299"/>
      <c r="G5" s="298">
        <v>3336</v>
      </c>
      <c r="H5" s="299"/>
      <c r="I5" s="298">
        <v>6988</v>
      </c>
      <c r="J5" s="299"/>
      <c r="K5" s="298">
        <v>668</v>
      </c>
      <c r="L5" s="299"/>
      <c r="M5" s="10">
        <v>1970</v>
      </c>
      <c r="N5" s="10">
        <v>654</v>
      </c>
      <c r="O5" s="10">
        <v>2040</v>
      </c>
      <c r="P5" s="10">
        <v>1586</v>
      </c>
      <c r="Q5" s="10">
        <v>2277</v>
      </c>
    </row>
    <row r="6" spans="1:17" ht="13.5" customHeight="1" x14ac:dyDescent="0.3">
      <c r="A6" s="211" t="s">
        <v>11</v>
      </c>
      <c r="B6" s="212"/>
      <c r="C6" s="149">
        <v>859</v>
      </c>
      <c r="D6" s="150"/>
      <c r="E6" s="239">
        <v>0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375</v>
      </c>
      <c r="D7" s="240"/>
      <c r="E7" s="239">
        <v>11</v>
      </c>
      <c r="F7" s="240"/>
      <c r="G7" s="239">
        <v>7</v>
      </c>
      <c r="H7" s="240"/>
      <c r="I7" s="239">
        <v>310</v>
      </c>
      <c r="J7" s="240"/>
      <c r="K7" s="239">
        <v>178</v>
      </c>
      <c r="L7" s="240"/>
      <c r="M7" s="1">
        <v>802</v>
      </c>
      <c r="N7" s="1">
        <v>28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238</v>
      </c>
      <c r="D8" s="240"/>
      <c r="E8" s="239">
        <v>0</v>
      </c>
      <c r="F8" s="240"/>
      <c r="G8" s="239">
        <v>0</v>
      </c>
      <c r="H8" s="240"/>
      <c r="I8" s="239">
        <v>231</v>
      </c>
      <c r="J8" s="240"/>
      <c r="K8" s="239">
        <v>0</v>
      </c>
      <c r="L8" s="240"/>
      <c r="M8" s="1">
        <v>198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296</v>
      </c>
      <c r="D9" s="240"/>
      <c r="E9" s="239">
        <v>0</v>
      </c>
      <c r="F9" s="240"/>
      <c r="G9" s="239">
        <v>0</v>
      </c>
      <c r="H9" s="240"/>
      <c r="I9" s="239">
        <v>103</v>
      </c>
      <c r="J9" s="240"/>
      <c r="K9" s="239">
        <v>27</v>
      </c>
      <c r="L9" s="240"/>
      <c r="M9" s="1">
        <v>263</v>
      </c>
      <c r="N9" s="1">
        <v>8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356</v>
      </c>
      <c r="D10" s="240"/>
      <c r="E10" s="239">
        <v>0</v>
      </c>
      <c r="F10" s="240"/>
      <c r="G10" s="239">
        <v>0</v>
      </c>
      <c r="H10" s="240"/>
      <c r="I10" s="239">
        <v>238</v>
      </c>
      <c r="J10" s="240"/>
      <c r="K10" s="239">
        <v>40</v>
      </c>
      <c r="L10" s="240"/>
      <c r="M10" s="1">
        <v>165</v>
      </c>
      <c r="N10" s="1">
        <v>85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201</v>
      </c>
      <c r="D11" s="246"/>
      <c r="E11" s="239">
        <v>14</v>
      </c>
      <c r="F11" s="240"/>
      <c r="G11" s="239">
        <v>0</v>
      </c>
      <c r="H11" s="240"/>
      <c r="I11" s="239">
        <v>23</v>
      </c>
      <c r="J11" s="240"/>
      <c r="K11" s="239">
        <v>162</v>
      </c>
      <c r="L11" s="240"/>
      <c r="M11" s="1">
        <v>144</v>
      </c>
      <c r="N11" s="1">
        <v>176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185</v>
      </c>
      <c r="D12" s="246"/>
      <c r="E12" s="239">
        <v>0</v>
      </c>
      <c r="F12" s="240"/>
      <c r="G12" s="239">
        <v>22</v>
      </c>
      <c r="H12" s="240"/>
      <c r="I12" s="239">
        <v>245</v>
      </c>
      <c r="J12" s="240"/>
      <c r="K12" s="239">
        <v>0</v>
      </c>
      <c r="L12" s="240"/>
      <c r="M12" s="1">
        <v>130</v>
      </c>
      <c r="N12" s="1">
        <v>11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319</v>
      </c>
      <c r="D13" s="246"/>
      <c r="E13" s="239">
        <v>0</v>
      </c>
      <c r="F13" s="240"/>
      <c r="G13" s="239">
        <v>0</v>
      </c>
      <c r="H13" s="240"/>
      <c r="I13" s="239">
        <v>208</v>
      </c>
      <c r="J13" s="240"/>
      <c r="K13" s="239">
        <v>11</v>
      </c>
      <c r="L13" s="240"/>
      <c r="M13" s="1">
        <v>153</v>
      </c>
      <c r="N13" s="1">
        <v>55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217</v>
      </c>
      <c r="D14" s="248"/>
      <c r="E14" s="247">
        <v>0</v>
      </c>
      <c r="F14" s="248"/>
      <c r="G14" s="247">
        <v>0</v>
      </c>
      <c r="H14" s="248"/>
      <c r="I14" s="239">
        <v>156</v>
      </c>
      <c r="J14" s="240"/>
      <c r="K14" s="247">
        <v>124</v>
      </c>
      <c r="L14" s="248"/>
      <c r="M14" s="2">
        <v>265</v>
      </c>
      <c r="N14" s="2">
        <v>30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1841</v>
      </c>
      <c r="P15" s="2">
        <v>1794</v>
      </c>
      <c r="Q15" s="2">
        <v>1682</v>
      </c>
    </row>
    <row r="16" spans="1:17" ht="15" thickBot="1" x14ac:dyDescent="0.35">
      <c r="A16" s="199" t="s">
        <v>20</v>
      </c>
      <c r="B16" s="200"/>
      <c r="C16" s="201">
        <f>SUM(C5:D15)</f>
        <v>11642</v>
      </c>
      <c r="D16" s="202"/>
      <c r="E16" s="201">
        <f>SUM(E5:F15)</f>
        <v>4009</v>
      </c>
      <c r="F16" s="202"/>
      <c r="G16" s="201">
        <f>SUM(G5:H15)</f>
        <v>3365</v>
      </c>
      <c r="H16" s="202"/>
      <c r="I16" s="201">
        <f>SUM(I5:J15)</f>
        <v>8502</v>
      </c>
      <c r="J16" s="202"/>
      <c r="K16" s="201">
        <f>SUM(K5:L15)</f>
        <v>1210</v>
      </c>
      <c r="L16" s="202"/>
      <c r="M16" s="3">
        <f>SUM(M5:M15)</f>
        <v>4090</v>
      </c>
      <c r="N16" s="4">
        <f>SUM(N5:N15)</f>
        <v>1062</v>
      </c>
      <c r="O16" s="4">
        <f>SUM(O5:O15)</f>
        <v>3964</v>
      </c>
      <c r="P16" s="4">
        <f>SUM(P5:P15)</f>
        <v>3437</v>
      </c>
      <c r="Q16" s="5">
        <f>SUM(Q5:Q15)</f>
        <v>3982</v>
      </c>
    </row>
    <row r="17" spans="1:17" x14ac:dyDescent="0.3">
      <c r="A17" s="190" t="s">
        <v>21</v>
      </c>
      <c r="B17" s="191"/>
      <c r="C17" s="251">
        <v>8596</v>
      </c>
      <c r="D17" s="252"/>
      <c r="E17" s="253">
        <v>3984</v>
      </c>
      <c r="F17" s="254"/>
      <c r="G17" s="255">
        <v>3336</v>
      </c>
      <c r="H17" s="256"/>
      <c r="I17" s="255">
        <v>6988</v>
      </c>
      <c r="J17" s="256"/>
      <c r="K17" s="253">
        <v>668</v>
      </c>
      <c r="L17" s="254"/>
      <c r="M17" s="9">
        <v>1970</v>
      </c>
      <c r="N17" s="9">
        <v>654</v>
      </c>
      <c r="O17" s="9">
        <v>2040</v>
      </c>
      <c r="P17" s="9">
        <v>1580</v>
      </c>
      <c r="Q17" s="9">
        <v>2097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183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256</v>
      </c>
      <c r="D25" s="259"/>
      <c r="E25" s="260" t="s">
        <v>143</v>
      </c>
      <c r="F25" s="261"/>
      <c r="G25" s="258">
        <v>0</v>
      </c>
      <c r="H25" s="259"/>
      <c r="I25" s="258">
        <v>196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11</v>
      </c>
      <c r="D26" s="259"/>
      <c r="E26" s="260" t="s">
        <v>25</v>
      </c>
      <c r="F26" s="261"/>
      <c r="G26" s="258">
        <v>0</v>
      </c>
      <c r="H26" s="259"/>
      <c r="I26" s="258">
        <v>45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149</v>
      </c>
      <c r="D27" s="259"/>
      <c r="E27" s="260" t="s">
        <v>45</v>
      </c>
      <c r="F27" s="261"/>
      <c r="G27" s="258">
        <v>0</v>
      </c>
      <c r="H27" s="259"/>
      <c r="I27" s="258">
        <v>36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193</v>
      </c>
      <c r="D28" s="261"/>
      <c r="E28" s="260" t="s">
        <v>194</v>
      </c>
      <c r="F28" s="261"/>
      <c r="G28" s="258">
        <v>0</v>
      </c>
      <c r="H28" s="259"/>
      <c r="I28" s="258">
        <v>7</v>
      </c>
      <c r="J28" s="259"/>
      <c r="K28" s="8">
        <v>3</v>
      </c>
    </row>
    <row r="29" spans="1:17" x14ac:dyDescent="0.3">
      <c r="A29" s="101" t="s">
        <v>16</v>
      </c>
      <c r="B29" s="102"/>
      <c r="C29" s="270" t="s">
        <v>185</v>
      </c>
      <c r="D29" s="271"/>
      <c r="E29" s="260" t="s">
        <v>186</v>
      </c>
      <c r="F29" s="261"/>
      <c r="G29" s="258">
        <v>0</v>
      </c>
      <c r="H29" s="259"/>
      <c r="I29" s="258">
        <v>33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12</v>
      </c>
      <c r="D30" s="271"/>
      <c r="E30" s="258" t="s">
        <v>166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6</v>
      </c>
      <c r="D31" s="271"/>
      <c r="E31" s="260" t="s">
        <v>25</v>
      </c>
      <c r="F31" s="261"/>
      <c r="G31" s="258">
        <v>0</v>
      </c>
      <c r="H31" s="259"/>
      <c r="I31" s="258">
        <v>4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37</v>
      </c>
      <c r="D32" s="259"/>
      <c r="E32" s="260" t="s">
        <v>191</v>
      </c>
      <c r="F32" s="261"/>
      <c r="G32" s="258">
        <v>0</v>
      </c>
      <c r="H32" s="259"/>
      <c r="I32" s="258">
        <v>12</v>
      </c>
      <c r="J32" s="259"/>
      <c r="K32" s="8">
        <v>2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183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196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192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189</v>
      </c>
      <c r="D40" s="259"/>
      <c r="E40" s="276" t="s">
        <v>190</v>
      </c>
      <c r="F40" s="277"/>
      <c r="G40" s="258">
        <v>6</v>
      </c>
      <c r="H40" s="259"/>
      <c r="I40" s="258" t="s">
        <v>44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195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187</v>
      </c>
      <c r="D42" s="271"/>
      <c r="E42" s="276" t="s">
        <v>188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184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0" x14ac:dyDescent="0.3">
      <c r="A49" s="143" t="s">
        <v>29</v>
      </c>
      <c r="B49" s="144"/>
      <c r="C49" s="281" t="s">
        <v>156</v>
      </c>
      <c r="D49" s="282"/>
      <c r="E49" s="281" t="s">
        <v>159</v>
      </c>
      <c r="F49" s="282"/>
      <c r="G49" s="281" t="s">
        <v>170</v>
      </c>
      <c r="H49" s="282"/>
      <c r="I49" s="281" t="s">
        <v>183</v>
      </c>
      <c r="J49" s="282"/>
    </row>
    <row r="50" spans="1:10" x14ac:dyDescent="0.3">
      <c r="A50" s="284" t="s">
        <v>30</v>
      </c>
      <c r="B50" s="285"/>
      <c r="C50" s="286">
        <v>14363</v>
      </c>
      <c r="D50" s="287"/>
      <c r="E50" s="286">
        <v>14321</v>
      </c>
      <c r="F50" s="287"/>
      <c r="G50" s="286">
        <v>14286</v>
      </c>
      <c r="H50" s="287"/>
      <c r="I50" s="286">
        <v>14255</v>
      </c>
      <c r="J50" s="287"/>
    </row>
    <row r="51" spans="1:10" x14ac:dyDescent="0.3">
      <c r="A51" s="284" t="s">
        <v>31</v>
      </c>
      <c r="B51" s="285"/>
      <c r="C51" s="286">
        <v>8446</v>
      </c>
      <c r="D51" s="287"/>
      <c r="E51" s="286">
        <v>8439</v>
      </c>
      <c r="F51" s="287"/>
      <c r="G51" s="286">
        <v>8424</v>
      </c>
      <c r="H51" s="287"/>
      <c r="I51" s="286">
        <v>8411</v>
      </c>
      <c r="J51" s="287"/>
    </row>
    <row r="52" spans="1:10" x14ac:dyDescent="0.3">
      <c r="A52" s="284" t="s">
        <v>32</v>
      </c>
      <c r="B52" s="285"/>
      <c r="C52" s="286">
        <v>116270</v>
      </c>
      <c r="D52" s="287"/>
      <c r="E52" s="286">
        <v>116150</v>
      </c>
      <c r="F52" s="287"/>
      <c r="G52" s="286">
        <v>116093</v>
      </c>
      <c r="H52" s="287"/>
      <c r="I52" s="286">
        <v>115981</v>
      </c>
      <c r="J52" s="287"/>
    </row>
    <row r="53" spans="1:10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0" x14ac:dyDescent="0.3">
      <c r="A54" s="284" t="s">
        <v>34</v>
      </c>
      <c r="B54" s="285"/>
      <c r="C54" s="286">
        <v>52261</v>
      </c>
      <c r="D54" s="287"/>
      <c r="E54" s="286">
        <v>52191</v>
      </c>
      <c r="F54" s="287"/>
      <c r="G54" s="286">
        <v>52138</v>
      </c>
      <c r="H54" s="287"/>
      <c r="I54" s="286">
        <v>52075</v>
      </c>
      <c r="J54" s="287"/>
    </row>
    <row r="55" spans="1:10" x14ac:dyDescent="0.3">
      <c r="A55" s="284" t="s">
        <v>53</v>
      </c>
      <c r="B55" s="285"/>
      <c r="C55" s="286">
        <v>3218</v>
      </c>
      <c r="D55" s="287"/>
      <c r="E55" s="286">
        <v>3313</v>
      </c>
      <c r="F55" s="287"/>
      <c r="G55" s="286">
        <v>3413</v>
      </c>
      <c r="H55" s="287"/>
      <c r="I55" s="286">
        <v>3485</v>
      </c>
      <c r="J55" s="287"/>
    </row>
    <row r="56" spans="1:10" x14ac:dyDescent="0.3">
      <c r="A56" s="284" t="s">
        <v>49</v>
      </c>
      <c r="B56" s="285"/>
      <c r="C56" s="286">
        <v>9941</v>
      </c>
      <c r="D56" s="287"/>
      <c r="E56" s="286">
        <v>10156</v>
      </c>
      <c r="F56" s="287"/>
      <c r="G56" s="286">
        <v>10324</v>
      </c>
      <c r="H56" s="287"/>
      <c r="I56" s="286">
        <v>10845</v>
      </c>
      <c r="J56" s="287"/>
    </row>
    <row r="57" spans="1:10" x14ac:dyDescent="0.3">
      <c r="A57" s="284" t="s">
        <v>35</v>
      </c>
      <c r="B57" s="285"/>
      <c r="C57" s="286">
        <v>1481</v>
      </c>
      <c r="D57" s="287"/>
      <c r="E57" s="286">
        <v>1490</v>
      </c>
      <c r="F57" s="287"/>
      <c r="G57" s="286">
        <v>1494</v>
      </c>
      <c r="H57" s="287"/>
      <c r="I57" s="286">
        <v>1496</v>
      </c>
      <c r="J57" s="287"/>
    </row>
    <row r="58" spans="1:10" x14ac:dyDescent="0.3">
      <c r="A58" s="120" t="s">
        <v>36</v>
      </c>
      <c r="B58" s="121"/>
      <c r="C58" s="103">
        <f>SUM(C50:D57)</f>
        <v>206220</v>
      </c>
      <c r="D58" s="104"/>
      <c r="E58" s="103">
        <f>SUM(E50:F57)</f>
        <v>206300</v>
      </c>
      <c r="F58" s="104"/>
      <c r="G58" s="103">
        <f>SUM(G50:H57)</f>
        <v>206412</v>
      </c>
      <c r="H58" s="104"/>
      <c r="I58" s="103">
        <f>SUM(I50:J57)</f>
        <v>206788</v>
      </c>
      <c r="J58" s="104"/>
    </row>
    <row r="60" spans="1:10" x14ac:dyDescent="0.3">
      <c r="A60" s="124" t="s">
        <v>37</v>
      </c>
      <c r="B60" s="125"/>
      <c r="C60" s="130" t="s">
        <v>156</v>
      </c>
      <c r="D60" s="131"/>
      <c r="E60" s="130" t="s">
        <v>159</v>
      </c>
      <c r="F60" s="131"/>
      <c r="G60" s="130" t="s">
        <v>170</v>
      </c>
      <c r="H60" s="131"/>
      <c r="I60" s="130" t="s">
        <v>183</v>
      </c>
      <c r="J60" s="131"/>
    </row>
    <row r="61" spans="1:10" x14ac:dyDescent="0.3">
      <c r="A61" s="126"/>
      <c r="B61" s="127"/>
      <c r="C61" s="288">
        <v>135530</v>
      </c>
      <c r="D61" s="289"/>
      <c r="E61" s="288">
        <v>135576</v>
      </c>
      <c r="F61" s="289"/>
      <c r="G61" s="288">
        <v>135616</v>
      </c>
      <c r="H61" s="289"/>
      <c r="I61" s="288">
        <v>135650</v>
      </c>
      <c r="J61" s="289"/>
    </row>
    <row r="62" spans="1:10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62</v>
      </c>
      <c r="D66" s="115"/>
      <c r="E66" s="114" t="s">
        <v>86</v>
      </c>
      <c r="F66" s="115"/>
      <c r="G66" s="114" t="s">
        <v>122</v>
      </c>
      <c r="H66" s="115"/>
      <c r="I66" s="114" t="s">
        <v>165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25946</v>
      </c>
      <c r="D69" s="287"/>
      <c r="E69" s="286">
        <v>26425</v>
      </c>
      <c r="F69" s="287"/>
      <c r="G69" s="286">
        <v>26734</v>
      </c>
      <c r="H69" s="287"/>
      <c r="I69" s="286">
        <v>26961</v>
      </c>
      <c r="J69" s="287"/>
    </row>
    <row r="70" spans="1:10" x14ac:dyDescent="0.3">
      <c r="A70" s="101" t="s">
        <v>13</v>
      </c>
      <c r="B70" s="102"/>
      <c r="C70" s="286">
        <v>6472</v>
      </c>
      <c r="D70" s="287"/>
      <c r="E70" s="286">
        <v>6548</v>
      </c>
      <c r="F70" s="287"/>
      <c r="G70" s="286">
        <v>6594</v>
      </c>
      <c r="H70" s="287"/>
      <c r="I70" s="286">
        <v>6631</v>
      </c>
      <c r="J70" s="287"/>
    </row>
    <row r="71" spans="1:10" x14ac:dyDescent="0.3">
      <c r="A71" s="107" t="s">
        <v>14</v>
      </c>
      <c r="B71" s="108"/>
      <c r="C71" s="286">
        <v>5395</v>
      </c>
      <c r="D71" s="287"/>
      <c r="E71" s="286">
        <v>5483</v>
      </c>
      <c r="F71" s="287"/>
      <c r="G71" s="286">
        <v>5540</v>
      </c>
      <c r="H71" s="287"/>
      <c r="I71" s="286">
        <v>5617</v>
      </c>
      <c r="J71" s="287"/>
    </row>
    <row r="72" spans="1:10" x14ac:dyDescent="0.3">
      <c r="A72" s="107" t="s">
        <v>41</v>
      </c>
      <c r="B72" s="108"/>
      <c r="C72" s="286">
        <v>1002</v>
      </c>
      <c r="D72" s="287"/>
      <c r="E72" s="286">
        <v>1038</v>
      </c>
      <c r="F72" s="287"/>
      <c r="G72" s="286">
        <v>1070</v>
      </c>
      <c r="H72" s="287"/>
      <c r="I72" s="286">
        <v>1120</v>
      </c>
      <c r="J72" s="287"/>
    </row>
    <row r="73" spans="1:10" x14ac:dyDescent="0.3">
      <c r="A73" s="101" t="s">
        <v>15</v>
      </c>
      <c r="B73" s="102"/>
      <c r="C73" s="286">
        <v>3746</v>
      </c>
      <c r="D73" s="287"/>
      <c r="E73" s="286">
        <v>4002</v>
      </c>
      <c r="F73" s="287"/>
      <c r="G73" s="286">
        <v>3930</v>
      </c>
      <c r="H73" s="287"/>
      <c r="I73" s="286">
        <v>4011</v>
      </c>
      <c r="J73" s="287"/>
    </row>
    <row r="74" spans="1:10" x14ac:dyDescent="0.3">
      <c r="A74" s="107" t="s">
        <v>16</v>
      </c>
      <c r="B74" s="108"/>
      <c r="C74" s="286">
        <v>4260</v>
      </c>
      <c r="D74" s="287"/>
      <c r="E74" s="286">
        <v>4380</v>
      </c>
      <c r="F74" s="287"/>
      <c r="G74" s="286">
        <v>4451</v>
      </c>
      <c r="H74" s="287"/>
      <c r="I74" s="286">
        <v>4483</v>
      </c>
      <c r="J74" s="287"/>
    </row>
    <row r="75" spans="1:10" x14ac:dyDescent="0.3">
      <c r="A75" s="101" t="s">
        <v>17</v>
      </c>
      <c r="B75" s="102"/>
      <c r="C75" s="286">
        <v>5630</v>
      </c>
      <c r="D75" s="287"/>
      <c r="E75" s="286">
        <v>5918</v>
      </c>
      <c r="F75" s="287"/>
      <c r="G75" s="286">
        <v>6110</v>
      </c>
      <c r="H75" s="287"/>
      <c r="I75" s="286">
        <v>6309</v>
      </c>
      <c r="J75" s="287"/>
    </row>
    <row r="76" spans="1:10" x14ac:dyDescent="0.3">
      <c r="A76" s="107" t="s">
        <v>18</v>
      </c>
      <c r="B76" s="108"/>
      <c r="C76" s="286">
        <v>1357</v>
      </c>
      <c r="D76" s="287"/>
      <c r="E76" s="286">
        <v>1369</v>
      </c>
      <c r="F76" s="287"/>
      <c r="G76" s="286">
        <v>1378</v>
      </c>
      <c r="H76" s="287"/>
      <c r="I76" s="286">
        <v>1389</v>
      </c>
      <c r="J76" s="287"/>
    </row>
    <row r="77" spans="1:10" x14ac:dyDescent="0.3">
      <c r="A77" s="101" t="s">
        <v>19</v>
      </c>
      <c r="B77" s="102"/>
      <c r="C77" s="286">
        <v>4531</v>
      </c>
      <c r="D77" s="287"/>
      <c r="E77" s="286">
        <v>4728</v>
      </c>
      <c r="F77" s="287"/>
      <c r="G77" s="286">
        <v>4835</v>
      </c>
      <c r="H77" s="287"/>
      <c r="I77" s="286">
        <v>4922</v>
      </c>
      <c r="J77" s="287"/>
    </row>
    <row r="78" spans="1:10" x14ac:dyDescent="0.3">
      <c r="A78" s="105" t="s">
        <v>42</v>
      </c>
      <c r="B78" s="106"/>
      <c r="C78" s="103">
        <f>SUM(C69:C77)</f>
        <v>58339</v>
      </c>
      <c r="D78" s="104"/>
      <c r="E78" s="103">
        <f>SUM(E69:E77)</f>
        <v>59891</v>
      </c>
      <c r="F78" s="104"/>
      <c r="G78" s="103">
        <f>SUM(G69:G77)</f>
        <v>60642</v>
      </c>
      <c r="H78" s="104"/>
      <c r="I78" s="103">
        <f>SUM(I69:I77)</f>
        <v>61443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8"/>
  <sheetViews>
    <sheetView workbookViewId="0">
      <selection activeCell="O32" sqref="O32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197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8346</v>
      </c>
      <c r="D5" s="299"/>
      <c r="E5" s="298">
        <v>3984</v>
      </c>
      <c r="F5" s="299"/>
      <c r="G5" s="298">
        <v>3216</v>
      </c>
      <c r="H5" s="299"/>
      <c r="I5" s="298">
        <v>6988</v>
      </c>
      <c r="J5" s="299"/>
      <c r="K5" s="298">
        <v>668</v>
      </c>
      <c r="L5" s="299"/>
      <c r="M5" s="10">
        <v>1670</v>
      </c>
      <c r="N5" s="10">
        <v>654</v>
      </c>
      <c r="O5" s="10">
        <v>270</v>
      </c>
      <c r="P5" s="10">
        <v>460</v>
      </c>
      <c r="Q5" s="10">
        <v>1357</v>
      </c>
    </row>
    <row r="6" spans="1:17" ht="13.5" customHeight="1" x14ac:dyDescent="0.3">
      <c r="A6" s="211" t="s">
        <v>11</v>
      </c>
      <c r="B6" s="212"/>
      <c r="C6" s="149">
        <v>1038</v>
      </c>
      <c r="D6" s="150"/>
      <c r="E6" s="239">
        <v>4</v>
      </c>
      <c r="F6" s="240"/>
      <c r="G6" s="239">
        <v>0</v>
      </c>
      <c r="H6" s="240"/>
      <c r="I6" s="239">
        <v>0</v>
      </c>
      <c r="J6" s="240"/>
      <c r="K6" s="239">
        <v>0</v>
      </c>
      <c r="L6" s="240"/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3">
      <c r="A7" s="101" t="s">
        <v>12</v>
      </c>
      <c r="B7" s="102"/>
      <c r="C7" s="239">
        <v>321</v>
      </c>
      <c r="D7" s="240"/>
      <c r="E7" s="239">
        <v>11</v>
      </c>
      <c r="F7" s="240"/>
      <c r="G7" s="239">
        <v>7</v>
      </c>
      <c r="H7" s="240"/>
      <c r="I7" s="239">
        <v>261</v>
      </c>
      <c r="J7" s="240"/>
      <c r="K7" s="239">
        <v>128</v>
      </c>
      <c r="L7" s="240"/>
      <c r="M7" s="1">
        <v>722</v>
      </c>
      <c r="N7" s="1">
        <v>24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213</v>
      </c>
      <c r="D8" s="240"/>
      <c r="E8" s="239">
        <v>0</v>
      </c>
      <c r="F8" s="240"/>
      <c r="G8" s="239">
        <v>0</v>
      </c>
      <c r="H8" s="240"/>
      <c r="I8" s="239">
        <v>210</v>
      </c>
      <c r="J8" s="240"/>
      <c r="K8" s="239">
        <v>0</v>
      </c>
      <c r="L8" s="240"/>
      <c r="M8" s="1">
        <v>185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349</v>
      </c>
      <c r="D9" s="240"/>
      <c r="E9" s="239">
        <v>120</v>
      </c>
      <c r="F9" s="240"/>
      <c r="G9" s="239">
        <v>0</v>
      </c>
      <c r="H9" s="240"/>
      <c r="I9" s="239">
        <v>65</v>
      </c>
      <c r="J9" s="240"/>
      <c r="K9" s="239">
        <v>25</v>
      </c>
      <c r="L9" s="240"/>
      <c r="M9" s="1">
        <v>233</v>
      </c>
      <c r="N9" s="1">
        <v>8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312</v>
      </c>
      <c r="D10" s="240"/>
      <c r="E10" s="239">
        <v>0</v>
      </c>
      <c r="F10" s="240"/>
      <c r="G10" s="239">
        <v>0</v>
      </c>
      <c r="H10" s="240"/>
      <c r="I10" s="239">
        <v>233</v>
      </c>
      <c r="J10" s="240"/>
      <c r="K10" s="239">
        <v>40</v>
      </c>
      <c r="L10" s="240"/>
      <c r="M10" s="1">
        <v>136</v>
      </c>
      <c r="N10" s="1">
        <v>80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196</v>
      </c>
      <c r="D11" s="246"/>
      <c r="E11" s="239">
        <v>14</v>
      </c>
      <c r="F11" s="240"/>
      <c r="G11" s="239">
        <v>0</v>
      </c>
      <c r="H11" s="240"/>
      <c r="I11" s="239">
        <v>17</v>
      </c>
      <c r="J11" s="240"/>
      <c r="K11" s="239">
        <v>158</v>
      </c>
      <c r="L11" s="240"/>
      <c r="M11" s="1">
        <v>140</v>
      </c>
      <c r="N11" s="1">
        <v>169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150</v>
      </c>
      <c r="D12" s="246"/>
      <c r="E12" s="239">
        <v>0</v>
      </c>
      <c r="F12" s="240"/>
      <c r="G12" s="239">
        <v>12</v>
      </c>
      <c r="H12" s="240"/>
      <c r="I12" s="239">
        <v>225</v>
      </c>
      <c r="J12" s="240"/>
      <c r="K12" s="239">
        <v>0</v>
      </c>
      <c r="L12" s="240"/>
      <c r="M12" s="1">
        <v>400</v>
      </c>
      <c r="N12" s="1">
        <v>106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305</v>
      </c>
      <c r="D13" s="246"/>
      <c r="E13" s="239">
        <v>0</v>
      </c>
      <c r="F13" s="240"/>
      <c r="G13" s="239">
        <v>0</v>
      </c>
      <c r="H13" s="240"/>
      <c r="I13" s="239">
        <v>206</v>
      </c>
      <c r="J13" s="240"/>
      <c r="K13" s="239">
        <v>55</v>
      </c>
      <c r="L13" s="240"/>
      <c r="M13" s="1">
        <v>105</v>
      </c>
      <c r="N13" s="1">
        <v>55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195</v>
      </c>
      <c r="D14" s="248"/>
      <c r="E14" s="247">
        <v>0</v>
      </c>
      <c r="F14" s="248"/>
      <c r="G14" s="247">
        <v>0</v>
      </c>
      <c r="H14" s="248"/>
      <c r="I14" s="239">
        <v>149</v>
      </c>
      <c r="J14" s="240"/>
      <c r="K14" s="247">
        <v>121</v>
      </c>
      <c r="L14" s="248"/>
      <c r="M14" s="2">
        <v>241</v>
      </c>
      <c r="N14" s="2">
        <v>30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2640</v>
      </c>
      <c r="P15" s="2">
        <v>1689</v>
      </c>
      <c r="Q15" s="2">
        <v>2176</v>
      </c>
    </row>
    <row r="16" spans="1:17" ht="15" thickBot="1" x14ac:dyDescent="0.35">
      <c r="A16" s="199" t="s">
        <v>20</v>
      </c>
      <c r="B16" s="200"/>
      <c r="C16" s="201">
        <f>SUM(C5:D15)</f>
        <v>11425</v>
      </c>
      <c r="D16" s="202"/>
      <c r="E16" s="201">
        <f>SUM(E5:F15)</f>
        <v>4133</v>
      </c>
      <c r="F16" s="202"/>
      <c r="G16" s="201">
        <f>SUM(G5:H15)</f>
        <v>3235</v>
      </c>
      <c r="H16" s="202"/>
      <c r="I16" s="201">
        <f>SUM(I5:J15)</f>
        <v>8354</v>
      </c>
      <c r="J16" s="202"/>
      <c r="K16" s="201">
        <f>SUM(K5:L15)</f>
        <v>1195</v>
      </c>
      <c r="L16" s="202"/>
      <c r="M16" s="3">
        <f>SUM(M5:M15)</f>
        <v>3832</v>
      </c>
      <c r="N16" s="4">
        <f>SUM(N5:N15)</f>
        <v>1141</v>
      </c>
      <c r="O16" s="4">
        <f>SUM(O5:O15)</f>
        <v>2993</v>
      </c>
      <c r="P16" s="4">
        <f>SUM(P5:P15)</f>
        <v>2206</v>
      </c>
      <c r="Q16" s="5">
        <f>SUM(Q5:Q15)</f>
        <v>3556</v>
      </c>
    </row>
    <row r="17" spans="1:17" x14ac:dyDescent="0.3">
      <c r="A17" s="190" t="s">
        <v>21</v>
      </c>
      <c r="B17" s="191"/>
      <c r="C17" s="251">
        <v>8346</v>
      </c>
      <c r="D17" s="252"/>
      <c r="E17" s="253">
        <v>3984</v>
      </c>
      <c r="F17" s="254"/>
      <c r="G17" s="255">
        <v>3216</v>
      </c>
      <c r="H17" s="256"/>
      <c r="I17" s="255">
        <v>6988</v>
      </c>
      <c r="J17" s="256"/>
      <c r="K17" s="253">
        <v>638</v>
      </c>
      <c r="L17" s="254"/>
      <c r="M17" s="9">
        <v>1514</v>
      </c>
      <c r="N17" s="9">
        <v>654</v>
      </c>
      <c r="O17" s="9">
        <v>270</v>
      </c>
      <c r="P17" s="9">
        <v>425</v>
      </c>
      <c r="Q17" s="9">
        <v>1142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197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252</v>
      </c>
      <c r="D25" s="259"/>
      <c r="E25" s="260" t="s">
        <v>82</v>
      </c>
      <c r="F25" s="261"/>
      <c r="G25" s="258">
        <v>0</v>
      </c>
      <c r="H25" s="259"/>
      <c r="I25" s="258">
        <v>197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13</v>
      </c>
      <c r="D26" s="259"/>
      <c r="E26" s="260" t="s">
        <v>25</v>
      </c>
      <c r="F26" s="261"/>
      <c r="G26" s="258">
        <v>0</v>
      </c>
      <c r="H26" s="259"/>
      <c r="I26" s="258">
        <v>48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155</v>
      </c>
      <c r="D27" s="259"/>
      <c r="E27" s="260" t="s">
        <v>45</v>
      </c>
      <c r="F27" s="261"/>
      <c r="G27" s="258">
        <v>0</v>
      </c>
      <c r="H27" s="259"/>
      <c r="I27" s="258">
        <v>40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202</v>
      </c>
      <c r="D28" s="261"/>
      <c r="E28" s="260" t="s">
        <v>194</v>
      </c>
      <c r="F28" s="261"/>
      <c r="G28" s="258">
        <v>0</v>
      </c>
      <c r="H28" s="259"/>
      <c r="I28" s="258">
        <v>7</v>
      </c>
      <c r="J28" s="259"/>
      <c r="K28" s="8">
        <v>3</v>
      </c>
    </row>
    <row r="29" spans="1:17" x14ac:dyDescent="0.3">
      <c r="A29" s="101" t="s">
        <v>16</v>
      </c>
      <c r="B29" s="102"/>
      <c r="C29" s="270" t="s">
        <v>185</v>
      </c>
      <c r="D29" s="271"/>
      <c r="E29" s="260" t="s">
        <v>186</v>
      </c>
      <c r="F29" s="261"/>
      <c r="G29" s="258">
        <v>0</v>
      </c>
      <c r="H29" s="259"/>
      <c r="I29" s="258">
        <v>33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10</v>
      </c>
      <c r="D30" s="271"/>
      <c r="E30" s="258" t="s">
        <v>166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30</v>
      </c>
      <c r="D32" s="259"/>
      <c r="E32" s="260" t="s">
        <v>201</v>
      </c>
      <c r="F32" s="261"/>
      <c r="G32" s="258">
        <v>0</v>
      </c>
      <c r="H32" s="259"/>
      <c r="I32" s="258">
        <v>11</v>
      </c>
      <c r="J32" s="259"/>
      <c r="K32" s="8">
        <v>2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197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182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204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199</v>
      </c>
      <c r="D40" s="259"/>
      <c r="E40" s="276" t="s">
        <v>200</v>
      </c>
      <c r="F40" s="277"/>
      <c r="G40" s="258">
        <v>6</v>
      </c>
      <c r="H40" s="259"/>
      <c r="I40" s="258" t="s">
        <v>43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203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205</v>
      </c>
      <c r="D42" s="271"/>
      <c r="E42" s="276" t="s">
        <v>206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198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281" t="s">
        <v>159</v>
      </c>
      <c r="D49" s="282"/>
      <c r="E49" s="281" t="s">
        <v>170</v>
      </c>
      <c r="F49" s="282"/>
      <c r="G49" s="281" t="s">
        <v>183</v>
      </c>
      <c r="H49" s="282"/>
      <c r="I49" s="281" t="s">
        <v>197</v>
      </c>
      <c r="J49" s="282"/>
    </row>
    <row r="50" spans="1:11" x14ac:dyDescent="0.3">
      <c r="A50" s="284" t="s">
        <v>30</v>
      </c>
      <c r="B50" s="285"/>
      <c r="C50" s="286">
        <v>14321</v>
      </c>
      <c r="D50" s="287"/>
      <c r="E50" s="286">
        <v>14286</v>
      </c>
      <c r="F50" s="287"/>
      <c r="G50" s="286">
        <v>14255</v>
      </c>
      <c r="H50" s="287"/>
      <c r="I50" s="300">
        <v>14210</v>
      </c>
      <c r="J50" s="301"/>
    </row>
    <row r="51" spans="1:11" x14ac:dyDescent="0.3">
      <c r="A51" s="284" t="s">
        <v>31</v>
      </c>
      <c r="B51" s="285"/>
      <c r="C51" s="286">
        <v>8439</v>
      </c>
      <c r="D51" s="287"/>
      <c r="E51" s="286">
        <v>8424</v>
      </c>
      <c r="F51" s="287"/>
      <c r="G51" s="286">
        <v>8411</v>
      </c>
      <c r="H51" s="287"/>
      <c r="I51" s="286">
        <v>8413</v>
      </c>
      <c r="J51" s="287"/>
    </row>
    <row r="52" spans="1:11" x14ac:dyDescent="0.3">
      <c r="A52" s="284" t="s">
        <v>32</v>
      </c>
      <c r="B52" s="285"/>
      <c r="C52" s="286">
        <v>116150</v>
      </c>
      <c r="D52" s="287"/>
      <c r="E52" s="286">
        <v>116093</v>
      </c>
      <c r="F52" s="287"/>
      <c r="G52" s="286">
        <v>115981</v>
      </c>
      <c r="H52" s="287"/>
      <c r="I52" s="300">
        <v>115921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1" x14ac:dyDescent="0.3">
      <c r="A54" s="284" t="s">
        <v>34</v>
      </c>
      <c r="B54" s="285"/>
      <c r="C54" s="286">
        <v>52191</v>
      </c>
      <c r="D54" s="287"/>
      <c r="E54" s="286">
        <v>52138</v>
      </c>
      <c r="F54" s="287"/>
      <c r="G54" s="286">
        <v>52075</v>
      </c>
      <c r="H54" s="287"/>
      <c r="I54" s="300">
        <v>52044</v>
      </c>
      <c r="J54" s="301"/>
    </row>
    <row r="55" spans="1:11" x14ac:dyDescent="0.3">
      <c r="A55" s="284" t="s">
        <v>53</v>
      </c>
      <c r="B55" s="285"/>
      <c r="C55" s="286">
        <v>3313</v>
      </c>
      <c r="D55" s="287"/>
      <c r="E55" s="286">
        <v>3413</v>
      </c>
      <c r="F55" s="287"/>
      <c r="G55" s="286">
        <v>3485</v>
      </c>
      <c r="H55" s="287"/>
      <c r="I55" s="286">
        <v>3542</v>
      </c>
      <c r="J55" s="287"/>
    </row>
    <row r="56" spans="1:11" x14ac:dyDescent="0.3">
      <c r="A56" s="284" t="s">
        <v>49</v>
      </c>
      <c r="B56" s="285"/>
      <c r="C56" s="286">
        <v>10156</v>
      </c>
      <c r="D56" s="287"/>
      <c r="E56" s="286">
        <v>10324</v>
      </c>
      <c r="F56" s="287"/>
      <c r="G56" s="286">
        <v>10845</v>
      </c>
      <c r="H56" s="287"/>
      <c r="I56" s="300">
        <v>10658</v>
      </c>
      <c r="J56" s="301"/>
      <c r="K56" s="11"/>
    </row>
    <row r="57" spans="1:11" x14ac:dyDescent="0.3">
      <c r="A57" s="284" t="s">
        <v>35</v>
      </c>
      <c r="B57" s="285"/>
      <c r="C57" s="286">
        <v>1490</v>
      </c>
      <c r="D57" s="287"/>
      <c r="E57" s="286">
        <v>1494</v>
      </c>
      <c r="F57" s="287"/>
      <c r="G57" s="286">
        <v>1496</v>
      </c>
      <c r="H57" s="287"/>
      <c r="I57" s="286">
        <v>1496</v>
      </c>
      <c r="J57" s="287"/>
    </row>
    <row r="58" spans="1:11" x14ac:dyDescent="0.3">
      <c r="A58" s="120" t="s">
        <v>36</v>
      </c>
      <c r="B58" s="121"/>
      <c r="C58" s="103">
        <f>SUM(C50:D57)</f>
        <v>206300</v>
      </c>
      <c r="D58" s="104"/>
      <c r="E58" s="103">
        <f>SUM(E50:F57)</f>
        <v>206412</v>
      </c>
      <c r="F58" s="104"/>
      <c r="G58" s="103">
        <f>SUM(G50:H57)</f>
        <v>206788</v>
      </c>
      <c r="H58" s="104"/>
      <c r="I58" s="122">
        <f>SUM(I50:J57)</f>
        <v>206524</v>
      </c>
      <c r="J58" s="123"/>
    </row>
    <row r="60" spans="1:11" x14ac:dyDescent="0.3">
      <c r="A60" s="124" t="s">
        <v>37</v>
      </c>
      <c r="B60" s="125"/>
      <c r="C60" s="130" t="s">
        <v>159</v>
      </c>
      <c r="D60" s="131"/>
      <c r="E60" s="130" t="s">
        <v>170</v>
      </c>
      <c r="F60" s="131"/>
      <c r="G60" s="130" t="s">
        <v>183</v>
      </c>
      <c r="H60" s="131"/>
      <c r="I60" s="130" t="s">
        <v>197</v>
      </c>
      <c r="J60" s="131"/>
    </row>
    <row r="61" spans="1:11" x14ac:dyDescent="0.3">
      <c r="A61" s="126"/>
      <c r="B61" s="127"/>
      <c r="C61" s="288">
        <v>135576</v>
      </c>
      <c r="D61" s="289"/>
      <c r="E61" s="288">
        <v>135616</v>
      </c>
      <c r="F61" s="289"/>
      <c r="G61" s="288">
        <v>135650</v>
      </c>
      <c r="H61" s="289"/>
      <c r="I61" s="288">
        <v>135694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62</v>
      </c>
      <c r="D66" s="115"/>
      <c r="E66" s="114" t="s">
        <v>86</v>
      </c>
      <c r="F66" s="115"/>
      <c r="G66" s="114" t="s">
        <v>122</v>
      </c>
      <c r="H66" s="115"/>
      <c r="I66" s="114" t="s">
        <v>165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25946</v>
      </c>
      <c r="D69" s="287"/>
      <c r="E69" s="286">
        <v>26425</v>
      </c>
      <c r="F69" s="287"/>
      <c r="G69" s="286">
        <v>26734</v>
      </c>
      <c r="H69" s="287"/>
      <c r="I69" s="286">
        <v>26961</v>
      </c>
      <c r="J69" s="287"/>
    </row>
    <row r="70" spans="1:10" x14ac:dyDescent="0.3">
      <c r="A70" s="101" t="s">
        <v>13</v>
      </c>
      <c r="B70" s="102"/>
      <c r="C70" s="286">
        <v>6472</v>
      </c>
      <c r="D70" s="287"/>
      <c r="E70" s="286">
        <v>6548</v>
      </c>
      <c r="F70" s="287"/>
      <c r="G70" s="286">
        <v>6594</v>
      </c>
      <c r="H70" s="287"/>
      <c r="I70" s="286">
        <v>6631</v>
      </c>
      <c r="J70" s="287"/>
    </row>
    <row r="71" spans="1:10" x14ac:dyDescent="0.3">
      <c r="A71" s="107" t="s">
        <v>14</v>
      </c>
      <c r="B71" s="108"/>
      <c r="C71" s="286">
        <v>5395</v>
      </c>
      <c r="D71" s="287"/>
      <c r="E71" s="286">
        <v>5483</v>
      </c>
      <c r="F71" s="287"/>
      <c r="G71" s="286">
        <v>5540</v>
      </c>
      <c r="H71" s="287"/>
      <c r="I71" s="286">
        <v>5617</v>
      </c>
      <c r="J71" s="287"/>
    </row>
    <row r="72" spans="1:10" x14ac:dyDescent="0.3">
      <c r="A72" s="107" t="s">
        <v>41</v>
      </c>
      <c r="B72" s="108"/>
      <c r="C72" s="286">
        <v>1002</v>
      </c>
      <c r="D72" s="287"/>
      <c r="E72" s="286">
        <v>1038</v>
      </c>
      <c r="F72" s="287"/>
      <c r="G72" s="286">
        <v>1070</v>
      </c>
      <c r="H72" s="287"/>
      <c r="I72" s="286">
        <v>1120</v>
      </c>
      <c r="J72" s="287"/>
    </row>
    <row r="73" spans="1:10" x14ac:dyDescent="0.3">
      <c r="A73" s="101" t="s">
        <v>15</v>
      </c>
      <c r="B73" s="102"/>
      <c r="C73" s="286">
        <v>3746</v>
      </c>
      <c r="D73" s="287"/>
      <c r="E73" s="286">
        <v>4002</v>
      </c>
      <c r="F73" s="287"/>
      <c r="G73" s="286">
        <v>3930</v>
      </c>
      <c r="H73" s="287"/>
      <c r="I73" s="286">
        <v>4011</v>
      </c>
      <c r="J73" s="287"/>
    </row>
    <row r="74" spans="1:10" x14ac:dyDescent="0.3">
      <c r="A74" s="107" t="s">
        <v>16</v>
      </c>
      <c r="B74" s="108"/>
      <c r="C74" s="286">
        <v>4260</v>
      </c>
      <c r="D74" s="287"/>
      <c r="E74" s="286">
        <v>4380</v>
      </c>
      <c r="F74" s="287"/>
      <c r="G74" s="286">
        <v>4451</v>
      </c>
      <c r="H74" s="287"/>
      <c r="I74" s="286">
        <v>4483</v>
      </c>
      <c r="J74" s="287"/>
    </row>
    <row r="75" spans="1:10" x14ac:dyDescent="0.3">
      <c r="A75" s="101" t="s">
        <v>17</v>
      </c>
      <c r="B75" s="102"/>
      <c r="C75" s="286">
        <v>5630</v>
      </c>
      <c r="D75" s="287"/>
      <c r="E75" s="286">
        <v>5918</v>
      </c>
      <c r="F75" s="287"/>
      <c r="G75" s="286">
        <v>6110</v>
      </c>
      <c r="H75" s="287"/>
      <c r="I75" s="286">
        <v>6309</v>
      </c>
      <c r="J75" s="287"/>
    </row>
    <row r="76" spans="1:10" x14ac:dyDescent="0.3">
      <c r="A76" s="107" t="s">
        <v>18</v>
      </c>
      <c r="B76" s="108"/>
      <c r="C76" s="286">
        <v>1357</v>
      </c>
      <c r="D76" s="287"/>
      <c r="E76" s="286">
        <v>1369</v>
      </c>
      <c r="F76" s="287"/>
      <c r="G76" s="286">
        <v>1378</v>
      </c>
      <c r="H76" s="287"/>
      <c r="I76" s="286">
        <v>1389</v>
      </c>
      <c r="J76" s="287"/>
    </row>
    <row r="77" spans="1:10" x14ac:dyDescent="0.3">
      <c r="A77" s="101" t="s">
        <v>19</v>
      </c>
      <c r="B77" s="102"/>
      <c r="C77" s="286">
        <v>4531</v>
      </c>
      <c r="D77" s="287"/>
      <c r="E77" s="286">
        <v>4728</v>
      </c>
      <c r="F77" s="287"/>
      <c r="G77" s="286">
        <v>4835</v>
      </c>
      <c r="H77" s="287"/>
      <c r="I77" s="286">
        <v>4922</v>
      </c>
      <c r="J77" s="287"/>
    </row>
    <row r="78" spans="1:10" x14ac:dyDescent="0.3">
      <c r="A78" s="105" t="s">
        <v>42</v>
      </c>
      <c r="B78" s="106"/>
      <c r="C78" s="103">
        <f>SUM(C69:C77)</f>
        <v>58339</v>
      </c>
      <c r="D78" s="104"/>
      <c r="E78" s="103">
        <f>SUM(E69:E77)</f>
        <v>59891</v>
      </c>
      <c r="F78" s="104"/>
      <c r="G78" s="103">
        <f>SUM(G69:G77)</f>
        <v>60642</v>
      </c>
      <c r="H78" s="104"/>
      <c r="I78" s="103">
        <f>SUM(I69:I77)</f>
        <v>61443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78"/>
  <sheetViews>
    <sheetView workbookViewId="0">
      <selection activeCell="N54" sqref="N54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207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8346</v>
      </c>
      <c r="D5" s="299"/>
      <c r="E5" s="298">
        <v>3984</v>
      </c>
      <c r="F5" s="299"/>
      <c r="G5" s="298">
        <v>3216</v>
      </c>
      <c r="H5" s="299"/>
      <c r="I5" s="302">
        <v>6648</v>
      </c>
      <c r="J5" s="303"/>
      <c r="K5" s="302">
        <v>518</v>
      </c>
      <c r="L5" s="303"/>
      <c r="M5" s="12">
        <v>1360</v>
      </c>
      <c r="N5" s="10">
        <v>1674</v>
      </c>
      <c r="O5" s="12">
        <v>50</v>
      </c>
      <c r="P5" s="10">
        <v>325</v>
      </c>
      <c r="Q5" s="10">
        <v>1227</v>
      </c>
    </row>
    <row r="6" spans="1:17" ht="13.5" customHeight="1" x14ac:dyDescent="0.3">
      <c r="A6" s="211" t="s">
        <v>11</v>
      </c>
      <c r="B6" s="212"/>
      <c r="C6" s="298">
        <v>972</v>
      </c>
      <c r="D6" s="299"/>
      <c r="E6" s="298">
        <v>4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360</v>
      </c>
      <c r="D7" s="240"/>
      <c r="E7" s="239">
        <v>11</v>
      </c>
      <c r="F7" s="240"/>
      <c r="G7" s="239">
        <v>7</v>
      </c>
      <c r="H7" s="240"/>
      <c r="I7" s="239">
        <v>380</v>
      </c>
      <c r="J7" s="240"/>
      <c r="K7" s="239">
        <v>202</v>
      </c>
      <c r="L7" s="240"/>
      <c r="M7" s="1">
        <v>832</v>
      </c>
      <c r="N7" s="1">
        <v>24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179</v>
      </c>
      <c r="D8" s="240"/>
      <c r="E8" s="239">
        <v>0</v>
      </c>
      <c r="F8" s="240"/>
      <c r="G8" s="239">
        <v>0</v>
      </c>
      <c r="H8" s="240"/>
      <c r="I8" s="239">
        <v>182</v>
      </c>
      <c r="J8" s="240"/>
      <c r="K8" s="239">
        <v>0</v>
      </c>
      <c r="L8" s="240"/>
      <c r="M8" s="1">
        <v>164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306</v>
      </c>
      <c r="D9" s="240"/>
      <c r="E9" s="239">
        <v>120</v>
      </c>
      <c r="F9" s="240"/>
      <c r="G9" s="239">
        <v>0</v>
      </c>
      <c r="H9" s="240"/>
      <c r="I9" s="239">
        <v>29</v>
      </c>
      <c r="J9" s="240"/>
      <c r="K9" s="239">
        <v>23</v>
      </c>
      <c r="L9" s="240"/>
      <c r="M9" s="1">
        <v>232</v>
      </c>
      <c r="N9" s="1">
        <v>8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265</v>
      </c>
      <c r="D10" s="240"/>
      <c r="E10" s="239">
        <v>0</v>
      </c>
      <c r="F10" s="240"/>
      <c r="G10" s="239">
        <v>0</v>
      </c>
      <c r="H10" s="240"/>
      <c r="I10" s="239">
        <v>196</v>
      </c>
      <c r="J10" s="240"/>
      <c r="K10" s="239">
        <v>36</v>
      </c>
      <c r="L10" s="240"/>
      <c r="M10" s="1">
        <v>233</v>
      </c>
      <c r="N10" s="1">
        <v>60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184</v>
      </c>
      <c r="D11" s="246"/>
      <c r="E11" s="239">
        <v>14</v>
      </c>
      <c r="F11" s="240"/>
      <c r="G11" s="239">
        <v>0</v>
      </c>
      <c r="H11" s="240"/>
      <c r="I11" s="239">
        <v>12</v>
      </c>
      <c r="J11" s="240"/>
      <c r="K11" s="239">
        <v>144</v>
      </c>
      <c r="L11" s="240"/>
      <c r="M11" s="1">
        <v>134</v>
      </c>
      <c r="N11" s="1">
        <v>163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125</v>
      </c>
      <c r="D12" s="246"/>
      <c r="E12" s="239">
        <v>0</v>
      </c>
      <c r="F12" s="240"/>
      <c r="G12" s="239">
        <v>5</v>
      </c>
      <c r="H12" s="240"/>
      <c r="I12" s="239">
        <v>200</v>
      </c>
      <c r="J12" s="240"/>
      <c r="K12" s="239">
        <v>0</v>
      </c>
      <c r="L12" s="240"/>
      <c r="M12" s="1">
        <v>350</v>
      </c>
      <c r="N12" s="1">
        <v>100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281</v>
      </c>
      <c r="D13" s="246"/>
      <c r="E13" s="239">
        <v>0</v>
      </c>
      <c r="F13" s="240"/>
      <c r="G13" s="239">
        <v>0</v>
      </c>
      <c r="H13" s="240"/>
      <c r="I13" s="239">
        <v>194</v>
      </c>
      <c r="J13" s="240"/>
      <c r="K13" s="239">
        <v>7</v>
      </c>
      <c r="L13" s="240"/>
      <c r="M13" s="1">
        <v>101</v>
      </c>
      <c r="N13" s="1">
        <v>55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174</v>
      </c>
      <c r="D14" s="248"/>
      <c r="E14" s="247">
        <v>0</v>
      </c>
      <c r="F14" s="248"/>
      <c r="G14" s="247">
        <v>0</v>
      </c>
      <c r="H14" s="248"/>
      <c r="I14" s="239">
        <v>131</v>
      </c>
      <c r="J14" s="240"/>
      <c r="K14" s="247">
        <v>115</v>
      </c>
      <c r="L14" s="248"/>
      <c r="M14" s="2">
        <v>215</v>
      </c>
      <c r="N14" s="2">
        <v>22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2118</v>
      </c>
      <c r="P15" s="2">
        <v>2129</v>
      </c>
      <c r="Q15" s="2">
        <v>1865</v>
      </c>
    </row>
    <row r="16" spans="1:17" ht="15" thickBot="1" x14ac:dyDescent="0.35">
      <c r="A16" s="199" t="s">
        <v>20</v>
      </c>
      <c r="B16" s="200"/>
      <c r="C16" s="201">
        <f>SUM(C5:D15)</f>
        <v>11192</v>
      </c>
      <c r="D16" s="202"/>
      <c r="E16" s="201">
        <f>SUM(E5:F15)</f>
        <v>4133</v>
      </c>
      <c r="F16" s="202"/>
      <c r="G16" s="201">
        <f>SUM(G5:H15)</f>
        <v>3228</v>
      </c>
      <c r="H16" s="202"/>
      <c r="I16" s="201">
        <f>SUM(I5:J15)</f>
        <v>7972</v>
      </c>
      <c r="J16" s="202"/>
      <c r="K16" s="201">
        <f>SUM(K5:L15)</f>
        <v>1045</v>
      </c>
      <c r="L16" s="202"/>
      <c r="M16" s="3">
        <f>SUM(M5:M15)</f>
        <v>3621</v>
      </c>
      <c r="N16" s="4">
        <f>SUM(N5:N15)</f>
        <v>2121</v>
      </c>
      <c r="O16" s="4">
        <f>SUM(O5:O15)</f>
        <v>2251</v>
      </c>
      <c r="P16" s="4">
        <f>SUM(P5:P15)</f>
        <v>2511</v>
      </c>
      <c r="Q16" s="5">
        <f>SUM(Q5:Q15)</f>
        <v>3115</v>
      </c>
    </row>
    <row r="17" spans="1:17" x14ac:dyDescent="0.3">
      <c r="A17" s="190" t="s">
        <v>21</v>
      </c>
      <c r="B17" s="191"/>
      <c r="C17" s="251">
        <v>8346</v>
      </c>
      <c r="D17" s="252"/>
      <c r="E17" s="253">
        <v>3984</v>
      </c>
      <c r="F17" s="254"/>
      <c r="G17" s="255">
        <v>3216</v>
      </c>
      <c r="H17" s="256"/>
      <c r="I17" s="255">
        <v>6648</v>
      </c>
      <c r="J17" s="256"/>
      <c r="K17" s="253">
        <v>518</v>
      </c>
      <c r="L17" s="254"/>
      <c r="M17" s="9">
        <v>1350</v>
      </c>
      <c r="N17" s="9">
        <v>1674</v>
      </c>
      <c r="O17" s="9">
        <v>50</v>
      </c>
      <c r="P17" s="9">
        <v>325</v>
      </c>
      <c r="Q17" s="9">
        <v>1047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207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231</v>
      </c>
      <c r="D25" s="259"/>
      <c r="E25" s="260" t="s">
        <v>133</v>
      </c>
      <c r="F25" s="261"/>
      <c r="G25" s="258">
        <v>0</v>
      </c>
      <c r="H25" s="259"/>
      <c r="I25" s="258">
        <v>196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14</v>
      </c>
      <c r="D26" s="259"/>
      <c r="E26" s="260" t="s">
        <v>25</v>
      </c>
      <c r="F26" s="261"/>
      <c r="G26" s="258">
        <v>0</v>
      </c>
      <c r="H26" s="259"/>
      <c r="I26" s="258">
        <v>50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176</v>
      </c>
      <c r="D27" s="259"/>
      <c r="E27" s="260" t="s">
        <v>210</v>
      </c>
      <c r="F27" s="261"/>
      <c r="G27" s="258">
        <v>0</v>
      </c>
      <c r="H27" s="259"/>
      <c r="I27" s="258">
        <v>39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215</v>
      </c>
      <c r="F28" s="261"/>
      <c r="G28" s="258">
        <v>0</v>
      </c>
      <c r="H28" s="259"/>
      <c r="I28" s="258">
        <v>10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208</v>
      </c>
      <c r="D29" s="271"/>
      <c r="E29" s="260" t="s">
        <v>186</v>
      </c>
      <c r="F29" s="261"/>
      <c r="G29" s="258">
        <v>0</v>
      </c>
      <c r="H29" s="259"/>
      <c r="I29" s="258">
        <v>33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10</v>
      </c>
      <c r="D30" s="271"/>
      <c r="E30" s="258" t="s">
        <v>166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8</v>
      </c>
      <c r="D31" s="271"/>
      <c r="E31" s="260" t="s">
        <v>25</v>
      </c>
      <c r="F31" s="261"/>
      <c r="G31" s="258">
        <v>0</v>
      </c>
      <c r="H31" s="259"/>
      <c r="I31" s="258">
        <v>5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26</v>
      </c>
      <c r="D32" s="259"/>
      <c r="E32" s="260" t="s">
        <v>25</v>
      </c>
      <c r="F32" s="261"/>
      <c r="G32" s="258">
        <v>0</v>
      </c>
      <c r="H32" s="259"/>
      <c r="I32" s="258">
        <v>8</v>
      </c>
      <c r="J32" s="259"/>
      <c r="K32" s="8">
        <v>2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207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134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217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211</v>
      </c>
      <c r="D40" s="259"/>
      <c r="E40" s="276" t="s">
        <v>212</v>
      </c>
      <c r="F40" s="277"/>
      <c r="G40" s="258">
        <v>6</v>
      </c>
      <c r="H40" s="259"/>
      <c r="I40" s="258" t="s">
        <v>213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216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205</v>
      </c>
      <c r="D42" s="271"/>
      <c r="E42" s="276" t="s">
        <v>206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209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281" t="s">
        <v>170</v>
      </c>
      <c r="D49" s="282"/>
      <c r="E49" s="281" t="s">
        <v>183</v>
      </c>
      <c r="F49" s="282"/>
      <c r="G49" s="281" t="s">
        <v>197</v>
      </c>
      <c r="H49" s="282"/>
      <c r="I49" s="281" t="s">
        <v>207</v>
      </c>
      <c r="J49" s="282"/>
    </row>
    <row r="50" spans="1:11" x14ac:dyDescent="0.3">
      <c r="A50" s="284" t="s">
        <v>30</v>
      </c>
      <c r="B50" s="285"/>
      <c r="C50" s="286">
        <v>14286</v>
      </c>
      <c r="D50" s="287"/>
      <c r="E50" s="286">
        <v>14255</v>
      </c>
      <c r="F50" s="287"/>
      <c r="G50" s="300">
        <v>14210</v>
      </c>
      <c r="H50" s="301"/>
      <c r="I50" s="300">
        <v>14153</v>
      </c>
      <c r="J50" s="301"/>
    </row>
    <row r="51" spans="1:11" x14ac:dyDescent="0.3">
      <c r="A51" s="284" t="s">
        <v>31</v>
      </c>
      <c r="B51" s="285"/>
      <c r="C51" s="286">
        <v>8424</v>
      </c>
      <c r="D51" s="287"/>
      <c r="E51" s="286">
        <v>8411</v>
      </c>
      <c r="F51" s="287"/>
      <c r="G51" s="286">
        <v>8413</v>
      </c>
      <c r="H51" s="287"/>
      <c r="I51" s="286">
        <v>8404</v>
      </c>
      <c r="J51" s="287"/>
    </row>
    <row r="52" spans="1:11" x14ac:dyDescent="0.3">
      <c r="A52" s="284" t="s">
        <v>32</v>
      </c>
      <c r="B52" s="285"/>
      <c r="C52" s="286">
        <v>116093</v>
      </c>
      <c r="D52" s="287"/>
      <c r="E52" s="286">
        <v>115981</v>
      </c>
      <c r="F52" s="287"/>
      <c r="G52" s="300">
        <v>115921</v>
      </c>
      <c r="H52" s="301"/>
      <c r="I52" s="300">
        <v>115761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1" x14ac:dyDescent="0.3">
      <c r="A54" s="284" t="s">
        <v>34</v>
      </c>
      <c r="B54" s="285"/>
      <c r="C54" s="286">
        <v>52138</v>
      </c>
      <c r="D54" s="287"/>
      <c r="E54" s="286">
        <v>52075</v>
      </c>
      <c r="F54" s="287"/>
      <c r="G54" s="300">
        <v>52044</v>
      </c>
      <c r="H54" s="301"/>
      <c r="I54" s="300">
        <v>51969</v>
      </c>
      <c r="J54" s="301"/>
    </row>
    <row r="55" spans="1:11" x14ac:dyDescent="0.3">
      <c r="A55" s="284" t="s">
        <v>53</v>
      </c>
      <c r="B55" s="285"/>
      <c r="C55" s="286">
        <v>3413</v>
      </c>
      <c r="D55" s="287"/>
      <c r="E55" s="286">
        <v>3485</v>
      </c>
      <c r="F55" s="287"/>
      <c r="G55" s="286">
        <v>3542</v>
      </c>
      <c r="H55" s="287"/>
      <c r="I55" s="286">
        <v>3618</v>
      </c>
      <c r="J55" s="287"/>
    </row>
    <row r="56" spans="1:11" x14ac:dyDescent="0.3">
      <c r="A56" s="284" t="s">
        <v>49</v>
      </c>
      <c r="B56" s="285"/>
      <c r="C56" s="286">
        <v>10324</v>
      </c>
      <c r="D56" s="287"/>
      <c r="E56" s="286">
        <v>10845</v>
      </c>
      <c r="F56" s="287"/>
      <c r="G56" s="300">
        <v>10658</v>
      </c>
      <c r="H56" s="301"/>
      <c r="I56" s="300">
        <v>10827</v>
      </c>
      <c r="J56" s="301"/>
      <c r="K56" s="11"/>
    </row>
    <row r="57" spans="1:11" x14ac:dyDescent="0.3">
      <c r="A57" s="284" t="s">
        <v>35</v>
      </c>
      <c r="B57" s="285"/>
      <c r="C57" s="286">
        <v>1494</v>
      </c>
      <c r="D57" s="287"/>
      <c r="E57" s="286">
        <v>1496</v>
      </c>
      <c r="F57" s="287"/>
      <c r="G57" s="286">
        <v>1496</v>
      </c>
      <c r="H57" s="287"/>
      <c r="I57" s="286">
        <v>1491</v>
      </c>
      <c r="J57" s="287"/>
    </row>
    <row r="58" spans="1:11" x14ac:dyDescent="0.3">
      <c r="A58" s="120" t="s">
        <v>36</v>
      </c>
      <c r="B58" s="121"/>
      <c r="C58" s="103">
        <f>SUM(C50:D57)</f>
        <v>206412</v>
      </c>
      <c r="D58" s="104"/>
      <c r="E58" s="103">
        <f>SUM(E50:F57)</f>
        <v>206788</v>
      </c>
      <c r="F58" s="104"/>
      <c r="G58" s="122">
        <f>SUM(G50:H57)</f>
        <v>206524</v>
      </c>
      <c r="H58" s="123"/>
      <c r="I58" s="122">
        <f>SUM(I50:J57)</f>
        <v>206463</v>
      </c>
      <c r="J58" s="123"/>
    </row>
    <row r="60" spans="1:11" x14ac:dyDescent="0.3">
      <c r="A60" s="124" t="s">
        <v>37</v>
      </c>
      <c r="B60" s="125"/>
      <c r="C60" s="130" t="s">
        <v>170</v>
      </c>
      <c r="D60" s="131"/>
      <c r="E60" s="130" t="s">
        <v>183</v>
      </c>
      <c r="F60" s="131"/>
      <c r="G60" s="130" t="s">
        <v>197</v>
      </c>
      <c r="H60" s="131"/>
      <c r="I60" s="130" t="s">
        <v>207</v>
      </c>
      <c r="J60" s="131"/>
    </row>
    <row r="61" spans="1:11" x14ac:dyDescent="0.3">
      <c r="A61" s="126"/>
      <c r="B61" s="127"/>
      <c r="C61" s="288">
        <v>135616</v>
      </c>
      <c r="D61" s="289"/>
      <c r="E61" s="288">
        <v>135650</v>
      </c>
      <c r="F61" s="289"/>
      <c r="G61" s="288">
        <v>135694</v>
      </c>
      <c r="H61" s="289"/>
      <c r="I61" s="288">
        <v>135671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62</v>
      </c>
      <c r="D66" s="115"/>
      <c r="E66" s="114" t="s">
        <v>86</v>
      </c>
      <c r="F66" s="115"/>
      <c r="G66" s="114" t="s">
        <v>122</v>
      </c>
      <c r="H66" s="115"/>
      <c r="I66" s="114" t="s">
        <v>165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25946</v>
      </c>
      <c r="D69" s="287"/>
      <c r="E69" s="286">
        <v>26425</v>
      </c>
      <c r="F69" s="287"/>
      <c r="G69" s="286">
        <v>26734</v>
      </c>
      <c r="H69" s="287"/>
      <c r="I69" s="286">
        <v>26961</v>
      </c>
      <c r="J69" s="287"/>
    </row>
    <row r="70" spans="1:10" x14ac:dyDescent="0.3">
      <c r="A70" s="101" t="s">
        <v>13</v>
      </c>
      <c r="B70" s="102"/>
      <c r="C70" s="286">
        <v>6472</v>
      </c>
      <c r="D70" s="287"/>
      <c r="E70" s="286">
        <v>6548</v>
      </c>
      <c r="F70" s="287"/>
      <c r="G70" s="286">
        <v>6594</v>
      </c>
      <c r="H70" s="287"/>
      <c r="I70" s="286">
        <v>6631</v>
      </c>
      <c r="J70" s="287"/>
    </row>
    <row r="71" spans="1:10" x14ac:dyDescent="0.3">
      <c r="A71" s="107" t="s">
        <v>14</v>
      </c>
      <c r="B71" s="108"/>
      <c r="C71" s="286">
        <v>5395</v>
      </c>
      <c r="D71" s="287"/>
      <c r="E71" s="286">
        <v>5483</v>
      </c>
      <c r="F71" s="287"/>
      <c r="G71" s="286">
        <v>5540</v>
      </c>
      <c r="H71" s="287"/>
      <c r="I71" s="286">
        <v>5617</v>
      </c>
      <c r="J71" s="287"/>
    </row>
    <row r="72" spans="1:10" x14ac:dyDescent="0.3">
      <c r="A72" s="107" t="s">
        <v>41</v>
      </c>
      <c r="B72" s="108"/>
      <c r="C72" s="286">
        <v>1002</v>
      </c>
      <c r="D72" s="287"/>
      <c r="E72" s="286">
        <v>1038</v>
      </c>
      <c r="F72" s="287"/>
      <c r="G72" s="286">
        <v>1070</v>
      </c>
      <c r="H72" s="287"/>
      <c r="I72" s="286">
        <v>1120</v>
      </c>
      <c r="J72" s="287"/>
    </row>
    <row r="73" spans="1:10" x14ac:dyDescent="0.3">
      <c r="A73" s="101" t="s">
        <v>15</v>
      </c>
      <c r="B73" s="102"/>
      <c r="C73" s="286">
        <v>3746</v>
      </c>
      <c r="D73" s="287"/>
      <c r="E73" s="286">
        <v>4002</v>
      </c>
      <c r="F73" s="287"/>
      <c r="G73" s="286">
        <v>3930</v>
      </c>
      <c r="H73" s="287"/>
      <c r="I73" s="286">
        <v>4011</v>
      </c>
      <c r="J73" s="287"/>
    </row>
    <row r="74" spans="1:10" x14ac:dyDescent="0.3">
      <c r="A74" s="107" t="s">
        <v>16</v>
      </c>
      <c r="B74" s="108"/>
      <c r="C74" s="286">
        <v>4260</v>
      </c>
      <c r="D74" s="287"/>
      <c r="E74" s="286">
        <v>4380</v>
      </c>
      <c r="F74" s="287"/>
      <c r="G74" s="286">
        <v>4451</v>
      </c>
      <c r="H74" s="287"/>
      <c r="I74" s="286">
        <v>4483</v>
      </c>
      <c r="J74" s="287"/>
    </row>
    <row r="75" spans="1:10" x14ac:dyDescent="0.3">
      <c r="A75" s="101" t="s">
        <v>17</v>
      </c>
      <c r="B75" s="102"/>
      <c r="C75" s="286">
        <v>5630</v>
      </c>
      <c r="D75" s="287"/>
      <c r="E75" s="286">
        <v>5918</v>
      </c>
      <c r="F75" s="287"/>
      <c r="G75" s="286">
        <v>6110</v>
      </c>
      <c r="H75" s="287"/>
      <c r="I75" s="286">
        <v>6309</v>
      </c>
      <c r="J75" s="287"/>
    </row>
    <row r="76" spans="1:10" x14ac:dyDescent="0.3">
      <c r="A76" s="107" t="s">
        <v>18</v>
      </c>
      <c r="B76" s="108"/>
      <c r="C76" s="286">
        <v>1357</v>
      </c>
      <c r="D76" s="287"/>
      <c r="E76" s="286">
        <v>1369</v>
      </c>
      <c r="F76" s="287"/>
      <c r="G76" s="286">
        <v>1378</v>
      </c>
      <c r="H76" s="287"/>
      <c r="I76" s="286">
        <v>1389</v>
      </c>
      <c r="J76" s="287"/>
    </row>
    <row r="77" spans="1:10" x14ac:dyDescent="0.3">
      <c r="A77" s="101" t="s">
        <v>19</v>
      </c>
      <c r="B77" s="102"/>
      <c r="C77" s="286">
        <v>4531</v>
      </c>
      <c r="D77" s="287"/>
      <c r="E77" s="286">
        <v>4728</v>
      </c>
      <c r="F77" s="287"/>
      <c r="G77" s="286">
        <v>4835</v>
      </c>
      <c r="H77" s="287"/>
      <c r="I77" s="286">
        <v>4922</v>
      </c>
      <c r="J77" s="287"/>
    </row>
    <row r="78" spans="1:10" x14ac:dyDescent="0.3">
      <c r="A78" s="105" t="s">
        <v>42</v>
      </c>
      <c r="B78" s="106"/>
      <c r="C78" s="103">
        <f>SUM(C69:C77)</f>
        <v>58339</v>
      </c>
      <c r="D78" s="104"/>
      <c r="E78" s="103">
        <f>SUM(E69:E77)</f>
        <v>59891</v>
      </c>
      <c r="F78" s="104"/>
      <c r="G78" s="103">
        <f>SUM(G69:G77)</f>
        <v>60642</v>
      </c>
      <c r="H78" s="104"/>
      <c r="I78" s="103">
        <f>SUM(I69:I77)</f>
        <v>61443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78"/>
  <sheetViews>
    <sheetView workbookViewId="0">
      <selection activeCell="V23" sqref="V23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218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8346</v>
      </c>
      <c r="D5" s="299"/>
      <c r="E5" s="298">
        <v>3934</v>
      </c>
      <c r="F5" s="299"/>
      <c r="G5" s="298">
        <v>3216</v>
      </c>
      <c r="H5" s="299"/>
      <c r="I5" s="302">
        <v>6648</v>
      </c>
      <c r="J5" s="303"/>
      <c r="K5" s="302">
        <v>518</v>
      </c>
      <c r="L5" s="303"/>
      <c r="M5" s="12">
        <v>1350</v>
      </c>
      <c r="N5" s="10">
        <v>1674</v>
      </c>
      <c r="O5" s="12">
        <v>230</v>
      </c>
      <c r="P5" s="10">
        <v>1885</v>
      </c>
      <c r="Q5" s="10">
        <v>2655</v>
      </c>
    </row>
    <row r="6" spans="1:17" ht="13.5" customHeight="1" x14ac:dyDescent="0.3">
      <c r="A6" s="211" t="s">
        <v>11</v>
      </c>
      <c r="B6" s="212"/>
      <c r="C6" s="298">
        <v>1073</v>
      </c>
      <c r="D6" s="299"/>
      <c r="E6" s="298">
        <v>23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3</v>
      </c>
      <c r="N6" s="10">
        <v>2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308</v>
      </c>
      <c r="D7" s="240"/>
      <c r="E7" s="239">
        <v>7</v>
      </c>
      <c r="F7" s="240"/>
      <c r="G7" s="239">
        <v>7</v>
      </c>
      <c r="H7" s="240"/>
      <c r="I7" s="239">
        <v>390</v>
      </c>
      <c r="J7" s="240"/>
      <c r="K7" s="239">
        <v>180</v>
      </c>
      <c r="L7" s="240"/>
      <c r="M7" s="1">
        <v>726</v>
      </c>
      <c r="N7" s="1">
        <v>24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139</v>
      </c>
      <c r="D8" s="240"/>
      <c r="E8" s="239">
        <v>0</v>
      </c>
      <c r="F8" s="240"/>
      <c r="G8" s="239">
        <v>0</v>
      </c>
      <c r="H8" s="240"/>
      <c r="I8" s="239">
        <v>142</v>
      </c>
      <c r="J8" s="240"/>
      <c r="K8" s="239">
        <v>0</v>
      </c>
      <c r="L8" s="240"/>
      <c r="M8" s="1">
        <v>153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283</v>
      </c>
      <c r="D9" s="240"/>
      <c r="E9" s="239">
        <v>98</v>
      </c>
      <c r="F9" s="240"/>
      <c r="G9" s="239">
        <v>0</v>
      </c>
      <c r="H9" s="240"/>
      <c r="I9" s="239">
        <v>23</v>
      </c>
      <c r="J9" s="240"/>
      <c r="K9" s="239">
        <v>12</v>
      </c>
      <c r="L9" s="240"/>
      <c r="M9" s="1">
        <v>198</v>
      </c>
      <c r="N9" s="1">
        <v>7</v>
      </c>
      <c r="O9" s="1">
        <v>0</v>
      </c>
      <c r="P9" s="1">
        <v>0</v>
      </c>
      <c r="Q9" s="1">
        <v>0</v>
      </c>
    </row>
    <row r="10" spans="1:17" x14ac:dyDescent="0.3">
      <c r="A10" s="101" t="s">
        <v>15</v>
      </c>
      <c r="B10" s="102"/>
      <c r="C10" s="239">
        <v>233</v>
      </c>
      <c r="D10" s="240"/>
      <c r="E10" s="239">
        <v>0</v>
      </c>
      <c r="F10" s="240"/>
      <c r="G10" s="239">
        <v>0</v>
      </c>
      <c r="H10" s="240"/>
      <c r="I10" s="239">
        <v>185</v>
      </c>
      <c r="J10" s="240"/>
      <c r="K10" s="239">
        <v>34</v>
      </c>
      <c r="L10" s="240"/>
      <c r="M10" s="1">
        <v>233</v>
      </c>
      <c r="N10" s="1">
        <v>45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117</v>
      </c>
      <c r="D11" s="246"/>
      <c r="E11" s="239">
        <v>14</v>
      </c>
      <c r="F11" s="240"/>
      <c r="G11" s="239">
        <v>0</v>
      </c>
      <c r="H11" s="240"/>
      <c r="I11" s="239">
        <v>10</v>
      </c>
      <c r="J11" s="240"/>
      <c r="K11" s="239">
        <v>122</v>
      </c>
      <c r="L11" s="240"/>
      <c r="M11" s="1">
        <v>134</v>
      </c>
      <c r="N11" s="1">
        <v>163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90</v>
      </c>
      <c r="D12" s="246"/>
      <c r="E12" s="239">
        <v>0</v>
      </c>
      <c r="F12" s="240"/>
      <c r="G12" s="239">
        <v>0</v>
      </c>
      <c r="H12" s="240"/>
      <c r="I12" s="239">
        <v>165</v>
      </c>
      <c r="J12" s="240"/>
      <c r="K12" s="239">
        <v>0</v>
      </c>
      <c r="L12" s="240"/>
      <c r="M12" s="1">
        <v>310</v>
      </c>
      <c r="N12" s="1">
        <v>97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273</v>
      </c>
      <c r="D13" s="246"/>
      <c r="E13" s="239">
        <v>0</v>
      </c>
      <c r="F13" s="240"/>
      <c r="G13" s="239">
        <v>0</v>
      </c>
      <c r="H13" s="240"/>
      <c r="I13" s="239">
        <v>189</v>
      </c>
      <c r="J13" s="240"/>
      <c r="K13" s="239">
        <v>4</v>
      </c>
      <c r="L13" s="240"/>
      <c r="M13" s="1">
        <v>144</v>
      </c>
      <c r="N13" s="1">
        <v>55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156</v>
      </c>
      <c r="D14" s="248"/>
      <c r="E14" s="247">
        <v>0</v>
      </c>
      <c r="F14" s="248"/>
      <c r="G14" s="247">
        <v>0</v>
      </c>
      <c r="H14" s="248"/>
      <c r="I14" s="239">
        <v>104</v>
      </c>
      <c r="J14" s="240"/>
      <c r="K14" s="247">
        <v>81</v>
      </c>
      <c r="L14" s="248"/>
      <c r="M14" s="2">
        <v>191</v>
      </c>
      <c r="N14" s="2">
        <v>23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3298</v>
      </c>
      <c r="P15" s="2">
        <v>2777</v>
      </c>
      <c r="Q15" s="2">
        <v>2569</v>
      </c>
    </row>
    <row r="16" spans="1:17" ht="15" thickBot="1" x14ac:dyDescent="0.35">
      <c r="A16" s="199" t="s">
        <v>20</v>
      </c>
      <c r="B16" s="200"/>
      <c r="C16" s="201">
        <f>SUM(C5:D15)</f>
        <v>11018</v>
      </c>
      <c r="D16" s="202"/>
      <c r="E16" s="201">
        <f>SUM(E5:F15)</f>
        <v>4076</v>
      </c>
      <c r="F16" s="202"/>
      <c r="G16" s="201">
        <f>SUM(G5:H15)</f>
        <v>3223</v>
      </c>
      <c r="H16" s="202"/>
      <c r="I16" s="201">
        <f>SUM(I5:J15)</f>
        <v>7856</v>
      </c>
      <c r="J16" s="202"/>
      <c r="K16" s="201">
        <f>SUM(K5:L15)</f>
        <v>951</v>
      </c>
      <c r="L16" s="202"/>
      <c r="M16" s="3">
        <f>SUM(M5:M15)</f>
        <v>3442</v>
      </c>
      <c r="N16" s="4">
        <f>SUM(N5:N15)</f>
        <v>2105</v>
      </c>
      <c r="O16" s="4">
        <f>SUM(O5:O15)</f>
        <v>3611</v>
      </c>
      <c r="P16" s="4">
        <f>SUM(P5:P15)</f>
        <v>4707</v>
      </c>
      <c r="Q16" s="5">
        <f>SUM(Q5:Q15)</f>
        <v>5246</v>
      </c>
    </row>
    <row r="17" spans="1:17" x14ac:dyDescent="0.3">
      <c r="A17" s="190" t="s">
        <v>21</v>
      </c>
      <c r="B17" s="191"/>
      <c r="C17" s="251">
        <v>8346</v>
      </c>
      <c r="D17" s="252"/>
      <c r="E17" s="253">
        <v>3934</v>
      </c>
      <c r="F17" s="254"/>
      <c r="G17" s="255">
        <v>3216</v>
      </c>
      <c r="H17" s="256"/>
      <c r="I17" s="255">
        <v>6648</v>
      </c>
      <c r="J17" s="256"/>
      <c r="K17" s="253">
        <v>518</v>
      </c>
      <c r="L17" s="254"/>
      <c r="M17" s="9">
        <v>1350</v>
      </c>
      <c r="N17" s="9">
        <v>1674</v>
      </c>
      <c r="O17" s="9">
        <v>230</v>
      </c>
      <c r="P17" s="9">
        <v>1885</v>
      </c>
      <c r="Q17" s="9">
        <v>2475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218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253</v>
      </c>
      <c r="D25" s="259"/>
      <c r="E25" s="260" t="s">
        <v>118</v>
      </c>
      <c r="F25" s="261"/>
      <c r="G25" s="258">
        <v>0</v>
      </c>
      <c r="H25" s="259"/>
      <c r="I25" s="258">
        <v>197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14</v>
      </c>
      <c r="D26" s="259"/>
      <c r="E26" s="260" t="s">
        <v>25</v>
      </c>
      <c r="F26" s="261"/>
      <c r="G26" s="258">
        <v>0</v>
      </c>
      <c r="H26" s="259"/>
      <c r="I26" s="258">
        <v>53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175</v>
      </c>
      <c r="D27" s="259"/>
      <c r="E27" s="260" t="s">
        <v>46</v>
      </c>
      <c r="F27" s="261"/>
      <c r="G27" s="258">
        <v>1</v>
      </c>
      <c r="H27" s="259"/>
      <c r="I27" s="258">
        <v>38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223</v>
      </c>
      <c r="F28" s="261"/>
      <c r="G28" s="258">
        <v>0</v>
      </c>
      <c r="H28" s="259"/>
      <c r="I28" s="258">
        <v>10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208</v>
      </c>
      <c r="D29" s="271"/>
      <c r="E29" s="260" t="s">
        <v>186</v>
      </c>
      <c r="F29" s="261"/>
      <c r="G29" s="258">
        <v>0</v>
      </c>
      <c r="H29" s="259"/>
      <c r="I29" s="258">
        <v>33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12</v>
      </c>
      <c r="D30" s="271"/>
      <c r="E30" s="258" t="s">
        <v>166</v>
      </c>
      <c r="F30" s="259"/>
      <c r="G30" s="258">
        <v>0</v>
      </c>
      <c r="H30" s="259"/>
      <c r="I30" s="258">
        <v>6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6</v>
      </c>
      <c r="D31" s="271"/>
      <c r="E31" s="260" t="s">
        <v>25</v>
      </c>
      <c r="F31" s="261"/>
      <c r="G31" s="258">
        <v>0</v>
      </c>
      <c r="H31" s="259"/>
      <c r="I31" s="258">
        <v>6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12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218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134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219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221</v>
      </c>
      <c r="D40" s="259"/>
      <c r="E40" s="276" t="s">
        <v>105</v>
      </c>
      <c r="F40" s="277"/>
      <c r="G40" s="258">
        <v>6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224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205</v>
      </c>
      <c r="D42" s="271"/>
      <c r="E42" s="276" t="s">
        <v>206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220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281" t="s">
        <v>183</v>
      </c>
      <c r="D49" s="282"/>
      <c r="E49" s="281" t="s">
        <v>197</v>
      </c>
      <c r="F49" s="282"/>
      <c r="G49" s="145" t="s">
        <v>207</v>
      </c>
      <c r="H49" s="146"/>
      <c r="I49" s="145" t="s">
        <v>218</v>
      </c>
      <c r="J49" s="146"/>
    </row>
    <row r="50" spans="1:11" x14ac:dyDescent="0.3">
      <c r="A50" s="284" t="s">
        <v>30</v>
      </c>
      <c r="B50" s="285"/>
      <c r="C50" s="286">
        <v>14255</v>
      </c>
      <c r="D50" s="287"/>
      <c r="E50" s="300">
        <v>14210</v>
      </c>
      <c r="F50" s="301"/>
      <c r="G50" s="300">
        <v>14153</v>
      </c>
      <c r="H50" s="301"/>
      <c r="I50" s="300">
        <v>14118</v>
      </c>
      <c r="J50" s="301"/>
    </row>
    <row r="51" spans="1:11" x14ac:dyDescent="0.3">
      <c r="A51" s="284" t="s">
        <v>31</v>
      </c>
      <c r="B51" s="285"/>
      <c r="C51" s="286">
        <v>8411</v>
      </c>
      <c r="D51" s="287"/>
      <c r="E51" s="286">
        <v>8413</v>
      </c>
      <c r="F51" s="287"/>
      <c r="G51" s="286">
        <v>8404</v>
      </c>
      <c r="H51" s="287"/>
      <c r="I51" s="286">
        <v>8390</v>
      </c>
      <c r="J51" s="287"/>
    </row>
    <row r="52" spans="1:11" x14ac:dyDescent="0.3">
      <c r="A52" s="284" t="s">
        <v>32</v>
      </c>
      <c r="B52" s="285"/>
      <c r="C52" s="286">
        <v>115981</v>
      </c>
      <c r="D52" s="287"/>
      <c r="E52" s="300">
        <v>115921</v>
      </c>
      <c r="F52" s="301"/>
      <c r="G52" s="300">
        <v>115761</v>
      </c>
      <c r="H52" s="301"/>
      <c r="I52" s="300">
        <v>115632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240</v>
      </c>
      <c r="J53" s="287"/>
    </row>
    <row r="54" spans="1:11" x14ac:dyDescent="0.3">
      <c r="A54" s="284" t="s">
        <v>34</v>
      </c>
      <c r="B54" s="285"/>
      <c r="C54" s="286">
        <v>52075</v>
      </c>
      <c r="D54" s="287"/>
      <c r="E54" s="300">
        <v>52044</v>
      </c>
      <c r="F54" s="301"/>
      <c r="G54" s="300">
        <v>51969</v>
      </c>
      <c r="H54" s="301"/>
      <c r="I54" s="300">
        <v>51867</v>
      </c>
      <c r="J54" s="301"/>
    </row>
    <row r="55" spans="1:11" x14ac:dyDescent="0.3">
      <c r="A55" s="284" t="s">
        <v>53</v>
      </c>
      <c r="B55" s="285"/>
      <c r="C55" s="286">
        <v>3485</v>
      </c>
      <c r="D55" s="287"/>
      <c r="E55" s="286">
        <v>3542</v>
      </c>
      <c r="F55" s="287"/>
      <c r="G55" s="286">
        <v>3618</v>
      </c>
      <c r="H55" s="287"/>
      <c r="I55" s="286">
        <v>3734</v>
      </c>
      <c r="J55" s="287"/>
    </row>
    <row r="56" spans="1:11" x14ac:dyDescent="0.3">
      <c r="A56" s="284" t="s">
        <v>49</v>
      </c>
      <c r="B56" s="285"/>
      <c r="C56" s="286">
        <v>10845</v>
      </c>
      <c r="D56" s="287"/>
      <c r="E56" s="300">
        <v>10658</v>
      </c>
      <c r="F56" s="301"/>
      <c r="G56" s="300">
        <v>10827</v>
      </c>
      <c r="H56" s="301"/>
      <c r="I56" s="300">
        <v>11036</v>
      </c>
      <c r="J56" s="301"/>
      <c r="K56" s="11"/>
    </row>
    <row r="57" spans="1:11" x14ac:dyDescent="0.3">
      <c r="A57" s="284" t="s">
        <v>35</v>
      </c>
      <c r="B57" s="285"/>
      <c r="C57" s="286">
        <v>1496</v>
      </c>
      <c r="D57" s="287"/>
      <c r="E57" s="286">
        <v>1496</v>
      </c>
      <c r="F57" s="287"/>
      <c r="G57" s="286">
        <v>1491</v>
      </c>
      <c r="H57" s="287"/>
      <c r="I57" s="286">
        <v>1506</v>
      </c>
      <c r="J57" s="287"/>
    </row>
    <row r="58" spans="1:11" x14ac:dyDescent="0.3">
      <c r="A58" s="120" t="s">
        <v>36</v>
      </c>
      <c r="B58" s="121"/>
      <c r="C58" s="103">
        <f>SUM(C50:D57)</f>
        <v>206788</v>
      </c>
      <c r="D58" s="104"/>
      <c r="E58" s="103">
        <f>SUM(E50:F57)</f>
        <v>206524</v>
      </c>
      <c r="F58" s="104"/>
      <c r="G58" s="122">
        <f>SUM(G50:H57)</f>
        <v>206463</v>
      </c>
      <c r="H58" s="123"/>
      <c r="I58" s="122">
        <f>SUM(I50:J57)</f>
        <v>206523</v>
      </c>
      <c r="J58" s="123"/>
    </row>
    <row r="60" spans="1:11" x14ac:dyDescent="0.3">
      <c r="A60" s="124" t="s">
        <v>37</v>
      </c>
      <c r="B60" s="125"/>
      <c r="C60" s="130" t="s">
        <v>183</v>
      </c>
      <c r="D60" s="131"/>
      <c r="E60" s="130" t="s">
        <v>197</v>
      </c>
      <c r="F60" s="131"/>
      <c r="G60" s="130" t="s">
        <v>207</v>
      </c>
      <c r="H60" s="131"/>
      <c r="I60" s="130" t="s">
        <v>218</v>
      </c>
      <c r="J60" s="131"/>
    </row>
    <row r="61" spans="1:11" x14ac:dyDescent="0.3">
      <c r="A61" s="126"/>
      <c r="B61" s="127"/>
      <c r="C61" s="288">
        <v>135650</v>
      </c>
      <c r="D61" s="289"/>
      <c r="E61" s="288">
        <v>135694</v>
      </c>
      <c r="F61" s="289"/>
      <c r="G61" s="288">
        <v>135671</v>
      </c>
      <c r="H61" s="289"/>
      <c r="I61" s="288">
        <v>135676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86</v>
      </c>
      <c r="D66" s="115"/>
      <c r="E66" s="114" t="s">
        <v>122</v>
      </c>
      <c r="F66" s="115"/>
      <c r="G66" s="114" t="s">
        <v>165</v>
      </c>
      <c r="H66" s="115"/>
      <c r="I66" s="114" t="s">
        <v>207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26425</v>
      </c>
      <c r="D69" s="287"/>
      <c r="E69" s="286">
        <v>26734</v>
      </c>
      <c r="F69" s="287"/>
      <c r="G69" s="286">
        <v>26961</v>
      </c>
      <c r="H69" s="287"/>
      <c r="I69" s="286">
        <v>27298</v>
      </c>
      <c r="J69" s="287"/>
    </row>
    <row r="70" spans="1:10" x14ac:dyDescent="0.3">
      <c r="A70" s="101" t="s">
        <v>13</v>
      </c>
      <c r="B70" s="102"/>
      <c r="C70" s="286">
        <v>6548</v>
      </c>
      <c r="D70" s="287"/>
      <c r="E70" s="286">
        <v>6594</v>
      </c>
      <c r="F70" s="287"/>
      <c r="G70" s="286">
        <v>6631</v>
      </c>
      <c r="H70" s="287"/>
      <c r="I70" s="286">
        <v>6661</v>
      </c>
      <c r="J70" s="287"/>
    </row>
    <row r="71" spans="1:10" x14ac:dyDescent="0.3">
      <c r="A71" s="107" t="s">
        <v>14</v>
      </c>
      <c r="B71" s="108"/>
      <c r="C71" s="286">
        <v>5483</v>
      </c>
      <c r="D71" s="287"/>
      <c r="E71" s="286">
        <v>5540</v>
      </c>
      <c r="F71" s="287"/>
      <c r="G71" s="286">
        <v>5617</v>
      </c>
      <c r="H71" s="287"/>
      <c r="I71" s="286">
        <v>5694</v>
      </c>
      <c r="J71" s="287"/>
    </row>
    <row r="72" spans="1:10" x14ac:dyDescent="0.3">
      <c r="A72" s="107" t="s">
        <v>41</v>
      </c>
      <c r="B72" s="108"/>
      <c r="C72" s="286">
        <v>1038</v>
      </c>
      <c r="D72" s="287"/>
      <c r="E72" s="286">
        <v>1070</v>
      </c>
      <c r="F72" s="287"/>
      <c r="G72" s="286">
        <v>1120</v>
      </c>
      <c r="H72" s="287"/>
      <c r="I72" s="286">
        <v>1201</v>
      </c>
      <c r="J72" s="287"/>
    </row>
    <row r="73" spans="1:10" x14ac:dyDescent="0.3">
      <c r="A73" s="101" t="s">
        <v>15</v>
      </c>
      <c r="B73" s="102"/>
      <c r="C73" s="286">
        <v>4002</v>
      </c>
      <c r="D73" s="287"/>
      <c r="E73" s="286">
        <v>3930</v>
      </c>
      <c r="F73" s="287"/>
      <c r="G73" s="286">
        <v>4011</v>
      </c>
      <c r="H73" s="287"/>
      <c r="I73" s="286">
        <v>4090</v>
      </c>
      <c r="J73" s="287"/>
    </row>
    <row r="74" spans="1:10" x14ac:dyDescent="0.3">
      <c r="A74" s="107" t="s">
        <v>16</v>
      </c>
      <c r="B74" s="108"/>
      <c r="C74" s="286">
        <v>4380</v>
      </c>
      <c r="D74" s="287"/>
      <c r="E74" s="286">
        <v>4451</v>
      </c>
      <c r="F74" s="287"/>
      <c r="G74" s="286">
        <v>4483</v>
      </c>
      <c r="H74" s="287"/>
      <c r="I74" s="286">
        <v>4551</v>
      </c>
      <c r="J74" s="287"/>
    </row>
    <row r="75" spans="1:10" x14ac:dyDescent="0.3">
      <c r="A75" s="101" t="s">
        <v>17</v>
      </c>
      <c r="B75" s="102"/>
      <c r="C75" s="286">
        <v>5918</v>
      </c>
      <c r="D75" s="287"/>
      <c r="E75" s="286">
        <v>6110</v>
      </c>
      <c r="F75" s="287"/>
      <c r="G75" s="286">
        <v>6309</v>
      </c>
      <c r="H75" s="287"/>
      <c r="I75" s="286">
        <v>6464</v>
      </c>
      <c r="J75" s="287"/>
    </row>
    <row r="76" spans="1:10" x14ac:dyDescent="0.3">
      <c r="A76" s="107" t="s">
        <v>18</v>
      </c>
      <c r="B76" s="108"/>
      <c r="C76" s="286">
        <v>1369</v>
      </c>
      <c r="D76" s="287"/>
      <c r="E76" s="286">
        <v>1378</v>
      </c>
      <c r="F76" s="287"/>
      <c r="G76" s="286">
        <v>1389</v>
      </c>
      <c r="H76" s="287"/>
      <c r="I76" s="286">
        <v>1390</v>
      </c>
      <c r="J76" s="287"/>
    </row>
    <row r="77" spans="1:10" x14ac:dyDescent="0.3">
      <c r="A77" s="101" t="s">
        <v>19</v>
      </c>
      <c r="B77" s="102"/>
      <c r="C77" s="286">
        <v>4728</v>
      </c>
      <c r="D77" s="287"/>
      <c r="E77" s="286">
        <v>4835</v>
      </c>
      <c r="F77" s="287"/>
      <c r="G77" s="286">
        <v>4922</v>
      </c>
      <c r="H77" s="287"/>
      <c r="I77" s="286">
        <v>5008</v>
      </c>
      <c r="J77" s="287"/>
    </row>
    <row r="78" spans="1:10" x14ac:dyDescent="0.3">
      <c r="A78" s="105" t="s">
        <v>42</v>
      </c>
      <c r="B78" s="106"/>
      <c r="C78" s="103">
        <f>SUM(C69:C77)</f>
        <v>59891</v>
      </c>
      <c r="D78" s="104"/>
      <c r="E78" s="103">
        <f>SUM(E69:E77)</f>
        <v>60642</v>
      </c>
      <c r="F78" s="104"/>
      <c r="G78" s="103">
        <f>SUM(G69:G77)</f>
        <v>61443</v>
      </c>
      <c r="H78" s="104"/>
      <c r="I78" s="103">
        <f>SUM(I69:I77)</f>
        <v>62357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225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7269</v>
      </c>
      <c r="D5" s="299"/>
      <c r="E5" s="298">
        <v>3634</v>
      </c>
      <c r="F5" s="299"/>
      <c r="G5" s="298">
        <v>3156</v>
      </c>
      <c r="H5" s="299"/>
      <c r="I5" s="302">
        <v>6048</v>
      </c>
      <c r="J5" s="303"/>
      <c r="K5" s="302">
        <v>278</v>
      </c>
      <c r="L5" s="303"/>
      <c r="M5" s="12">
        <v>890</v>
      </c>
      <c r="N5" s="10">
        <v>1624</v>
      </c>
      <c r="O5" s="12">
        <v>0</v>
      </c>
      <c r="P5" s="10">
        <v>1355</v>
      </c>
      <c r="Q5" s="10">
        <v>1905</v>
      </c>
    </row>
    <row r="6" spans="1:17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439</v>
      </c>
      <c r="D7" s="240"/>
      <c r="E7" s="239">
        <v>11</v>
      </c>
      <c r="F7" s="240"/>
      <c r="G7" s="239">
        <v>7</v>
      </c>
      <c r="H7" s="240"/>
      <c r="I7" s="239">
        <v>625</v>
      </c>
      <c r="J7" s="240"/>
      <c r="K7" s="239">
        <v>215</v>
      </c>
      <c r="L7" s="240"/>
      <c r="M7" s="1">
        <v>754</v>
      </c>
      <c r="N7" s="1">
        <v>24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111</v>
      </c>
      <c r="D8" s="240"/>
      <c r="E8" s="239">
        <v>0</v>
      </c>
      <c r="F8" s="240"/>
      <c r="G8" s="239">
        <v>0</v>
      </c>
      <c r="H8" s="240"/>
      <c r="I8" s="239">
        <v>72</v>
      </c>
      <c r="J8" s="240"/>
      <c r="K8" s="239">
        <v>0</v>
      </c>
      <c r="L8" s="240"/>
      <c r="M8" s="1">
        <v>113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213</v>
      </c>
      <c r="D9" s="240"/>
      <c r="E9" s="239">
        <v>73</v>
      </c>
      <c r="F9" s="240"/>
      <c r="G9" s="239">
        <v>0</v>
      </c>
      <c r="H9" s="240"/>
      <c r="I9" s="239">
        <v>7</v>
      </c>
      <c r="J9" s="240"/>
      <c r="K9" s="239">
        <v>11</v>
      </c>
      <c r="L9" s="240"/>
      <c r="M9" s="1">
        <v>156</v>
      </c>
      <c r="N9" s="1">
        <v>7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294</v>
      </c>
      <c r="D10" s="240"/>
      <c r="E10" s="239">
        <v>60</v>
      </c>
      <c r="F10" s="240"/>
      <c r="G10" s="239">
        <v>60</v>
      </c>
      <c r="H10" s="240"/>
      <c r="I10" s="239">
        <v>140</v>
      </c>
      <c r="J10" s="240"/>
      <c r="K10" s="239">
        <v>32</v>
      </c>
      <c r="L10" s="240"/>
      <c r="M10" s="1">
        <v>221</v>
      </c>
      <c r="N10" s="1">
        <v>85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282</v>
      </c>
      <c r="D11" s="246"/>
      <c r="E11" s="239">
        <v>14</v>
      </c>
      <c r="F11" s="240"/>
      <c r="G11" s="239">
        <v>0</v>
      </c>
      <c r="H11" s="240"/>
      <c r="I11" s="239">
        <v>110</v>
      </c>
      <c r="J11" s="240"/>
      <c r="K11" s="239">
        <v>222</v>
      </c>
      <c r="L11" s="240"/>
      <c r="M11" s="1">
        <v>134</v>
      </c>
      <c r="N11" s="1">
        <v>163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345</v>
      </c>
      <c r="D12" s="246"/>
      <c r="E12" s="239">
        <v>0</v>
      </c>
      <c r="F12" s="240"/>
      <c r="G12" s="239">
        <v>0</v>
      </c>
      <c r="H12" s="240"/>
      <c r="I12" s="239">
        <v>306</v>
      </c>
      <c r="J12" s="240"/>
      <c r="K12" s="239">
        <v>0</v>
      </c>
      <c r="L12" s="240"/>
      <c r="M12" s="1">
        <v>230</v>
      </c>
      <c r="N12" s="1">
        <v>95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197</v>
      </c>
      <c r="D13" s="246"/>
      <c r="E13" s="239">
        <v>0</v>
      </c>
      <c r="F13" s="240"/>
      <c r="G13" s="239">
        <v>0</v>
      </c>
      <c r="H13" s="240"/>
      <c r="I13" s="239">
        <v>182</v>
      </c>
      <c r="J13" s="240"/>
      <c r="K13" s="239">
        <v>2</v>
      </c>
      <c r="L13" s="240"/>
      <c r="M13" s="1">
        <v>126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350</v>
      </c>
      <c r="D14" s="248"/>
      <c r="E14" s="247">
        <v>120</v>
      </c>
      <c r="F14" s="248"/>
      <c r="G14" s="247">
        <v>0</v>
      </c>
      <c r="H14" s="248"/>
      <c r="I14" s="239">
        <v>125</v>
      </c>
      <c r="J14" s="240"/>
      <c r="K14" s="247">
        <v>4</v>
      </c>
      <c r="L14" s="248"/>
      <c r="M14" s="2">
        <v>210</v>
      </c>
      <c r="N14" s="2">
        <v>23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3216</v>
      </c>
      <c r="P15" s="2">
        <v>1285</v>
      </c>
      <c r="Q15" s="2">
        <v>3248</v>
      </c>
    </row>
    <row r="16" spans="1:17" ht="15" thickBot="1" x14ac:dyDescent="0.35">
      <c r="A16" s="199" t="s">
        <v>20</v>
      </c>
      <c r="B16" s="200"/>
      <c r="C16" s="201">
        <f>SUM(C5:D15)</f>
        <v>10459</v>
      </c>
      <c r="D16" s="202"/>
      <c r="E16" s="201">
        <f>SUM(E5:F15)</f>
        <v>3912</v>
      </c>
      <c r="F16" s="202"/>
      <c r="G16" s="201">
        <f>SUM(G5:H15)</f>
        <v>3223</v>
      </c>
      <c r="H16" s="202"/>
      <c r="I16" s="201">
        <f>SUM(I5:J15)</f>
        <v>7615</v>
      </c>
      <c r="J16" s="202"/>
      <c r="K16" s="201">
        <f>SUM(K5:L15)</f>
        <v>764</v>
      </c>
      <c r="L16" s="202"/>
      <c r="M16" s="3">
        <f>SUM(M5:M15)</f>
        <v>2834</v>
      </c>
      <c r="N16" s="4">
        <f>SUM(N5:N15)</f>
        <v>2090</v>
      </c>
      <c r="O16" s="4">
        <f>SUM(O5:O15)</f>
        <v>3299</v>
      </c>
      <c r="P16" s="4">
        <f>SUM(P5:P15)</f>
        <v>2697</v>
      </c>
      <c r="Q16" s="5">
        <f>SUM(Q5:Q15)</f>
        <v>5176</v>
      </c>
    </row>
    <row r="17" spans="1:17" x14ac:dyDescent="0.3">
      <c r="A17" s="190" t="s">
        <v>21</v>
      </c>
      <c r="B17" s="191"/>
      <c r="C17" s="251">
        <v>6996</v>
      </c>
      <c r="D17" s="252"/>
      <c r="E17" s="253">
        <v>3634</v>
      </c>
      <c r="F17" s="254"/>
      <c r="G17" s="255">
        <v>3156</v>
      </c>
      <c r="H17" s="256"/>
      <c r="I17" s="255">
        <v>5844</v>
      </c>
      <c r="J17" s="256"/>
      <c r="K17" s="253">
        <v>278</v>
      </c>
      <c r="L17" s="254"/>
      <c r="M17" s="9">
        <v>890</v>
      </c>
      <c r="N17" s="9">
        <v>1624</v>
      </c>
      <c r="O17" s="9">
        <v>0</v>
      </c>
      <c r="P17" s="9">
        <v>1355</v>
      </c>
      <c r="Q17" s="9">
        <v>1725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225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261</v>
      </c>
      <c r="D25" s="259"/>
      <c r="E25" s="260" t="s">
        <v>118</v>
      </c>
      <c r="F25" s="261"/>
      <c r="G25" s="258">
        <v>0</v>
      </c>
      <c r="H25" s="259"/>
      <c r="I25" s="258">
        <v>197</v>
      </c>
      <c r="J25" s="259"/>
      <c r="K25" s="8">
        <v>0</v>
      </c>
    </row>
    <row r="26" spans="1:17" x14ac:dyDescent="0.3">
      <c r="A26" s="101" t="s">
        <v>13</v>
      </c>
      <c r="B26" s="102"/>
      <c r="C26" s="258">
        <v>18</v>
      </c>
      <c r="D26" s="259"/>
      <c r="E26" s="260" t="s">
        <v>25</v>
      </c>
      <c r="F26" s="261"/>
      <c r="G26" s="258">
        <v>0</v>
      </c>
      <c r="H26" s="259"/>
      <c r="I26" s="258">
        <v>58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186</v>
      </c>
      <c r="D27" s="259"/>
      <c r="E27" s="260" t="s">
        <v>210</v>
      </c>
      <c r="F27" s="261"/>
      <c r="G27" s="258">
        <v>1</v>
      </c>
      <c r="H27" s="259"/>
      <c r="I27" s="258">
        <v>47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223</v>
      </c>
      <c r="F28" s="261"/>
      <c r="G28" s="258">
        <v>0</v>
      </c>
      <c r="H28" s="259"/>
      <c r="I28" s="258">
        <v>10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208</v>
      </c>
      <c r="D29" s="271"/>
      <c r="E29" s="260" t="s">
        <v>186</v>
      </c>
      <c r="F29" s="261"/>
      <c r="G29" s="258">
        <v>0</v>
      </c>
      <c r="H29" s="259"/>
      <c r="I29" s="258">
        <v>33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18</v>
      </c>
      <c r="D30" s="271"/>
      <c r="E30" s="258" t="s">
        <v>166</v>
      </c>
      <c r="F30" s="259"/>
      <c r="G30" s="258">
        <v>0</v>
      </c>
      <c r="H30" s="259"/>
      <c r="I30" s="258">
        <v>8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8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12</v>
      </c>
      <c r="D32" s="259"/>
      <c r="E32" s="260" t="s">
        <v>25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225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144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228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227</v>
      </c>
      <c r="D40" s="259"/>
      <c r="E40" s="276" t="s">
        <v>105</v>
      </c>
      <c r="F40" s="277"/>
      <c r="G40" s="258">
        <v>6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224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205</v>
      </c>
      <c r="D42" s="271"/>
      <c r="E42" s="276" t="s">
        <v>206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226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281" t="s">
        <v>197</v>
      </c>
      <c r="D49" s="282"/>
      <c r="E49" s="145" t="s">
        <v>207</v>
      </c>
      <c r="F49" s="146"/>
      <c r="G49" s="145" t="s">
        <v>218</v>
      </c>
      <c r="H49" s="146"/>
      <c r="I49" s="145" t="s">
        <v>225</v>
      </c>
      <c r="J49" s="146"/>
    </row>
    <row r="50" spans="1:11" x14ac:dyDescent="0.3">
      <c r="A50" s="284" t="s">
        <v>30</v>
      </c>
      <c r="B50" s="285"/>
      <c r="C50" s="300">
        <v>14210</v>
      </c>
      <c r="D50" s="301"/>
      <c r="E50" s="300">
        <v>14153</v>
      </c>
      <c r="F50" s="301"/>
      <c r="G50" s="300">
        <v>14118</v>
      </c>
      <c r="H50" s="301"/>
      <c r="I50" s="300">
        <v>14055</v>
      </c>
      <c r="J50" s="301"/>
    </row>
    <row r="51" spans="1:11" x14ac:dyDescent="0.3">
      <c r="A51" s="284" t="s">
        <v>31</v>
      </c>
      <c r="B51" s="285"/>
      <c r="C51" s="286">
        <v>8413</v>
      </c>
      <c r="D51" s="287"/>
      <c r="E51" s="286">
        <v>8404</v>
      </c>
      <c r="F51" s="287"/>
      <c r="G51" s="286">
        <v>8390</v>
      </c>
      <c r="H51" s="287"/>
      <c r="I51" s="286">
        <v>8385</v>
      </c>
      <c r="J51" s="287"/>
    </row>
    <row r="52" spans="1:11" x14ac:dyDescent="0.3">
      <c r="A52" s="284" t="s">
        <v>32</v>
      </c>
      <c r="B52" s="285"/>
      <c r="C52" s="300">
        <v>115921</v>
      </c>
      <c r="D52" s="301"/>
      <c r="E52" s="300">
        <v>115761</v>
      </c>
      <c r="F52" s="301"/>
      <c r="G52" s="300">
        <v>115632</v>
      </c>
      <c r="H52" s="301"/>
      <c r="I52" s="300">
        <v>115541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240</v>
      </c>
      <c r="H53" s="287"/>
      <c r="I53" s="286">
        <v>235</v>
      </c>
      <c r="J53" s="287"/>
    </row>
    <row r="54" spans="1:11" x14ac:dyDescent="0.3">
      <c r="A54" s="284" t="s">
        <v>34</v>
      </c>
      <c r="B54" s="285"/>
      <c r="C54" s="300">
        <v>52044</v>
      </c>
      <c r="D54" s="301"/>
      <c r="E54" s="300">
        <v>51969</v>
      </c>
      <c r="F54" s="301"/>
      <c r="G54" s="300">
        <v>51867</v>
      </c>
      <c r="H54" s="301"/>
      <c r="I54" s="300">
        <v>51805</v>
      </c>
      <c r="J54" s="301"/>
    </row>
    <row r="55" spans="1:11" x14ac:dyDescent="0.3">
      <c r="A55" s="284" t="s">
        <v>53</v>
      </c>
      <c r="B55" s="285"/>
      <c r="C55" s="286">
        <v>3542</v>
      </c>
      <c r="D55" s="287"/>
      <c r="E55" s="286">
        <v>3618</v>
      </c>
      <c r="F55" s="287"/>
      <c r="G55" s="286">
        <v>3734</v>
      </c>
      <c r="H55" s="287"/>
      <c r="I55" s="286">
        <v>3832</v>
      </c>
      <c r="J55" s="287"/>
    </row>
    <row r="56" spans="1:11" x14ac:dyDescent="0.3">
      <c r="A56" s="284" t="s">
        <v>49</v>
      </c>
      <c r="B56" s="285"/>
      <c r="C56" s="300">
        <v>10658</v>
      </c>
      <c r="D56" s="301"/>
      <c r="E56" s="300">
        <v>10827</v>
      </c>
      <c r="F56" s="301"/>
      <c r="G56" s="300">
        <v>11036</v>
      </c>
      <c r="H56" s="301"/>
      <c r="I56" s="300">
        <v>11396</v>
      </c>
      <c r="J56" s="301"/>
      <c r="K56" s="11"/>
    </row>
    <row r="57" spans="1:11" x14ac:dyDescent="0.3">
      <c r="A57" s="284" t="s">
        <v>35</v>
      </c>
      <c r="B57" s="285"/>
      <c r="C57" s="286">
        <v>1496</v>
      </c>
      <c r="D57" s="287"/>
      <c r="E57" s="286">
        <v>1491</v>
      </c>
      <c r="F57" s="287"/>
      <c r="G57" s="286">
        <v>1506</v>
      </c>
      <c r="H57" s="287"/>
      <c r="I57" s="286">
        <v>1542</v>
      </c>
      <c r="J57" s="287"/>
    </row>
    <row r="58" spans="1:11" x14ac:dyDescent="0.3">
      <c r="A58" s="120" t="s">
        <v>36</v>
      </c>
      <c r="B58" s="121"/>
      <c r="C58" s="103">
        <f>SUM(C50:D57)</f>
        <v>206524</v>
      </c>
      <c r="D58" s="104"/>
      <c r="E58" s="103">
        <f>SUM(E50:F57)</f>
        <v>206463</v>
      </c>
      <c r="F58" s="104"/>
      <c r="G58" s="122">
        <f>SUM(G50:H57)</f>
        <v>206523</v>
      </c>
      <c r="H58" s="123"/>
      <c r="I58" s="122">
        <f>SUM(I50:J57)</f>
        <v>206791</v>
      </c>
      <c r="J58" s="123"/>
    </row>
    <row r="60" spans="1:11" x14ac:dyDescent="0.3">
      <c r="A60" s="124" t="s">
        <v>37</v>
      </c>
      <c r="B60" s="125"/>
      <c r="C60" s="130" t="s">
        <v>197</v>
      </c>
      <c r="D60" s="131"/>
      <c r="E60" s="130" t="s">
        <v>207</v>
      </c>
      <c r="F60" s="131"/>
      <c r="G60" s="130" t="s">
        <v>218</v>
      </c>
      <c r="H60" s="131"/>
      <c r="I60" s="130" t="s">
        <v>225</v>
      </c>
      <c r="J60" s="131"/>
    </row>
    <row r="61" spans="1:11" x14ac:dyDescent="0.3">
      <c r="A61" s="126"/>
      <c r="B61" s="127"/>
      <c r="C61" s="288">
        <v>135694</v>
      </c>
      <c r="D61" s="289"/>
      <c r="E61" s="288">
        <v>135671</v>
      </c>
      <c r="F61" s="289"/>
      <c r="G61" s="288">
        <v>135676</v>
      </c>
      <c r="H61" s="289"/>
      <c r="I61" s="288">
        <v>136125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86</v>
      </c>
      <c r="D66" s="115"/>
      <c r="E66" s="114" t="s">
        <v>122</v>
      </c>
      <c r="F66" s="115"/>
      <c r="G66" s="114" t="s">
        <v>165</v>
      </c>
      <c r="H66" s="115"/>
      <c r="I66" s="114" t="s">
        <v>207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26425</v>
      </c>
      <c r="D69" s="287"/>
      <c r="E69" s="286">
        <v>26734</v>
      </c>
      <c r="F69" s="287"/>
      <c r="G69" s="286">
        <v>26961</v>
      </c>
      <c r="H69" s="287"/>
      <c r="I69" s="286">
        <v>27298</v>
      </c>
      <c r="J69" s="287"/>
    </row>
    <row r="70" spans="1:10" x14ac:dyDescent="0.3">
      <c r="A70" s="101" t="s">
        <v>13</v>
      </c>
      <c r="B70" s="102"/>
      <c r="C70" s="286">
        <v>6548</v>
      </c>
      <c r="D70" s="287"/>
      <c r="E70" s="286">
        <v>6594</v>
      </c>
      <c r="F70" s="287"/>
      <c r="G70" s="286">
        <v>6631</v>
      </c>
      <c r="H70" s="287"/>
      <c r="I70" s="286">
        <v>6661</v>
      </c>
      <c r="J70" s="287"/>
    </row>
    <row r="71" spans="1:10" x14ac:dyDescent="0.3">
      <c r="A71" s="107" t="s">
        <v>14</v>
      </c>
      <c r="B71" s="108"/>
      <c r="C71" s="286">
        <v>5483</v>
      </c>
      <c r="D71" s="287"/>
      <c r="E71" s="286">
        <v>5540</v>
      </c>
      <c r="F71" s="287"/>
      <c r="G71" s="286">
        <v>5617</v>
      </c>
      <c r="H71" s="287"/>
      <c r="I71" s="286">
        <v>5694</v>
      </c>
      <c r="J71" s="287"/>
    </row>
    <row r="72" spans="1:10" x14ac:dyDescent="0.3">
      <c r="A72" s="107" t="s">
        <v>41</v>
      </c>
      <c r="B72" s="108"/>
      <c r="C72" s="286">
        <v>1038</v>
      </c>
      <c r="D72" s="287"/>
      <c r="E72" s="286">
        <v>1070</v>
      </c>
      <c r="F72" s="287"/>
      <c r="G72" s="286">
        <v>1120</v>
      </c>
      <c r="H72" s="287"/>
      <c r="I72" s="286">
        <v>1201</v>
      </c>
      <c r="J72" s="287"/>
    </row>
    <row r="73" spans="1:10" x14ac:dyDescent="0.3">
      <c r="A73" s="101" t="s">
        <v>15</v>
      </c>
      <c r="B73" s="102"/>
      <c r="C73" s="286">
        <v>4002</v>
      </c>
      <c r="D73" s="287"/>
      <c r="E73" s="286">
        <v>3930</v>
      </c>
      <c r="F73" s="287"/>
      <c r="G73" s="286">
        <v>4011</v>
      </c>
      <c r="H73" s="287"/>
      <c r="I73" s="286">
        <v>4090</v>
      </c>
      <c r="J73" s="287"/>
    </row>
    <row r="74" spans="1:10" x14ac:dyDescent="0.3">
      <c r="A74" s="107" t="s">
        <v>16</v>
      </c>
      <c r="B74" s="108"/>
      <c r="C74" s="286">
        <v>4380</v>
      </c>
      <c r="D74" s="287"/>
      <c r="E74" s="286">
        <v>4451</v>
      </c>
      <c r="F74" s="287"/>
      <c r="G74" s="286">
        <v>4483</v>
      </c>
      <c r="H74" s="287"/>
      <c r="I74" s="286">
        <v>4551</v>
      </c>
      <c r="J74" s="287"/>
    </row>
    <row r="75" spans="1:10" x14ac:dyDescent="0.3">
      <c r="A75" s="101" t="s">
        <v>17</v>
      </c>
      <c r="B75" s="102"/>
      <c r="C75" s="286">
        <v>5918</v>
      </c>
      <c r="D75" s="287"/>
      <c r="E75" s="286">
        <v>6110</v>
      </c>
      <c r="F75" s="287"/>
      <c r="G75" s="286">
        <v>6309</v>
      </c>
      <c r="H75" s="287"/>
      <c r="I75" s="286">
        <v>6464</v>
      </c>
      <c r="J75" s="287"/>
    </row>
    <row r="76" spans="1:10" x14ac:dyDescent="0.3">
      <c r="A76" s="107" t="s">
        <v>18</v>
      </c>
      <c r="B76" s="108"/>
      <c r="C76" s="286">
        <v>1369</v>
      </c>
      <c r="D76" s="287"/>
      <c r="E76" s="286">
        <v>1378</v>
      </c>
      <c r="F76" s="287"/>
      <c r="G76" s="286">
        <v>1389</v>
      </c>
      <c r="H76" s="287"/>
      <c r="I76" s="286">
        <v>1390</v>
      </c>
      <c r="J76" s="287"/>
    </row>
    <row r="77" spans="1:10" x14ac:dyDescent="0.3">
      <c r="A77" s="101" t="s">
        <v>19</v>
      </c>
      <c r="B77" s="102"/>
      <c r="C77" s="286">
        <v>4728</v>
      </c>
      <c r="D77" s="287"/>
      <c r="E77" s="286">
        <v>4835</v>
      </c>
      <c r="F77" s="287"/>
      <c r="G77" s="286">
        <v>4922</v>
      </c>
      <c r="H77" s="287"/>
      <c r="I77" s="286">
        <v>5008</v>
      </c>
      <c r="J77" s="287"/>
    </row>
    <row r="78" spans="1:10" x14ac:dyDescent="0.3">
      <c r="A78" s="105" t="s">
        <v>42</v>
      </c>
      <c r="B78" s="106"/>
      <c r="C78" s="103">
        <f>SUM(C69:C77)</f>
        <v>59891</v>
      </c>
      <c r="D78" s="104"/>
      <c r="E78" s="103">
        <f>SUM(E69:E77)</f>
        <v>60642</v>
      </c>
      <c r="F78" s="104"/>
      <c r="G78" s="103">
        <f>SUM(G69:G77)</f>
        <v>61443</v>
      </c>
      <c r="H78" s="104"/>
      <c r="I78" s="103">
        <f>SUM(I69:I77)</f>
        <v>62357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78"/>
  <sheetViews>
    <sheetView workbookViewId="0">
      <selection activeCell="W15" sqref="W15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229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6696</v>
      </c>
      <c r="D5" s="299"/>
      <c r="E5" s="298">
        <v>3514</v>
      </c>
      <c r="F5" s="299"/>
      <c r="G5" s="298">
        <v>2988</v>
      </c>
      <c r="H5" s="299"/>
      <c r="I5" s="302">
        <v>5844</v>
      </c>
      <c r="J5" s="303"/>
      <c r="K5" s="302">
        <v>278</v>
      </c>
      <c r="L5" s="303"/>
      <c r="M5" s="12">
        <v>690</v>
      </c>
      <c r="N5" s="10">
        <v>1604</v>
      </c>
      <c r="O5" s="12">
        <v>0</v>
      </c>
      <c r="P5" s="10">
        <v>1355</v>
      </c>
      <c r="Q5" s="10">
        <v>1905</v>
      </c>
    </row>
    <row r="6" spans="1:17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304</v>
      </c>
      <c r="D7" s="240"/>
      <c r="E7" s="239">
        <v>7</v>
      </c>
      <c r="F7" s="240"/>
      <c r="G7" s="239">
        <v>4</v>
      </c>
      <c r="H7" s="240"/>
      <c r="I7" s="239">
        <v>527</v>
      </c>
      <c r="J7" s="240"/>
      <c r="K7" s="239">
        <v>198</v>
      </c>
      <c r="L7" s="240"/>
      <c r="M7" s="1">
        <v>614</v>
      </c>
      <c r="N7" s="1">
        <v>43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368</v>
      </c>
      <c r="D8" s="240"/>
      <c r="E8" s="239">
        <v>120</v>
      </c>
      <c r="F8" s="240"/>
      <c r="G8" s="239">
        <v>120</v>
      </c>
      <c r="H8" s="240"/>
      <c r="I8" s="239">
        <v>64</v>
      </c>
      <c r="J8" s="240"/>
      <c r="K8" s="239">
        <v>0</v>
      </c>
      <c r="L8" s="240"/>
      <c r="M8" s="1">
        <v>140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212</v>
      </c>
      <c r="D9" s="240"/>
      <c r="E9" s="239">
        <v>87</v>
      </c>
      <c r="F9" s="240"/>
      <c r="G9" s="239">
        <v>0</v>
      </c>
      <c r="H9" s="240"/>
      <c r="I9" s="239">
        <v>6</v>
      </c>
      <c r="J9" s="240"/>
      <c r="K9" s="239">
        <v>8</v>
      </c>
      <c r="L9" s="240"/>
      <c r="M9" s="1">
        <v>224</v>
      </c>
      <c r="N9" s="1">
        <v>7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240</v>
      </c>
      <c r="D10" s="240"/>
      <c r="E10" s="239">
        <v>60</v>
      </c>
      <c r="F10" s="240"/>
      <c r="G10" s="239">
        <v>60</v>
      </c>
      <c r="H10" s="240"/>
      <c r="I10" s="239">
        <v>127</v>
      </c>
      <c r="J10" s="240"/>
      <c r="K10" s="239">
        <v>14</v>
      </c>
      <c r="L10" s="240"/>
      <c r="M10" s="1">
        <v>210</v>
      </c>
      <c r="N10" s="1">
        <v>75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317</v>
      </c>
      <c r="D11" s="246"/>
      <c r="E11" s="239">
        <v>14</v>
      </c>
      <c r="F11" s="240"/>
      <c r="G11" s="239">
        <v>0</v>
      </c>
      <c r="H11" s="240"/>
      <c r="I11" s="239">
        <v>120</v>
      </c>
      <c r="J11" s="240"/>
      <c r="K11" s="239">
        <v>122</v>
      </c>
      <c r="L11" s="240"/>
      <c r="M11" s="1">
        <v>109</v>
      </c>
      <c r="N11" s="1">
        <v>141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320</v>
      </c>
      <c r="D12" s="246"/>
      <c r="E12" s="239">
        <v>0</v>
      </c>
      <c r="F12" s="240"/>
      <c r="G12" s="239">
        <v>0</v>
      </c>
      <c r="H12" s="240"/>
      <c r="I12" s="239">
        <v>260</v>
      </c>
      <c r="J12" s="240"/>
      <c r="K12" s="239">
        <v>0</v>
      </c>
      <c r="L12" s="240"/>
      <c r="M12" s="1">
        <v>198</v>
      </c>
      <c r="N12" s="1">
        <v>93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184</v>
      </c>
      <c r="D13" s="246"/>
      <c r="E13" s="239">
        <v>0</v>
      </c>
      <c r="F13" s="240"/>
      <c r="G13" s="239">
        <v>0</v>
      </c>
      <c r="H13" s="240"/>
      <c r="I13" s="239">
        <v>175</v>
      </c>
      <c r="J13" s="240"/>
      <c r="K13" s="239">
        <v>2</v>
      </c>
      <c r="L13" s="240"/>
      <c r="M13" s="1">
        <v>97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237</v>
      </c>
      <c r="D14" s="248"/>
      <c r="E14" s="247">
        <v>87</v>
      </c>
      <c r="F14" s="248"/>
      <c r="G14" s="247">
        <v>0</v>
      </c>
      <c r="H14" s="248"/>
      <c r="I14" s="239">
        <v>174</v>
      </c>
      <c r="J14" s="240"/>
      <c r="K14" s="247">
        <v>0</v>
      </c>
      <c r="L14" s="248"/>
      <c r="M14" s="2">
        <v>197</v>
      </c>
      <c r="N14" s="2">
        <v>23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2193</v>
      </c>
      <c r="P15" s="2">
        <v>980</v>
      </c>
      <c r="Q15" s="2">
        <v>2381</v>
      </c>
    </row>
    <row r="16" spans="1:17" ht="15" thickBot="1" x14ac:dyDescent="0.35">
      <c r="A16" s="199" t="s">
        <v>20</v>
      </c>
      <c r="B16" s="200"/>
      <c r="C16" s="201">
        <f>SUM(C5:D15)</f>
        <v>9837</v>
      </c>
      <c r="D16" s="202"/>
      <c r="E16" s="201">
        <f>SUM(E5:F15)</f>
        <v>3889</v>
      </c>
      <c r="F16" s="202"/>
      <c r="G16" s="201">
        <f>SUM(G5:H15)</f>
        <v>3172</v>
      </c>
      <c r="H16" s="202"/>
      <c r="I16" s="201">
        <f>SUM(I5:J15)</f>
        <v>7297</v>
      </c>
      <c r="J16" s="202"/>
      <c r="K16" s="201">
        <f>SUM(K5:L15)</f>
        <v>622</v>
      </c>
      <c r="L16" s="202"/>
      <c r="M16" s="3">
        <f>SUM(M5:M15)</f>
        <v>2479</v>
      </c>
      <c r="N16" s="4">
        <f>SUM(N5:N15)</f>
        <v>2055</v>
      </c>
      <c r="O16" s="4">
        <f>SUM(O5:O15)</f>
        <v>2276</v>
      </c>
      <c r="P16" s="4">
        <f>SUM(P5:P15)</f>
        <v>2392</v>
      </c>
      <c r="Q16" s="5">
        <f>SUM(Q5:Q15)</f>
        <v>4309</v>
      </c>
    </row>
    <row r="17" spans="1:17" x14ac:dyDescent="0.3">
      <c r="A17" s="190" t="s">
        <v>21</v>
      </c>
      <c r="B17" s="191"/>
      <c r="C17" s="251">
        <v>6696</v>
      </c>
      <c r="D17" s="252"/>
      <c r="E17" s="253">
        <v>3514</v>
      </c>
      <c r="F17" s="254"/>
      <c r="G17" s="255">
        <v>2988</v>
      </c>
      <c r="H17" s="256"/>
      <c r="I17" s="255">
        <v>5844</v>
      </c>
      <c r="J17" s="256"/>
      <c r="K17" s="253">
        <v>278</v>
      </c>
      <c r="L17" s="254"/>
      <c r="M17" s="9">
        <v>690</v>
      </c>
      <c r="N17" s="9">
        <v>1604</v>
      </c>
      <c r="O17" s="9">
        <v>0</v>
      </c>
      <c r="P17" s="9">
        <v>1355</v>
      </c>
      <c r="Q17" s="9">
        <v>1725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229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258</v>
      </c>
      <c r="D25" s="259"/>
      <c r="E25" s="260" t="s">
        <v>133</v>
      </c>
      <c r="F25" s="261"/>
      <c r="G25" s="258">
        <v>0</v>
      </c>
      <c r="H25" s="259"/>
      <c r="I25" s="258">
        <v>197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18</v>
      </c>
      <c r="D26" s="259"/>
      <c r="E26" s="260" t="s">
        <v>25</v>
      </c>
      <c r="F26" s="261"/>
      <c r="G26" s="258">
        <v>0</v>
      </c>
      <c r="H26" s="259"/>
      <c r="I26" s="258">
        <v>58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137</v>
      </c>
      <c r="D27" s="259"/>
      <c r="E27" s="260" t="s">
        <v>46</v>
      </c>
      <c r="F27" s="261"/>
      <c r="G27" s="258">
        <v>6</v>
      </c>
      <c r="H27" s="259"/>
      <c r="I27" s="258">
        <v>47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223</v>
      </c>
      <c r="F28" s="261"/>
      <c r="G28" s="258">
        <v>0</v>
      </c>
      <c r="H28" s="259"/>
      <c r="I28" s="258">
        <v>10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230</v>
      </c>
      <c r="D29" s="271"/>
      <c r="E29" s="260" t="s">
        <v>231</v>
      </c>
      <c r="F29" s="261"/>
      <c r="G29" s="258">
        <v>0</v>
      </c>
      <c r="H29" s="259"/>
      <c r="I29" s="258">
        <v>29</v>
      </c>
      <c r="J29" s="259"/>
      <c r="K29" s="8">
        <v>7</v>
      </c>
    </row>
    <row r="30" spans="1:17" x14ac:dyDescent="0.3">
      <c r="A30" s="101" t="s">
        <v>17</v>
      </c>
      <c r="B30" s="102"/>
      <c r="C30" s="272">
        <v>12</v>
      </c>
      <c r="D30" s="271"/>
      <c r="E30" s="258" t="s">
        <v>166</v>
      </c>
      <c r="F30" s="259"/>
      <c r="G30" s="258">
        <v>0</v>
      </c>
      <c r="H30" s="259"/>
      <c r="I30" s="258">
        <v>6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12</v>
      </c>
      <c r="D31" s="271"/>
      <c r="E31" s="260" t="s">
        <v>25</v>
      </c>
      <c r="F31" s="261"/>
      <c r="G31" s="258">
        <v>0</v>
      </c>
      <c r="H31" s="259"/>
      <c r="I31" s="258">
        <v>6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8</v>
      </c>
      <c r="D32" s="259"/>
      <c r="E32" s="260" t="s">
        <v>25</v>
      </c>
      <c r="F32" s="261"/>
      <c r="G32" s="258">
        <v>0</v>
      </c>
      <c r="H32" s="259"/>
      <c r="I32" s="258">
        <v>4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229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144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228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234</v>
      </c>
      <c r="D40" s="259"/>
      <c r="E40" s="276" t="s">
        <v>235</v>
      </c>
      <c r="F40" s="277"/>
      <c r="G40" s="258">
        <v>6</v>
      </c>
      <c r="H40" s="259"/>
      <c r="I40" s="258" t="s">
        <v>236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237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205</v>
      </c>
      <c r="D42" s="271"/>
      <c r="E42" s="276" t="s">
        <v>232</v>
      </c>
      <c r="F42" s="277"/>
      <c r="G42" s="258">
        <v>0</v>
      </c>
      <c r="H42" s="259"/>
      <c r="I42" s="258" t="s">
        <v>175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233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207</v>
      </c>
      <c r="D49" s="146"/>
      <c r="E49" s="145" t="s">
        <v>218</v>
      </c>
      <c r="F49" s="146"/>
      <c r="G49" s="145" t="s">
        <v>225</v>
      </c>
      <c r="H49" s="146"/>
      <c r="I49" s="145" t="s">
        <v>229</v>
      </c>
      <c r="J49" s="146"/>
    </row>
    <row r="50" spans="1:11" x14ac:dyDescent="0.3">
      <c r="A50" s="284" t="s">
        <v>30</v>
      </c>
      <c r="B50" s="285"/>
      <c r="C50" s="300">
        <v>14153</v>
      </c>
      <c r="D50" s="301"/>
      <c r="E50" s="300">
        <v>14118</v>
      </c>
      <c r="F50" s="301"/>
      <c r="G50" s="300">
        <v>14055</v>
      </c>
      <c r="H50" s="301"/>
      <c r="I50" s="300">
        <v>14001</v>
      </c>
      <c r="J50" s="301"/>
    </row>
    <row r="51" spans="1:11" x14ac:dyDescent="0.3">
      <c r="A51" s="284" t="s">
        <v>31</v>
      </c>
      <c r="B51" s="285"/>
      <c r="C51" s="286">
        <v>8404</v>
      </c>
      <c r="D51" s="287"/>
      <c r="E51" s="286">
        <v>8390</v>
      </c>
      <c r="F51" s="287"/>
      <c r="G51" s="286">
        <v>8385</v>
      </c>
      <c r="H51" s="287"/>
      <c r="I51" s="286">
        <v>8394</v>
      </c>
      <c r="J51" s="287"/>
    </row>
    <row r="52" spans="1:11" x14ac:dyDescent="0.3">
      <c r="A52" s="284" t="s">
        <v>32</v>
      </c>
      <c r="B52" s="285"/>
      <c r="C52" s="300">
        <v>115761</v>
      </c>
      <c r="D52" s="301"/>
      <c r="E52" s="300">
        <v>115632</v>
      </c>
      <c r="F52" s="301"/>
      <c r="G52" s="300">
        <v>115541</v>
      </c>
      <c r="H52" s="301"/>
      <c r="I52" s="300">
        <v>115457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240</v>
      </c>
      <c r="F53" s="287"/>
      <c r="G53" s="286">
        <v>235</v>
      </c>
      <c r="H53" s="287"/>
      <c r="I53" s="286">
        <v>235</v>
      </c>
      <c r="J53" s="287"/>
    </row>
    <row r="54" spans="1:11" x14ac:dyDescent="0.3">
      <c r="A54" s="284" t="s">
        <v>34</v>
      </c>
      <c r="B54" s="285"/>
      <c r="C54" s="300">
        <v>51969</v>
      </c>
      <c r="D54" s="301"/>
      <c r="E54" s="300">
        <v>51867</v>
      </c>
      <c r="F54" s="301"/>
      <c r="G54" s="300">
        <v>51805</v>
      </c>
      <c r="H54" s="301"/>
      <c r="I54" s="300">
        <v>51764</v>
      </c>
      <c r="J54" s="301"/>
    </row>
    <row r="55" spans="1:11" x14ac:dyDescent="0.3">
      <c r="A55" s="284" t="s">
        <v>53</v>
      </c>
      <c r="B55" s="285"/>
      <c r="C55" s="286">
        <v>3618</v>
      </c>
      <c r="D55" s="287"/>
      <c r="E55" s="286">
        <v>3734</v>
      </c>
      <c r="F55" s="287"/>
      <c r="G55" s="286">
        <v>3832</v>
      </c>
      <c r="H55" s="287"/>
      <c r="I55" s="286">
        <v>3914</v>
      </c>
      <c r="J55" s="287"/>
    </row>
    <row r="56" spans="1:11" x14ac:dyDescent="0.3">
      <c r="A56" s="284" t="s">
        <v>49</v>
      </c>
      <c r="B56" s="285"/>
      <c r="C56" s="300">
        <v>10827</v>
      </c>
      <c r="D56" s="301"/>
      <c r="E56" s="300">
        <v>11036</v>
      </c>
      <c r="F56" s="301"/>
      <c r="G56" s="300">
        <v>11396</v>
      </c>
      <c r="H56" s="301"/>
      <c r="I56" s="300">
        <v>11587</v>
      </c>
      <c r="J56" s="301"/>
      <c r="K56" s="11"/>
    </row>
    <row r="57" spans="1:11" x14ac:dyDescent="0.3">
      <c r="A57" s="284" t="s">
        <v>35</v>
      </c>
      <c r="B57" s="285"/>
      <c r="C57" s="286">
        <v>1491</v>
      </c>
      <c r="D57" s="287"/>
      <c r="E57" s="286">
        <v>1506</v>
      </c>
      <c r="F57" s="287"/>
      <c r="G57" s="286">
        <v>1542</v>
      </c>
      <c r="H57" s="287"/>
      <c r="I57" s="286">
        <v>1574</v>
      </c>
      <c r="J57" s="287"/>
    </row>
    <row r="58" spans="1:11" x14ac:dyDescent="0.3">
      <c r="A58" s="120" t="s">
        <v>36</v>
      </c>
      <c r="B58" s="121"/>
      <c r="C58" s="103">
        <f>SUM(C50:D57)</f>
        <v>206463</v>
      </c>
      <c r="D58" s="104"/>
      <c r="E58" s="103">
        <f>SUM(E50:F57)</f>
        <v>206523</v>
      </c>
      <c r="F58" s="104"/>
      <c r="G58" s="122">
        <f>SUM(G50:H57)</f>
        <v>206791</v>
      </c>
      <c r="H58" s="123"/>
      <c r="I58" s="122">
        <f>SUM(I50:J57)</f>
        <v>206926</v>
      </c>
      <c r="J58" s="123"/>
    </row>
    <row r="60" spans="1:11" x14ac:dyDescent="0.3">
      <c r="A60" s="124" t="s">
        <v>37</v>
      </c>
      <c r="B60" s="125"/>
      <c r="C60" s="130" t="s">
        <v>207</v>
      </c>
      <c r="D60" s="131"/>
      <c r="E60" s="130" t="s">
        <v>218</v>
      </c>
      <c r="F60" s="131"/>
      <c r="G60" s="130" t="s">
        <v>225</v>
      </c>
      <c r="H60" s="131"/>
      <c r="I60" s="130" t="s">
        <v>229</v>
      </c>
      <c r="J60" s="131"/>
    </row>
    <row r="61" spans="1:11" x14ac:dyDescent="0.3">
      <c r="A61" s="126"/>
      <c r="B61" s="127"/>
      <c r="C61" s="288">
        <v>135671</v>
      </c>
      <c r="D61" s="289"/>
      <c r="E61" s="288">
        <v>135676</v>
      </c>
      <c r="F61" s="289"/>
      <c r="G61" s="288">
        <v>136125</v>
      </c>
      <c r="H61" s="289"/>
      <c r="I61" s="288">
        <v>136311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86</v>
      </c>
      <c r="D66" s="115"/>
      <c r="E66" s="114" t="s">
        <v>122</v>
      </c>
      <c r="F66" s="115"/>
      <c r="G66" s="114" t="s">
        <v>165</v>
      </c>
      <c r="H66" s="115"/>
      <c r="I66" s="114" t="s">
        <v>207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26425</v>
      </c>
      <c r="D69" s="287"/>
      <c r="E69" s="286">
        <v>26734</v>
      </c>
      <c r="F69" s="287"/>
      <c r="G69" s="286">
        <v>26961</v>
      </c>
      <c r="H69" s="287"/>
      <c r="I69" s="286">
        <v>27298</v>
      </c>
      <c r="J69" s="287"/>
    </row>
    <row r="70" spans="1:10" x14ac:dyDescent="0.3">
      <c r="A70" s="101" t="s">
        <v>13</v>
      </c>
      <c r="B70" s="102"/>
      <c r="C70" s="286">
        <v>6548</v>
      </c>
      <c r="D70" s="287"/>
      <c r="E70" s="286">
        <v>6594</v>
      </c>
      <c r="F70" s="287"/>
      <c r="G70" s="286">
        <v>6631</v>
      </c>
      <c r="H70" s="287"/>
      <c r="I70" s="286">
        <v>6661</v>
      </c>
      <c r="J70" s="287"/>
    </row>
    <row r="71" spans="1:10" x14ac:dyDescent="0.3">
      <c r="A71" s="107" t="s">
        <v>14</v>
      </c>
      <c r="B71" s="108"/>
      <c r="C71" s="286">
        <v>5483</v>
      </c>
      <c r="D71" s="287"/>
      <c r="E71" s="286">
        <v>5540</v>
      </c>
      <c r="F71" s="287"/>
      <c r="G71" s="286">
        <v>5617</v>
      </c>
      <c r="H71" s="287"/>
      <c r="I71" s="286">
        <v>5694</v>
      </c>
      <c r="J71" s="287"/>
    </row>
    <row r="72" spans="1:10" x14ac:dyDescent="0.3">
      <c r="A72" s="107" t="s">
        <v>41</v>
      </c>
      <c r="B72" s="108"/>
      <c r="C72" s="286">
        <v>1038</v>
      </c>
      <c r="D72" s="287"/>
      <c r="E72" s="286">
        <v>1070</v>
      </c>
      <c r="F72" s="287"/>
      <c r="G72" s="286">
        <v>1120</v>
      </c>
      <c r="H72" s="287"/>
      <c r="I72" s="286">
        <v>1201</v>
      </c>
      <c r="J72" s="287"/>
    </row>
    <row r="73" spans="1:10" x14ac:dyDescent="0.3">
      <c r="A73" s="101" t="s">
        <v>15</v>
      </c>
      <c r="B73" s="102"/>
      <c r="C73" s="286">
        <v>4002</v>
      </c>
      <c r="D73" s="287"/>
      <c r="E73" s="286">
        <v>3930</v>
      </c>
      <c r="F73" s="287"/>
      <c r="G73" s="286">
        <v>4011</v>
      </c>
      <c r="H73" s="287"/>
      <c r="I73" s="286">
        <v>4090</v>
      </c>
      <c r="J73" s="287"/>
    </row>
    <row r="74" spans="1:10" x14ac:dyDescent="0.3">
      <c r="A74" s="107" t="s">
        <v>16</v>
      </c>
      <c r="B74" s="108"/>
      <c r="C74" s="286">
        <v>4380</v>
      </c>
      <c r="D74" s="287"/>
      <c r="E74" s="286">
        <v>4451</v>
      </c>
      <c r="F74" s="287"/>
      <c r="G74" s="286">
        <v>4483</v>
      </c>
      <c r="H74" s="287"/>
      <c r="I74" s="286">
        <v>4551</v>
      </c>
      <c r="J74" s="287"/>
    </row>
    <row r="75" spans="1:10" x14ac:dyDescent="0.3">
      <c r="A75" s="101" t="s">
        <v>17</v>
      </c>
      <c r="B75" s="102"/>
      <c r="C75" s="286">
        <v>5918</v>
      </c>
      <c r="D75" s="287"/>
      <c r="E75" s="286">
        <v>6110</v>
      </c>
      <c r="F75" s="287"/>
      <c r="G75" s="286">
        <v>6309</v>
      </c>
      <c r="H75" s="287"/>
      <c r="I75" s="286">
        <v>6464</v>
      </c>
      <c r="J75" s="287"/>
    </row>
    <row r="76" spans="1:10" x14ac:dyDescent="0.3">
      <c r="A76" s="107" t="s">
        <v>18</v>
      </c>
      <c r="B76" s="108"/>
      <c r="C76" s="286">
        <v>1369</v>
      </c>
      <c r="D76" s="287"/>
      <c r="E76" s="286">
        <v>1378</v>
      </c>
      <c r="F76" s="287"/>
      <c r="G76" s="286">
        <v>1389</v>
      </c>
      <c r="H76" s="287"/>
      <c r="I76" s="286">
        <v>1390</v>
      </c>
      <c r="J76" s="287"/>
    </row>
    <row r="77" spans="1:10" x14ac:dyDescent="0.3">
      <c r="A77" s="101" t="s">
        <v>19</v>
      </c>
      <c r="B77" s="102"/>
      <c r="C77" s="286">
        <v>4728</v>
      </c>
      <c r="D77" s="287"/>
      <c r="E77" s="286">
        <v>4835</v>
      </c>
      <c r="F77" s="287"/>
      <c r="G77" s="286">
        <v>4922</v>
      </c>
      <c r="H77" s="287"/>
      <c r="I77" s="286">
        <v>5008</v>
      </c>
      <c r="J77" s="287"/>
    </row>
    <row r="78" spans="1:10" x14ac:dyDescent="0.3">
      <c r="A78" s="105" t="s">
        <v>42</v>
      </c>
      <c r="B78" s="106"/>
      <c r="C78" s="103">
        <f>SUM(C69:C77)</f>
        <v>59891</v>
      </c>
      <c r="D78" s="104"/>
      <c r="E78" s="103">
        <f>SUM(E69:E77)</f>
        <v>60642</v>
      </c>
      <c r="F78" s="104"/>
      <c r="G78" s="103">
        <f>SUM(G69:G77)</f>
        <v>61443</v>
      </c>
      <c r="H78" s="104"/>
      <c r="I78" s="103">
        <f>SUM(I69:I77)</f>
        <v>62357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82"/>
  <sheetViews>
    <sheetView topLeftCell="A3" workbookViewId="0">
      <selection activeCell="U17" sqref="U17"/>
    </sheetView>
  </sheetViews>
  <sheetFormatPr defaultRowHeight="14.4" x14ac:dyDescent="0.3"/>
  <cols>
    <col min="2" max="2" width="16.88671875" customWidth="1"/>
  </cols>
  <sheetData>
    <row r="1" spans="1:19" ht="15" thickBo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3"/>
      <c r="O1" s="13"/>
      <c r="P1" s="13"/>
      <c r="Q1" s="13"/>
      <c r="R1" s="15"/>
      <c r="S1" s="16"/>
    </row>
    <row r="2" spans="1:19" ht="15.75" customHeight="1" x14ac:dyDescent="0.3">
      <c r="A2" s="345" t="s">
        <v>0</v>
      </c>
      <c r="B2" s="346"/>
      <c r="C2" s="349" t="s">
        <v>252</v>
      </c>
      <c r="D2" s="350"/>
      <c r="E2" s="353" t="s">
        <v>254</v>
      </c>
      <c r="F2" s="354"/>
      <c r="G2" s="353" t="s">
        <v>254</v>
      </c>
      <c r="H2" s="354"/>
      <c r="I2" s="353" t="s">
        <v>254</v>
      </c>
      <c r="J2" s="354"/>
      <c r="K2" s="353" t="s">
        <v>254</v>
      </c>
      <c r="L2" s="354"/>
      <c r="M2" s="17" t="s">
        <v>259</v>
      </c>
      <c r="N2" s="17" t="s">
        <v>259</v>
      </c>
      <c r="O2" s="340" t="s">
        <v>6</v>
      </c>
      <c r="P2" s="340" t="s">
        <v>7</v>
      </c>
      <c r="Q2" s="340" t="s">
        <v>8</v>
      </c>
      <c r="R2" s="15"/>
      <c r="S2" s="16"/>
    </row>
    <row r="3" spans="1:19" ht="29.4" thickBot="1" x14ac:dyDescent="0.35">
      <c r="A3" s="347"/>
      <c r="B3" s="348"/>
      <c r="C3" s="351" t="s">
        <v>253</v>
      </c>
      <c r="D3" s="352"/>
      <c r="E3" s="355" t="s">
        <v>255</v>
      </c>
      <c r="F3" s="356"/>
      <c r="G3" s="355" t="s">
        <v>256</v>
      </c>
      <c r="H3" s="356"/>
      <c r="I3" s="357" t="s">
        <v>257</v>
      </c>
      <c r="J3" s="358"/>
      <c r="K3" s="357" t="s">
        <v>258</v>
      </c>
      <c r="L3" s="358"/>
      <c r="M3" s="18" t="s">
        <v>260</v>
      </c>
      <c r="N3" s="18" t="s">
        <v>261</v>
      </c>
      <c r="O3" s="341"/>
      <c r="P3" s="341"/>
      <c r="Q3" s="341"/>
      <c r="R3" s="13"/>
      <c r="S3" s="16"/>
    </row>
    <row r="4" spans="1:19" ht="15" thickBot="1" x14ac:dyDescent="0.35">
      <c r="A4" s="331" t="s">
        <v>9</v>
      </c>
      <c r="B4" s="332"/>
      <c r="C4" s="342" t="s">
        <v>238</v>
      </c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4"/>
      <c r="R4" s="16"/>
      <c r="S4" s="16"/>
    </row>
    <row r="5" spans="1:19" ht="15" thickBot="1" x14ac:dyDescent="0.35">
      <c r="A5" s="359" t="s">
        <v>10</v>
      </c>
      <c r="B5" s="360"/>
      <c r="C5" s="361">
        <v>6296</v>
      </c>
      <c r="D5" s="362"/>
      <c r="E5" s="361">
        <v>3514</v>
      </c>
      <c r="F5" s="362"/>
      <c r="G5" s="361">
        <v>2988</v>
      </c>
      <c r="H5" s="362"/>
      <c r="I5" s="363">
        <v>5844</v>
      </c>
      <c r="J5" s="364"/>
      <c r="K5" s="363">
        <v>278</v>
      </c>
      <c r="L5" s="364"/>
      <c r="M5" s="19">
        <v>690</v>
      </c>
      <c r="N5" s="20">
        <v>1604</v>
      </c>
      <c r="O5" s="19">
        <v>4080</v>
      </c>
      <c r="P5" s="20">
        <v>2155</v>
      </c>
      <c r="Q5" s="20">
        <v>1905</v>
      </c>
      <c r="R5" s="16"/>
      <c r="S5" s="16"/>
    </row>
    <row r="6" spans="1:19" ht="30" customHeight="1" thickBot="1" x14ac:dyDescent="0.35">
      <c r="A6" s="359" t="s">
        <v>11</v>
      </c>
      <c r="B6" s="360"/>
      <c r="C6" s="361">
        <v>959</v>
      </c>
      <c r="D6" s="362"/>
      <c r="E6" s="361">
        <v>0</v>
      </c>
      <c r="F6" s="362"/>
      <c r="G6" s="361">
        <v>0</v>
      </c>
      <c r="H6" s="362"/>
      <c r="I6" s="361">
        <v>0</v>
      </c>
      <c r="J6" s="362"/>
      <c r="K6" s="361">
        <v>0</v>
      </c>
      <c r="L6" s="362"/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16"/>
      <c r="S6" s="16"/>
    </row>
    <row r="7" spans="1:19" ht="15" thickBot="1" x14ac:dyDescent="0.35">
      <c r="A7" s="304" t="s">
        <v>12</v>
      </c>
      <c r="B7" s="305"/>
      <c r="C7" s="306">
        <v>319</v>
      </c>
      <c r="D7" s="307"/>
      <c r="E7" s="306">
        <v>11</v>
      </c>
      <c r="F7" s="307"/>
      <c r="G7" s="306">
        <v>7</v>
      </c>
      <c r="H7" s="307"/>
      <c r="I7" s="306">
        <v>514</v>
      </c>
      <c r="J7" s="307"/>
      <c r="K7" s="306">
        <v>182</v>
      </c>
      <c r="L7" s="307"/>
      <c r="M7" s="21">
        <v>657</v>
      </c>
      <c r="N7" s="21">
        <v>40</v>
      </c>
      <c r="O7" s="21">
        <v>1</v>
      </c>
      <c r="P7" s="21">
        <v>15</v>
      </c>
      <c r="Q7" s="21">
        <v>15</v>
      </c>
      <c r="R7" s="16"/>
      <c r="S7" s="16"/>
    </row>
    <row r="8" spans="1:19" ht="15" thickBot="1" x14ac:dyDescent="0.35">
      <c r="A8" s="304" t="s">
        <v>13</v>
      </c>
      <c r="B8" s="305"/>
      <c r="C8" s="306">
        <v>323</v>
      </c>
      <c r="D8" s="307"/>
      <c r="E8" s="306">
        <v>120</v>
      </c>
      <c r="F8" s="307"/>
      <c r="G8" s="306">
        <v>120</v>
      </c>
      <c r="H8" s="307"/>
      <c r="I8" s="306">
        <v>27</v>
      </c>
      <c r="J8" s="307"/>
      <c r="K8" s="306">
        <v>0</v>
      </c>
      <c r="L8" s="307"/>
      <c r="M8" s="21">
        <v>17</v>
      </c>
      <c r="N8" s="21">
        <v>15</v>
      </c>
      <c r="O8" s="21">
        <v>0</v>
      </c>
      <c r="P8" s="21">
        <v>0</v>
      </c>
      <c r="Q8" s="21">
        <v>2</v>
      </c>
      <c r="R8" s="16"/>
      <c r="S8" s="16"/>
    </row>
    <row r="9" spans="1:19" ht="15" thickBot="1" x14ac:dyDescent="0.35">
      <c r="A9" s="304" t="s">
        <v>14</v>
      </c>
      <c r="B9" s="305"/>
      <c r="C9" s="306">
        <v>192</v>
      </c>
      <c r="D9" s="307"/>
      <c r="E9" s="306">
        <v>104</v>
      </c>
      <c r="F9" s="307"/>
      <c r="G9" s="306">
        <v>0</v>
      </c>
      <c r="H9" s="307"/>
      <c r="I9" s="306">
        <v>6</v>
      </c>
      <c r="J9" s="307"/>
      <c r="K9" s="306">
        <v>7</v>
      </c>
      <c r="L9" s="307"/>
      <c r="M9" s="21">
        <v>227</v>
      </c>
      <c r="N9" s="21">
        <v>7</v>
      </c>
      <c r="O9" s="21">
        <v>0</v>
      </c>
      <c r="P9" s="21">
        <v>12</v>
      </c>
      <c r="Q9" s="21">
        <v>1</v>
      </c>
      <c r="R9" s="16"/>
      <c r="S9" s="16"/>
    </row>
    <row r="10" spans="1:19" ht="15" thickBot="1" x14ac:dyDescent="0.35">
      <c r="A10" s="304" t="s">
        <v>15</v>
      </c>
      <c r="B10" s="305"/>
      <c r="C10" s="306">
        <v>213</v>
      </c>
      <c r="D10" s="307"/>
      <c r="E10" s="306">
        <v>60</v>
      </c>
      <c r="F10" s="307"/>
      <c r="G10" s="306">
        <v>60</v>
      </c>
      <c r="H10" s="307"/>
      <c r="I10" s="306">
        <v>94</v>
      </c>
      <c r="J10" s="307"/>
      <c r="K10" s="306">
        <v>10</v>
      </c>
      <c r="L10" s="307"/>
      <c r="M10" s="21">
        <v>200</v>
      </c>
      <c r="N10" s="21">
        <v>60</v>
      </c>
      <c r="O10" s="21">
        <v>0</v>
      </c>
      <c r="P10" s="21">
        <v>0</v>
      </c>
      <c r="Q10" s="21">
        <v>0</v>
      </c>
      <c r="R10" s="16"/>
      <c r="S10" s="16"/>
    </row>
    <row r="11" spans="1:19" ht="15" thickBot="1" x14ac:dyDescent="0.35">
      <c r="A11" s="304" t="s">
        <v>16</v>
      </c>
      <c r="B11" s="305"/>
      <c r="C11" s="365">
        <v>287</v>
      </c>
      <c r="D11" s="366"/>
      <c r="E11" s="306">
        <v>14</v>
      </c>
      <c r="F11" s="307"/>
      <c r="G11" s="306">
        <v>0</v>
      </c>
      <c r="H11" s="307"/>
      <c r="I11" s="306">
        <v>116</v>
      </c>
      <c r="J11" s="307"/>
      <c r="K11" s="306">
        <v>97</v>
      </c>
      <c r="L11" s="307"/>
      <c r="M11" s="21">
        <v>99</v>
      </c>
      <c r="N11" s="21">
        <v>132</v>
      </c>
      <c r="O11" s="21">
        <v>82</v>
      </c>
      <c r="P11" s="21">
        <v>14</v>
      </c>
      <c r="Q11" s="21">
        <v>0</v>
      </c>
      <c r="R11" s="16"/>
      <c r="S11" s="16"/>
    </row>
    <row r="12" spans="1:19" ht="15" thickBot="1" x14ac:dyDescent="0.35">
      <c r="A12" s="304" t="s">
        <v>17</v>
      </c>
      <c r="B12" s="305"/>
      <c r="C12" s="365">
        <v>295</v>
      </c>
      <c r="D12" s="366"/>
      <c r="E12" s="306">
        <v>0</v>
      </c>
      <c r="F12" s="307"/>
      <c r="G12" s="306">
        <v>0</v>
      </c>
      <c r="H12" s="307"/>
      <c r="I12" s="306">
        <v>214</v>
      </c>
      <c r="J12" s="307"/>
      <c r="K12" s="306">
        <v>0</v>
      </c>
      <c r="L12" s="307"/>
      <c r="M12" s="21">
        <v>166</v>
      </c>
      <c r="N12" s="21">
        <v>91</v>
      </c>
      <c r="O12" s="21">
        <v>0</v>
      </c>
      <c r="P12" s="21">
        <v>16</v>
      </c>
      <c r="Q12" s="21">
        <v>5</v>
      </c>
      <c r="R12" s="16"/>
      <c r="S12" s="16"/>
    </row>
    <row r="13" spans="1:19" ht="15" thickBot="1" x14ac:dyDescent="0.35">
      <c r="A13" s="304" t="s">
        <v>18</v>
      </c>
      <c r="B13" s="305"/>
      <c r="C13" s="365">
        <v>329</v>
      </c>
      <c r="D13" s="366"/>
      <c r="E13" s="306">
        <v>0</v>
      </c>
      <c r="F13" s="307"/>
      <c r="G13" s="306">
        <v>0</v>
      </c>
      <c r="H13" s="307"/>
      <c r="I13" s="306">
        <v>167</v>
      </c>
      <c r="J13" s="307"/>
      <c r="K13" s="306">
        <v>2</v>
      </c>
      <c r="L13" s="307"/>
      <c r="M13" s="21">
        <v>94</v>
      </c>
      <c r="N13" s="21">
        <v>54</v>
      </c>
      <c r="O13" s="21">
        <v>0</v>
      </c>
      <c r="P13" s="21">
        <v>0</v>
      </c>
      <c r="Q13" s="21">
        <v>0</v>
      </c>
      <c r="R13" s="16"/>
      <c r="S13" s="16"/>
    </row>
    <row r="14" spans="1:19" ht="15" thickBot="1" x14ac:dyDescent="0.35">
      <c r="A14" s="304" t="s">
        <v>19</v>
      </c>
      <c r="B14" s="305"/>
      <c r="C14" s="306">
        <v>205</v>
      </c>
      <c r="D14" s="307"/>
      <c r="E14" s="306">
        <v>62</v>
      </c>
      <c r="F14" s="307"/>
      <c r="G14" s="306">
        <v>48</v>
      </c>
      <c r="H14" s="307"/>
      <c r="I14" s="306">
        <v>149</v>
      </c>
      <c r="J14" s="307"/>
      <c r="K14" s="306">
        <v>0</v>
      </c>
      <c r="L14" s="307"/>
      <c r="M14" s="22">
        <v>256</v>
      </c>
      <c r="N14" s="22">
        <v>23</v>
      </c>
      <c r="O14" s="22">
        <v>0</v>
      </c>
      <c r="P14" s="22">
        <v>0</v>
      </c>
      <c r="Q14" s="22">
        <v>0</v>
      </c>
      <c r="R14" s="16"/>
      <c r="S14" s="16"/>
    </row>
    <row r="15" spans="1:19" ht="19.5" customHeight="1" thickBot="1" x14ac:dyDescent="0.35">
      <c r="A15" s="359" t="s">
        <v>51</v>
      </c>
      <c r="B15" s="360"/>
      <c r="C15" s="306">
        <v>0</v>
      </c>
      <c r="D15" s="307"/>
      <c r="E15" s="306">
        <v>0</v>
      </c>
      <c r="F15" s="307"/>
      <c r="G15" s="306">
        <v>0</v>
      </c>
      <c r="H15" s="307"/>
      <c r="I15" s="306">
        <v>0</v>
      </c>
      <c r="J15" s="307"/>
      <c r="K15" s="306">
        <v>0</v>
      </c>
      <c r="L15" s="307"/>
      <c r="M15" s="23">
        <v>0</v>
      </c>
      <c r="N15" s="23">
        <v>0</v>
      </c>
      <c r="O15" s="23">
        <v>1855</v>
      </c>
      <c r="P15" s="23">
        <v>2076</v>
      </c>
      <c r="Q15" s="23">
        <v>2170</v>
      </c>
      <c r="R15" s="16"/>
      <c r="S15" s="16"/>
    </row>
    <row r="16" spans="1:19" ht="15" thickBot="1" x14ac:dyDescent="0.35">
      <c r="A16" s="308" t="s">
        <v>20</v>
      </c>
      <c r="B16" s="309"/>
      <c r="C16" s="310">
        <v>9418</v>
      </c>
      <c r="D16" s="311"/>
      <c r="E16" s="310">
        <v>3885</v>
      </c>
      <c r="F16" s="311"/>
      <c r="G16" s="310">
        <v>3223</v>
      </c>
      <c r="H16" s="311"/>
      <c r="I16" s="310">
        <v>7131</v>
      </c>
      <c r="J16" s="311"/>
      <c r="K16" s="310">
        <v>576</v>
      </c>
      <c r="L16" s="311"/>
      <c r="M16" s="24">
        <v>2406</v>
      </c>
      <c r="N16" s="24">
        <v>2026</v>
      </c>
      <c r="O16" s="24">
        <v>6018</v>
      </c>
      <c r="P16" s="24">
        <v>4288</v>
      </c>
      <c r="Q16" s="24">
        <v>4098</v>
      </c>
      <c r="R16" s="16"/>
      <c r="S16" s="16"/>
    </row>
    <row r="17" spans="1:19" ht="15" thickBot="1" x14ac:dyDescent="0.35">
      <c r="A17" s="367" t="s">
        <v>21</v>
      </c>
      <c r="B17" s="368"/>
      <c r="C17" s="369">
        <v>6296</v>
      </c>
      <c r="D17" s="370"/>
      <c r="E17" s="369">
        <v>3514</v>
      </c>
      <c r="F17" s="370"/>
      <c r="G17" s="371">
        <v>2988</v>
      </c>
      <c r="H17" s="372"/>
      <c r="I17" s="371">
        <v>5844</v>
      </c>
      <c r="J17" s="372"/>
      <c r="K17" s="369">
        <v>278</v>
      </c>
      <c r="L17" s="370"/>
      <c r="M17" s="25">
        <v>690</v>
      </c>
      <c r="N17" s="25">
        <v>1604</v>
      </c>
      <c r="O17" s="25">
        <v>4080</v>
      </c>
      <c r="P17" s="25">
        <v>2155</v>
      </c>
      <c r="Q17" s="25">
        <v>1725</v>
      </c>
      <c r="R17" s="16"/>
      <c r="S17" s="16"/>
    </row>
    <row r="18" spans="1:19" x14ac:dyDescent="0.3">
      <c r="A18" s="376" t="s">
        <v>262</v>
      </c>
      <c r="B18" s="376"/>
      <c r="C18" s="376"/>
      <c r="D18" s="376"/>
      <c r="E18" s="376"/>
      <c r="F18" s="376"/>
      <c r="G18" s="376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16"/>
      <c r="S18" s="16"/>
    </row>
    <row r="19" spans="1:19" x14ac:dyDescent="0.3">
      <c r="A19" s="377"/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13"/>
      <c r="S19" s="16"/>
    </row>
    <row r="20" spans="1:19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6"/>
      <c r="S20" s="16"/>
    </row>
    <row r="21" spans="1:19" ht="15" thickBo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6"/>
      <c r="S21" s="16"/>
    </row>
    <row r="22" spans="1:19" ht="59.25" customHeight="1" x14ac:dyDescent="0.3">
      <c r="A22" s="345" t="s">
        <v>263</v>
      </c>
      <c r="B22" s="346"/>
      <c r="C22" s="349" t="s">
        <v>252</v>
      </c>
      <c r="D22" s="350"/>
      <c r="E22" s="353" t="s">
        <v>254</v>
      </c>
      <c r="F22" s="354"/>
      <c r="G22" s="353" t="s">
        <v>254</v>
      </c>
      <c r="H22" s="354"/>
      <c r="I22" s="378" t="s">
        <v>259</v>
      </c>
      <c r="J22" s="379"/>
      <c r="K22" s="17" t="s">
        <v>259</v>
      </c>
      <c r="L22" s="13"/>
      <c r="M22" s="13"/>
      <c r="N22" s="13"/>
      <c r="O22" s="13"/>
      <c r="P22" s="13"/>
      <c r="Q22" s="13"/>
      <c r="R22" s="16"/>
      <c r="S22" s="16"/>
    </row>
    <row r="23" spans="1:19" ht="30" customHeight="1" thickBot="1" x14ac:dyDescent="0.35">
      <c r="A23" s="347"/>
      <c r="B23" s="348"/>
      <c r="C23" s="351" t="s">
        <v>253</v>
      </c>
      <c r="D23" s="352"/>
      <c r="E23" s="355" t="s">
        <v>264</v>
      </c>
      <c r="F23" s="356"/>
      <c r="G23" s="355" t="s">
        <v>256</v>
      </c>
      <c r="H23" s="356"/>
      <c r="I23" s="380" t="s">
        <v>260</v>
      </c>
      <c r="J23" s="381"/>
      <c r="K23" s="26" t="s">
        <v>261</v>
      </c>
      <c r="L23" s="13"/>
      <c r="M23" s="13"/>
      <c r="N23" s="13"/>
      <c r="O23" s="13"/>
      <c r="P23" s="13"/>
      <c r="Q23" s="13"/>
      <c r="R23" s="16"/>
      <c r="S23" s="16"/>
    </row>
    <row r="24" spans="1:19" ht="15" thickBot="1" x14ac:dyDescent="0.35">
      <c r="A24" s="331" t="s">
        <v>9</v>
      </c>
      <c r="B24" s="332"/>
      <c r="C24" s="373" t="s">
        <v>238</v>
      </c>
      <c r="D24" s="374"/>
      <c r="E24" s="374"/>
      <c r="F24" s="374"/>
      <c r="G24" s="374"/>
      <c r="H24" s="374"/>
      <c r="I24" s="374"/>
      <c r="J24" s="374"/>
      <c r="K24" s="375"/>
      <c r="L24" s="13"/>
      <c r="M24" s="13"/>
      <c r="N24" s="13"/>
      <c r="O24" s="13"/>
      <c r="P24" s="13"/>
      <c r="Q24" s="13"/>
      <c r="R24" s="16"/>
      <c r="S24" s="16"/>
    </row>
    <row r="25" spans="1:19" ht="15" thickBot="1" x14ac:dyDescent="0.35">
      <c r="A25" s="304" t="s">
        <v>12</v>
      </c>
      <c r="B25" s="305"/>
      <c r="C25" s="336">
        <v>268</v>
      </c>
      <c r="D25" s="337"/>
      <c r="E25" s="336">
        <v>55</v>
      </c>
      <c r="F25" s="337"/>
      <c r="G25" s="336">
        <v>0</v>
      </c>
      <c r="H25" s="337"/>
      <c r="I25" s="336">
        <v>195</v>
      </c>
      <c r="J25" s="337"/>
      <c r="K25" s="27">
        <v>1</v>
      </c>
      <c r="L25" s="13"/>
      <c r="M25" s="13"/>
      <c r="N25" s="13"/>
      <c r="O25" s="13"/>
      <c r="P25" s="13"/>
      <c r="Q25" s="13"/>
      <c r="R25" s="16"/>
      <c r="S25" s="16"/>
    </row>
    <row r="26" spans="1:19" ht="15" thickBot="1" x14ac:dyDescent="0.35">
      <c r="A26" s="304" t="s">
        <v>13</v>
      </c>
      <c r="B26" s="305"/>
      <c r="C26" s="336">
        <v>21</v>
      </c>
      <c r="D26" s="337"/>
      <c r="E26" s="336">
        <v>0</v>
      </c>
      <c r="F26" s="337"/>
      <c r="G26" s="336">
        <v>0</v>
      </c>
      <c r="H26" s="337"/>
      <c r="I26" s="336">
        <v>63</v>
      </c>
      <c r="J26" s="337"/>
      <c r="K26" s="27">
        <v>0</v>
      </c>
      <c r="L26" s="13"/>
      <c r="M26" s="13"/>
      <c r="N26" s="13"/>
      <c r="O26" s="13"/>
      <c r="P26" s="13"/>
      <c r="Q26" s="13"/>
      <c r="R26" s="16"/>
      <c r="S26" s="16"/>
    </row>
    <row r="27" spans="1:19" ht="15" thickBot="1" x14ac:dyDescent="0.35">
      <c r="A27" s="304" t="s">
        <v>14</v>
      </c>
      <c r="B27" s="305"/>
      <c r="C27" s="336">
        <v>149</v>
      </c>
      <c r="D27" s="337"/>
      <c r="E27" s="336">
        <v>26</v>
      </c>
      <c r="F27" s="337"/>
      <c r="G27" s="336">
        <v>1</v>
      </c>
      <c r="H27" s="337"/>
      <c r="I27" s="336">
        <v>50</v>
      </c>
      <c r="J27" s="337"/>
      <c r="K27" s="27">
        <v>0</v>
      </c>
      <c r="L27" s="13"/>
      <c r="M27" s="13"/>
      <c r="N27" s="13"/>
      <c r="O27" s="13"/>
      <c r="P27" s="13"/>
      <c r="Q27" s="13"/>
      <c r="R27" s="16"/>
      <c r="S27" s="16"/>
    </row>
    <row r="28" spans="1:19" ht="15" thickBot="1" x14ac:dyDescent="0.35">
      <c r="A28" s="304" t="s">
        <v>15</v>
      </c>
      <c r="B28" s="305"/>
      <c r="C28" s="336" t="s">
        <v>214</v>
      </c>
      <c r="D28" s="337"/>
      <c r="E28" s="336" t="s">
        <v>223</v>
      </c>
      <c r="F28" s="337"/>
      <c r="G28" s="336">
        <v>0</v>
      </c>
      <c r="H28" s="337"/>
      <c r="I28" s="336">
        <v>10</v>
      </c>
      <c r="J28" s="337"/>
      <c r="K28" s="27">
        <v>4</v>
      </c>
      <c r="L28" s="13"/>
      <c r="M28" s="13"/>
      <c r="N28" s="13"/>
      <c r="O28" s="13"/>
      <c r="P28" s="13"/>
      <c r="Q28" s="13"/>
      <c r="R28" s="16"/>
      <c r="S28" s="16"/>
    </row>
    <row r="29" spans="1:19" ht="15" thickBot="1" x14ac:dyDescent="0.35">
      <c r="A29" s="304" t="s">
        <v>16</v>
      </c>
      <c r="B29" s="305"/>
      <c r="C29" s="365" t="s">
        <v>240</v>
      </c>
      <c r="D29" s="366"/>
      <c r="E29" s="336" t="s">
        <v>241</v>
      </c>
      <c r="F29" s="337"/>
      <c r="G29" s="336">
        <v>0</v>
      </c>
      <c r="H29" s="337"/>
      <c r="I29" s="336">
        <v>31</v>
      </c>
      <c r="J29" s="337"/>
      <c r="K29" s="27">
        <v>9</v>
      </c>
      <c r="L29" s="13"/>
      <c r="M29" s="13"/>
      <c r="N29" s="13"/>
      <c r="O29" s="13"/>
      <c r="P29" s="13"/>
      <c r="Q29" s="13"/>
      <c r="R29" s="16"/>
      <c r="S29" s="16"/>
    </row>
    <row r="30" spans="1:19" ht="15" thickBot="1" x14ac:dyDescent="0.35">
      <c r="A30" s="304" t="s">
        <v>17</v>
      </c>
      <c r="B30" s="305"/>
      <c r="C30" s="365">
        <v>19</v>
      </c>
      <c r="D30" s="366"/>
      <c r="E30" s="336" t="s">
        <v>166</v>
      </c>
      <c r="F30" s="337"/>
      <c r="G30" s="336">
        <v>0</v>
      </c>
      <c r="H30" s="337"/>
      <c r="I30" s="336">
        <v>9</v>
      </c>
      <c r="J30" s="337"/>
      <c r="K30" s="27">
        <v>0</v>
      </c>
      <c r="L30" s="13"/>
      <c r="M30" s="13"/>
      <c r="N30" s="13"/>
      <c r="O30" s="13"/>
      <c r="P30" s="13"/>
      <c r="Q30" s="13"/>
      <c r="R30" s="16"/>
      <c r="S30" s="16"/>
    </row>
    <row r="31" spans="1:19" ht="15" thickBot="1" x14ac:dyDescent="0.35">
      <c r="A31" s="304" t="s">
        <v>18</v>
      </c>
      <c r="B31" s="305"/>
      <c r="C31" s="365">
        <v>21</v>
      </c>
      <c r="D31" s="366"/>
      <c r="E31" s="336">
        <v>0</v>
      </c>
      <c r="F31" s="337"/>
      <c r="G31" s="336">
        <v>0</v>
      </c>
      <c r="H31" s="337"/>
      <c r="I31" s="336">
        <v>7</v>
      </c>
      <c r="J31" s="337"/>
      <c r="K31" s="27">
        <v>0</v>
      </c>
      <c r="L31" s="13"/>
      <c r="M31" s="13"/>
      <c r="N31" s="13"/>
      <c r="O31" s="13"/>
      <c r="P31" s="13"/>
      <c r="Q31" s="13"/>
      <c r="R31" s="16"/>
      <c r="S31" s="16"/>
    </row>
    <row r="32" spans="1:19" ht="15" thickBot="1" x14ac:dyDescent="0.35">
      <c r="A32" s="304" t="s">
        <v>19</v>
      </c>
      <c r="B32" s="305"/>
      <c r="C32" s="336">
        <v>8</v>
      </c>
      <c r="D32" s="337"/>
      <c r="E32" s="336">
        <v>0</v>
      </c>
      <c r="F32" s="337"/>
      <c r="G32" s="336">
        <v>0</v>
      </c>
      <c r="H32" s="337"/>
      <c r="I32" s="336">
        <v>4</v>
      </c>
      <c r="J32" s="337"/>
      <c r="K32" s="27">
        <v>0</v>
      </c>
      <c r="L32" s="13"/>
      <c r="M32" s="13"/>
      <c r="N32" s="13"/>
      <c r="O32" s="13"/>
      <c r="P32" s="13"/>
      <c r="Q32" s="13"/>
      <c r="R32" s="16"/>
      <c r="S32" s="16"/>
    </row>
    <row r="33" spans="1:19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6"/>
      <c r="S33" s="16"/>
    </row>
    <row r="34" spans="1:19" ht="15" thickBo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6"/>
      <c r="S34" s="16"/>
    </row>
    <row r="35" spans="1:19" ht="78" customHeight="1" x14ac:dyDescent="0.3">
      <c r="A35" s="345" t="s">
        <v>265</v>
      </c>
      <c r="B35" s="346"/>
      <c r="C35" s="349" t="s">
        <v>252</v>
      </c>
      <c r="D35" s="350"/>
      <c r="E35" s="353" t="s">
        <v>254</v>
      </c>
      <c r="F35" s="354"/>
      <c r="G35" s="353" t="s">
        <v>254</v>
      </c>
      <c r="H35" s="354"/>
      <c r="I35" s="378" t="s">
        <v>259</v>
      </c>
      <c r="J35" s="379"/>
      <c r="K35" s="17" t="s">
        <v>259</v>
      </c>
      <c r="L35" s="13"/>
      <c r="M35" s="13"/>
      <c r="N35" s="13"/>
      <c r="O35" s="13"/>
      <c r="P35" s="13"/>
      <c r="Q35" s="13"/>
      <c r="R35" s="16"/>
      <c r="S35" s="16"/>
    </row>
    <row r="36" spans="1:19" ht="30" customHeight="1" thickBot="1" x14ac:dyDescent="0.35">
      <c r="A36" s="347"/>
      <c r="B36" s="348"/>
      <c r="C36" s="351" t="s">
        <v>253</v>
      </c>
      <c r="D36" s="352"/>
      <c r="E36" s="355" t="s">
        <v>264</v>
      </c>
      <c r="F36" s="356"/>
      <c r="G36" s="355" t="s">
        <v>256</v>
      </c>
      <c r="H36" s="356"/>
      <c r="I36" s="382" t="s">
        <v>260</v>
      </c>
      <c r="J36" s="383"/>
      <c r="K36" s="18" t="s">
        <v>261</v>
      </c>
      <c r="L36" s="13"/>
      <c r="M36" s="13"/>
      <c r="N36" s="13"/>
      <c r="O36" s="13"/>
      <c r="P36" s="13"/>
      <c r="Q36" s="13"/>
      <c r="R36" s="16"/>
      <c r="S36" s="16"/>
    </row>
    <row r="37" spans="1:19" ht="15" thickBot="1" x14ac:dyDescent="0.35">
      <c r="A37" s="331" t="s">
        <v>9</v>
      </c>
      <c r="B37" s="332"/>
      <c r="C37" s="333" t="s">
        <v>238</v>
      </c>
      <c r="D37" s="334"/>
      <c r="E37" s="334"/>
      <c r="F37" s="334"/>
      <c r="G37" s="334"/>
      <c r="H37" s="334"/>
      <c r="I37" s="334"/>
      <c r="J37" s="334"/>
      <c r="K37" s="335"/>
      <c r="L37" s="13"/>
      <c r="M37" s="13"/>
      <c r="N37" s="13"/>
      <c r="O37" s="13"/>
      <c r="P37" s="13"/>
      <c r="Q37" s="13"/>
      <c r="R37" s="16"/>
      <c r="S37" s="16"/>
    </row>
    <row r="38" spans="1:19" ht="15" thickBot="1" x14ac:dyDescent="0.35">
      <c r="A38" s="304" t="s">
        <v>12</v>
      </c>
      <c r="B38" s="305"/>
      <c r="C38" s="336">
        <v>0</v>
      </c>
      <c r="D38" s="337"/>
      <c r="E38" s="338" t="s">
        <v>266</v>
      </c>
      <c r="F38" s="339"/>
      <c r="G38" s="336">
        <v>0</v>
      </c>
      <c r="H38" s="337"/>
      <c r="I38" s="336">
        <v>0</v>
      </c>
      <c r="J38" s="337"/>
      <c r="K38" s="27">
        <v>0</v>
      </c>
      <c r="L38" s="13"/>
      <c r="M38" s="13"/>
      <c r="N38" s="13"/>
      <c r="O38" s="13"/>
      <c r="P38" s="13"/>
      <c r="Q38" s="13"/>
      <c r="R38" s="16"/>
      <c r="S38" s="16"/>
    </row>
    <row r="39" spans="1:19" ht="15" thickBot="1" x14ac:dyDescent="0.35">
      <c r="A39" s="304" t="s">
        <v>13</v>
      </c>
      <c r="B39" s="305"/>
      <c r="C39" s="336">
        <v>0</v>
      </c>
      <c r="D39" s="337"/>
      <c r="E39" s="338" t="s">
        <v>248</v>
      </c>
      <c r="F39" s="339"/>
      <c r="G39" s="336">
        <v>0</v>
      </c>
      <c r="H39" s="337"/>
      <c r="I39" s="336">
        <v>0</v>
      </c>
      <c r="J39" s="337"/>
      <c r="K39" s="27">
        <v>0</v>
      </c>
      <c r="L39" s="13"/>
      <c r="M39" s="13"/>
      <c r="N39" s="13"/>
      <c r="O39" s="13"/>
      <c r="P39" s="13"/>
      <c r="Q39" s="13"/>
      <c r="R39" s="16"/>
      <c r="S39" s="16"/>
    </row>
    <row r="40" spans="1:19" ht="15" thickBot="1" x14ac:dyDescent="0.35">
      <c r="A40" s="304" t="s">
        <v>14</v>
      </c>
      <c r="B40" s="305"/>
      <c r="C40" s="336" t="s">
        <v>245</v>
      </c>
      <c r="D40" s="337"/>
      <c r="E40" s="338" t="s">
        <v>246</v>
      </c>
      <c r="F40" s="339"/>
      <c r="G40" s="336">
        <v>6</v>
      </c>
      <c r="H40" s="337"/>
      <c r="I40" s="336" t="s">
        <v>247</v>
      </c>
      <c r="J40" s="337"/>
      <c r="K40" s="27">
        <v>0</v>
      </c>
      <c r="L40" s="13"/>
      <c r="M40" s="13"/>
      <c r="N40" s="13"/>
      <c r="O40" s="13"/>
      <c r="P40" s="13"/>
      <c r="Q40" s="13"/>
      <c r="R40" s="16"/>
      <c r="S40" s="16"/>
    </row>
    <row r="41" spans="1:19" ht="15" thickBot="1" x14ac:dyDescent="0.35">
      <c r="A41" s="304" t="s">
        <v>15</v>
      </c>
      <c r="B41" s="305"/>
      <c r="C41" s="336">
        <v>0</v>
      </c>
      <c r="D41" s="337"/>
      <c r="E41" s="338" t="s">
        <v>267</v>
      </c>
      <c r="F41" s="339"/>
      <c r="G41" s="336">
        <v>0</v>
      </c>
      <c r="H41" s="337"/>
      <c r="I41" s="336">
        <v>0</v>
      </c>
      <c r="J41" s="337"/>
      <c r="K41" s="27">
        <v>0</v>
      </c>
      <c r="L41" s="13"/>
      <c r="M41" s="13"/>
      <c r="N41" s="13"/>
      <c r="O41" s="13"/>
      <c r="P41" s="13"/>
      <c r="Q41" s="13"/>
      <c r="R41" s="16"/>
      <c r="S41" s="16"/>
    </row>
    <row r="42" spans="1:19" ht="15" thickBot="1" x14ac:dyDescent="0.35">
      <c r="A42" s="304" t="s">
        <v>16</v>
      </c>
      <c r="B42" s="305"/>
      <c r="C42" s="365" t="s">
        <v>268</v>
      </c>
      <c r="D42" s="366"/>
      <c r="E42" s="338" t="s">
        <v>269</v>
      </c>
      <c r="F42" s="339"/>
      <c r="G42" s="336">
        <v>0</v>
      </c>
      <c r="H42" s="337"/>
      <c r="I42" s="336" t="s">
        <v>243</v>
      </c>
      <c r="J42" s="337"/>
      <c r="K42" s="27" t="s">
        <v>176</v>
      </c>
      <c r="L42" s="13"/>
      <c r="M42" s="13"/>
      <c r="N42" s="13"/>
      <c r="O42" s="13"/>
      <c r="P42" s="13"/>
      <c r="Q42" s="13"/>
      <c r="R42" s="16"/>
      <c r="S42" s="16"/>
    </row>
    <row r="43" spans="1:19" ht="15" thickBot="1" x14ac:dyDescent="0.35">
      <c r="A43" s="304" t="s">
        <v>17</v>
      </c>
      <c r="B43" s="305"/>
      <c r="C43" s="365">
        <v>0</v>
      </c>
      <c r="D43" s="366"/>
      <c r="E43" s="336" t="s">
        <v>88</v>
      </c>
      <c r="F43" s="337"/>
      <c r="G43" s="336">
        <v>0</v>
      </c>
      <c r="H43" s="337"/>
      <c r="I43" s="336">
        <v>0</v>
      </c>
      <c r="J43" s="337"/>
      <c r="K43" s="27">
        <v>0</v>
      </c>
      <c r="L43" s="13"/>
      <c r="M43" s="13"/>
      <c r="N43" s="13"/>
      <c r="O43" s="13"/>
      <c r="P43" s="13"/>
      <c r="Q43" s="13"/>
      <c r="R43" s="16"/>
      <c r="S43" s="16"/>
    </row>
    <row r="44" spans="1:19" ht="15" thickBot="1" x14ac:dyDescent="0.35">
      <c r="A44" s="304" t="s">
        <v>18</v>
      </c>
      <c r="B44" s="305"/>
      <c r="C44" s="365">
        <v>0</v>
      </c>
      <c r="D44" s="366"/>
      <c r="E44" s="336" t="s">
        <v>233</v>
      </c>
      <c r="F44" s="337"/>
      <c r="G44" s="336">
        <v>0</v>
      </c>
      <c r="H44" s="337"/>
      <c r="I44" s="336">
        <v>0</v>
      </c>
      <c r="J44" s="337"/>
      <c r="K44" s="27">
        <v>0</v>
      </c>
      <c r="L44" s="13"/>
      <c r="M44" s="13"/>
      <c r="N44" s="13"/>
      <c r="O44" s="13"/>
      <c r="P44" s="13"/>
      <c r="Q44" s="13"/>
      <c r="R44" s="16"/>
      <c r="S44" s="16"/>
    </row>
    <row r="45" spans="1:19" ht="15" thickBot="1" x14ac:dyDescent="0.35">
      <c r="A45" s="304" t="s">
        <v>19</v>
      </c>
      <c r="B45" s="305"/>
      <c r="C45" s="336">
        <v>0</v>
      </c>
      <c r="D45" s="337"/>
      <c r="E45" s="336">
        <v>0</v>
      </c>
      <c r="F45" s="337"/>
      <c r="G45" s="336">
        <v>0</v>
      </c>
      <c r="H45" s="337"/>
      <c r="I45" s="336">
        <v>0</v>
      </c>
      <c r="J45" s="337"/>
      <c r="K45" s="27">
        <v>0</v>
      </c>
      <c r="L45" s="13"/>
      <c r="M45" s="13"/>
      <c r="N45" s="13"/>
      <c r="O45" s="13"/>
      <c r="P45" s="13"/>
      <c r="Q45" s="13"/>
      <c r="R45" s="16"/>
      <c r="S45" s="16"/>
    </row>
    <row r="46" spans="1:19" x14ac:dyDescent="0.3">
      <c r="A46" s="384" t="s">
        <v>270</v>
      </c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13"/>
      <c r="M46" s="13"/>
      <c r="N46" s="13"/>
      <c r="O46" s="13"/>
      <c r="P46" s="13"/>
      <c r="Q46" s="13"/>
      <c r="R46" s="16"/>
      <c r="S46" s="16"/>
    </row>
    <row r="47" spans="1:19" x14ac:dyDescent="0.3">
      <c r="A47" s="312"/>
      <c r="B47" s="312"/>
      <c r="C47" s="312"/>
      <c r="D47" s="312"/>
      <c r="E47" s="322"/>
      <c r="F47" s="312"/>
      <c r="G47" s="312"/>
      <c r="H47" s="322"/>
      <c r="I47" s="312"/>
      <c r="J47" s="312"/>
      <c r="K47" s="312"/>
      <c r="L47" s="312"/>
      <c r="M47" s="312"/>
      <c r="N47" s="312"/>
      <c r="O47" s="312"/>
      <c r="P47" s="312"/>
      <c r="Q47" s="312"/>
      <c r="R47" s="313"/>
      <c r="S47" s="313"/>
    </row>
    <row r="48" spans="1:19" x14ac:dyDescent="0.3">
      <c r="A48" s="312"/>
      <c r="B48" s="312"/>
      <c r="C48" s="312"/>
      <c r="D48" s="312"/>
      <c r="E48" s="322"/>
      <c r="F48" s="312"/>
      <c r="G48" s="312"/>
      <c r="H48" s="322"/>
      <c r="I48" s="312"/>
      <c r="J48" s="312"/>
      <c r="K48" s="312"/>
      <c r="L48" s="312"/>
      <c r="M48" s="312"/>
      <c r="N48" s="312"/>
      <c r="O48" s="312"/>
      <c r="P48" s="312"/>
      <c r="Q48" s="312"/>
      <c r="R48" s="313"/>
      <c r="S48" s="313"/>
    </row>
    <row r="49" spans="1:19" ht="15" thickBot="1" x14ac:dyDescent="0.35">
      <c r="A49" s="389"/>
      <c r="B49" s="389"/>
      <c r="C49" s="389"/>
      <c r="D49" s="389"/>
      <c r="E49" s="390"/>
      <c r="F49" s="389"/>
      <c r="G49" s="389"/>
      <c r="H49" s="390"/>
      <c r="I49" s="389"/>
      <c r="J49" s="389"/>
      <c r="K49" s="312"/>
      <c r="L49" s="312"/>
      <c r="M49" s="312"/>
      <c r="N49" s="312"/>
      <c r="O49" s="312"/>
      <c r="P49" s="312"/>
      <c r="Q49" s="312"/>
      <c r="R49" s="313"/>
      <c r="S49" s="313"/>
    </row>
    <row r="50" spans="1:19" ht="15" thickBot="1" x14ac:dyDescent="0.35">
      <c r="A50" s="329" t="s">
        <v>28</v>
      </c>
      <c r="B50" s="330"/>
      <c r="C50" s="330"/>
      <c r="D50" s="330"/>
      <c r="E50" s="330"/>
      <c r="F50" s="330"/>
      <c r="G50" s="330"/>
      <c r="H50" s="330"/>
      <c r="I50" s="330"/>
      <c r="J50" s="385"/>
      <c r="K50" s="13"/>
      <c r="L50" s="13"/>
      <c r="M50" s="13"/>
      <c r="N50" s="13"/>
      <c r="O50" s="13"/>
      <c r="P50" s="13"/>
      <c r="Q50" s="13"/>
      <c r="R50" s="16"/>
      <c r="S50" s="16"/>
    </row>
    <row r="51" spans="1:19" ht="15" thickBot="1" x14ac:dyDescent="0.35">
      <c r="A51" s="329" t="s">
        <v>29</v>
      </c>
      <c r="B51" s="385"/>
      <c r="C51" s="386" t="s">
        <v>218</v>
      </c>
      <c r="D51" s="385"/>
      <c r="E51" s="386" t="s">
        <v>225</v>
      </c>
      <c r="F51" s="385"/>
      <c r="G51" s="386" t="s">
        <v>229</v>
      </c>
      <c r="H51" s="385"/>
      <c r="I51" s="386" t="s">
        <v>238</v>
      </c>
      <c r="J51" s="385"/>
      <c r="K51" s="13"/>
      <c r="L51" s="13"/>
      <c r="M51" s="13"/>
      <c r="N51" s="13"/>
      <c r="O51" s="13"/>
      <c r="P51" s="13"/>
      <c r="Q51" s="13"/>
      <c r="R51" s="16"/>
      <c r="S51" s="16"/>
    </row>
    <row r="52" spans="1:19" ht="15" thickBot="1" x14ac:dyDescent="0.35">
      <c r="A52" s="387" t="s">
        <v>30</v>
      </c>
      <c r="B52" s="388"/>
      <c r="C52" s="336">
        <v>14118</v>
      </c>
      <c r="D52" s="337"/>
      <c r="E52" s="336">
        <v>14055</v>
      </c>
      <c r="F52" s="337"/>
      <c r="G52" s="336">
        <v>14001</v>
      </c>
      <c r="H52" s="337"/>
      <c r="I52" s="336">
        <v>13980</v>
      </c>
      <c r="J52" s="337"/>
      <c r="K52" s="13"/>
      <c r="L52" s="13"/>
      <c r="M52" s="13"/>
      <c r="N52" s="13"/>
      <c r="O52" s="13"/>
      <c r="P52" s="13"/>
      <c r="Q52" s="13"/>
      <c r="R52" s="16"/>
      <c r="S52" s="16"/>
    </row>
    <row r="53" spans="1:19" ht="15" thickBot="1" x14ac:dyDescent="0.35">
      <c r="A53" s="387" t="s">
        <v>31</v>
      </c>
      <c r="B53" s="388"/>
      <c r="C53" s="306">
        <v>8390</v>
      </c>
      <c r="D53" s="307"/>
      <c r="E53" s="306">
        <v>8385</v>
      </c>
      <c r="F53" s="307"/>
      <c r="G53" s="306">
        <v>8394</v>
      </c>
      <c r="H53" s="307"/>
      <c r="I53" s="306">
        <v>8407</v>
      </c>
      <c r="J53" s="307"/>
      <c r="K53" s="13"/>
      <c r="L53" s="13"/>
      <c r="M53" s="13"/>
      <c r="N53" s="13"/>
      <c r="O53" s="13"/>
      <c r="P53" s="13"/>
      <c r="Q53" s="13"/>
      <c r="R53" s="16"/>
      <c r="S53" s="16"/>
    </row>
    <row r="54" spans="1:19" ht="15" thickBot="1" x14ac:dyDescent="0.35">
      <c r="A54" s="387" t="s">
        <v>32</v>
      </c>
      <c r="B54" s="388"/>
      <c r="C54" s="336">
        <v>115632</v>
      </c>
      <c r="D54" s="337"/>
      <c r="E54" s="336">
        <v>115541</v>
      </c>
      <c r="F54" s="337"/>
      <c r="G54" s="336">
        <v>115457</v>
      </c>
      <c r="H54" s="337"/>
      <c r="I54" s="336">
        <v>115405</v>
      </c>
      <c r="J54" s="337"/>
      <c r="K54" s="13"/>
      <c r="L54" s="13"/>
      <c r="M54" s="13"/>
      <c r="N54" s="13"/>
      <c r="O54" s="13"/>
      <c r="P54" s="13"/>
      <c r="Q54" s="13"/>
      <c r="R54" s="16"/>
      <c r="S54" s="16"/>
    </row>
    <row r="55" spans="1:19" ht="15" thickBot="1" x14ac:dyDescent="0.35">
      <c r="A55" s="387" t="s">
        <v>33</v>
      </c>
      <c r="B55" s="388"/>
      <c r="C55" s="306">
        <v>240</v>
      </c>
      <c r="D55" s="307"/>
      <c r="E55" s="306">
        <v>235</v>
      </c>
      <c r="F55" s="307"/>
      <c r="G55" s="306">
        <v>235</v>
      </c>
      <c r="H55" s="307"/>
      <c r="I55" s="306">
        <v>237</v>
      </c>
      <c r="J55" s="307"/>
      <c r="K55" s="13"/>
      <c r="L55" s="13"/>
      <c r="M55" s="13"/>
      <c r="N55" s="13"/>
      <c r="O55" s="13"/>
      <c r="P55" s="13"/>
      <c r="Q55" s="13"/>
      <c r="R55" s="16"/>
      <c r="S55" s="16"/>
    </row>
    <row r="56" spans="1:19" ht="15" thickBot="1" x14ac:dyDescent="0.35">
      <c r="A56" s="387" t="s">
        <v>34</v>
      </c>
      <c r="B56" s="388"/>
      <c r="C56" s="336">
        <v>51867</v>
      </c>
      <c r="D56" s="337"/>
      <c r="E56" s="336">
        <v>51805</v>
      </c>
      <c r="F56" s="337"/>
      <c r="G56" s="336">
        <v>51764</v>
      </c>
      <c r="H56" s="337"/>
      <c r="I56" s="336">
        <v>51727</v>
      </c>
      <c r="J56" s="337"/>
      <c r="K56" s="13"/>
      <c r="L56" s="13"/>
      <c r="M56" s="13"/>
      <c r="N56" s="13"/>
      <c r="O56" s="13"/>
      <c r="P56" s="13"/>
      <c r="Q56" s="13"/>
      <c r="R56" s="16"/>
      <c r="S56" s="16"/>
    </row>
    <row r="57" spans="1:19" ht="15" thickBot="1" x14ac:dyDescent="0.35">
      <c r="A57" s="387" t="s">
        <v>53</v>
      </c>
      <c r="B57" s="388"/>
      <c r="C57" s="306">
        <v>3734</v>
      </c>
      <c r="D57" s="307"/>
      <c r="E57" s="306">
        <v>3832</v>
      </c>
      <c r="F57" s="307"/>
      <c r="G57" s="306">
        <v>3914</v>
      </c>
      <c r="H57" s="307"/>
      <c r="I57" s="306">
        <v>3959</v>
      </c>
      <c r="J57" s="307"/>
      <c r="K57" s="13"/>
      <c r="L57" s="13"/>
      <c r="M57" s="13"/>
      <c r="N57" s="13"/>
      <c r="O57" s="13"/>
      <c r="P57" s="13"/>
      <c r="Q57" s="13"/>
      <c r="R57" s="16"/>
      <c r="S57" s="16"/>
    </row>
    <row r="58" spans="1:19" ht="15" thickBot="1" x14ac:dyDescent="0.35">
      <c r="A58" s="387" t="s">
        <v>49</v>
      </c>
      <c r="B58" s="388"/>
      <c r="C58" s="336">
        <v>11036</v>
      </c>
      <c r="D58" s="337"/>
      <c r="E58" s="336">
        <v>11396</v>
      </c>
      <c r="F58" s="337"/>
      <c r="G58" s="336">
        <v>11587</v>
      </c>
      <c r="H58" s="337"/>
      <c r="I58" s="336">
        <v>11698</v>
      </c>
      <c r="J58" s="337"/>
      <c r="K58" s="13"/>
      <c r="L58" s="13"/>
      <c r="M58" s="13"/>
      <c r="N58" s="13"/>
      <c r="O58" s="13"/>
      <c r="P58" s="13"/>
      <c r="Q58" s="13"/>
      <c r="R58" s="16"/>
      <c r="S58" s="16"/>
    </row>
    <row r="59" spans="1:19" ht="15" thickBot="1" x14ac:dyDescent="0.35">
      <c r="A59" s="387" t="s">
        <v>35</v>
      </c>
      <c r="B59" s="388"/>
      <c r="C59" s="306">
        <v>1506</v>
      </c>
      <c r="D59" s="307"/>
      <c r="E59" s="306">
        <v>1542</v>
      </c>
      <c r="F59" s="307"/>
      <c r="G59" s="306">
        <v>1574</v>
      </c>
      <c r="H59" s="307"/>
      <c r="I59" s="306">
        <v>1594</v>
      </c>
      <c r="J59" s="307"/>
      <c r="K59" s="13"/>
      <c r="L59" s="13"/>
      <c r="M59" s="13"/>
      <c r="N59" s="13"/>
      <c r="O59" s="13"/>
      <c r="P59" s="13"/>
      <c r="Q59" s="13"/>
      <c r="R59" s="16"/>
      <c r="S59" s="16"/>
    </row>
    <row r="60" spans="1:19" ht="15" thickBot="1" x14ac:dyDescent="0.35">
      <c r="A60" s="393" t="s">
        <v>36</v>
      </c>
      <c r="B60" s="394"/>
      <c r="C60" s="310">
        <v>206523</v>
      </c>
      <c r="D60" s="311"/>
      <c r="E60" s="310">
        <v>206791</v>
      </c>
      <c r="F60" s="311"/>
      <c r="G60" s="391">
        <v>206926</v>
      </c>
      <c r="H60" s="392"/>
      <c r="I60" s="391">
        <v>207007</v>
      </c>
      <c r="J60" s="392"/>
      <c r="K60" s="13"/>
      <c r="L60" s="13"/>
      <c r="M60" s="13"/>
      <c r="N60" s="13"/>
      <c r="O60" s="13"/>
      <c r="P60" s="13"/>
      <c r="Q60" s="13"/>
      <c r="R60" s="16"/>
      <c r="S60" s="16"/>
    </row>
    <row r="61" spans="1:19" ht="15" thickBo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6"/>
      <c r="S61" s="16"/>
    </row>
    <row r="62" spans="1:19" ht="15" thickBot="1" x14ac:dyDescent="0.35">
      <c r="A62" s="323" t="s">
        <v>37</v>
      </c>
      <c r="B62" s="324"/>
      <c r="C62" s="314" t="s">
        <v>218</v>
      </c>
      <c r="D62" s="315"/>
      <c r="E62" s="314" t="s">
        <v>225</v>
      </c>
      <c r="F62" s="315"/>
      <c r="G62" s="314" t="s">
        <v>229</v>
      </c>
      <c r="H62" s="315"/>
      <c r="I62" s="314" t="s">
        <v>238</v>
      </c>
      <c r="J62" s="315"/>
      <c r="K62" s="13"/>
      <c r="L62" s="13"/>
      <c r="M62" s="13"/>
      <c r="N62" s="13"/>
      <c r="O62" s="13"/>
      <c r="P62" s="13"/>
      <c r="Q62" s="13"/>
      <c r="R62" s="16"/>
      <c r="S62" s="16"/>
    </row>
    <row r="63" spans="1:19" x14ac:dyDescent="0.3">
      <c r="A63" s="325"/>
      <c r="B63" s="326"/>
      <c r="C63" s="316">
        <v>135676</v>
      </c>
      <c r="D63" s="317"/>
      <c r="E63" s="316">
        <v>136125</v>
      </c>
      <c r="F63" s="317"/>
      <c r="G63" s="316">
        <v>136311</v>
      </c>
      <c r="H63" s="317"/>
      <c r="I63" s="316">
        <v>136397</v>
      </c>
      <c r="J63" s="317"/>
      <c r="K63" s="13"/>
      <c r="L63" s="13"/>
      <c r="M63" s="13"/>
      <c r="N63" s="13"/>
      <c r="O63" s="13"/>
      <c r="P63" s="13"/>
      <c r="Q63" s="13"/>
      <c r="R63" s="16"/>
      <c r="S63" s="16"/>
    </row>
    <row r="64" spans="1:19" ht="15" thickBot="1" x14ac:dyDescent="0.35">
      <c r="A64" s="327"/>
      <c r="B64" s="328"/>
      <c r="C64" s="318"/>
      <c r="D64" s="319"/>
      <c r="E64" s="318"/>
      <c r="F64" s="319"/>
      <c r="G64" s="318"/>
      <c r="H64" s="319"/>
      <c r="I64" s="318"/>
      <c r="J64" s="319"/>
      <c r="K64" s="13"/>
      <c r="L64" s="13"/>
      <c r="M64" s="13"/>
      <c r="N64" s="13"/>
      <c r="O64" s="13"/>
      <c r="P64" s="13"/>
      <c r="Q64" s="13"/>
      <c r="R64" s="16"/>
      <c r="S64" s="16"/>
    </row>
    <row r="65" spans="1:19" x14ac:dyDescent="0.3">
      <c r="A65" s="320"/>
      <c r="B65" s="320"/>
      <c r="C65" s="320"/>
      <c r="D65" s="320"/>
      <c r="E65" s="320"/>
      <c r="F65" s="320"/>
      <c r="G65" s="321"/>
      <c r="H65" s="320"/>
      <c r="I65" s="320"/>
      <c r="J65" s="320"/>
      <c r="K65" s="312"/>
      <c r="L65" s="312"/>
      <c r="M65" s="312"/>
      <c r="N65" s="312"/>
      <c r="O65" s="312"/>
      <c r="P65" s="312"/>
      <c r="Q65" s="312"/>
      <c r="R65" s="313"/>
      <c r="S65" s="313"/>
    </row>
    <row r="66" spans="1:19" x14ac:dyDescent="0.3">
      <c r="A66" s="312"/>
      <c r="B66" s="312"/>
      <c r="C66" s="312"/>
      <c r="D66" s="312"/>
      <c r="E66" s="312"/>
      <c r="F66" s="312"/>
      <c r="G66" s="32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3"/>
      <c r="S66" s="313"/>
    </row>
    <row r="67" spans="1:19" x14ac:dyDescent="0.3">
      <c r="A67" s="312"/>
      <c r="B67" s="312"/>
      <c r="C67" s="312"/>
      <c r="D67" s="312"/>
      <c r="E67" s="312"/>
      <c r="F67" s="312"/>
      <c r="G67" s="32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3"/>
      <c r="S67" s="313"/>
    </row>
    <row r="68" spans="1:19" ht="15" thickBo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6"/>
      <c r="S68" s="16"/>
    </row>
    <row r="69" spans="1:19" ht="15" thickBot="1" x14ac:dyDescent="0.35">
      <c r="A69" s="397" t="s">
        <v>38</v>
      </c>
      <c r="B69" s="395"/>
      <c r="C69" s="395"/>
      <c r="D69" s="395"/>
      <c r="E69" s="395"/>
      <c r="F69" s="395"/>
      <c r="G69" s="395"/>
      <c r="H69" s="395"/>
      <c r="I69" s="395"/>
      <c r="J69" s="396"/>
      <c r="K69" s="13"/>
      <c r="L69" s="13"/>
      <c r="M69" s="13"/>
      <c r="N69" s="13"/>
      <c r="O69" s="13"/>
      <c r="P69" s="13"/>
      <c r="Q69" s="13"/>
      <c r="R69" s="16"/>
      <c r="S69" s="16"/>
    </row>
    <row r="70" spans="1:19" ht="15" thickBot="1" x14ac:dyDescent="0.35">
      <c r="A70" s="397" t="s">
        <v>9</v>
      </c>
      <c r="B70" s="396"/>
      <c r="C70" s="398" t="s">
        <v>122</v>
      </c>
      <c r="D70" s="396"/>
      <c r="E70" s="398" t="s">
        <v>165</v>
      </c>
      <c r="F70" s="396"/>
      <c r="G70" s="398" t="s">
        <v>207</v>
      </c>
      <c r="H70" s="396"/>
      <c r="I70" s="398" t="s">
        <v>239</v>
      </c>
      <c r="J70" s="396"/>
      <c r="K70" s="13"/>
      <c r="L70" s="13"/>
      <c r="M70" s="13"/>
      <c r="N70" s="13"/>
      <c r="O70" s="13"/>
      <c r="P70" s="13"/>
      <c r="Q70" s="13"/>
      <c r="R70" s="16"/>
      <c r="S70" s="16"/>
    </row>
    <row r="71" spans="1:19" x14ac:dyDescent="0.3">
      <c r="A71" s="399" t="s">
        <v>39</v>
      </c>
      <c r="B71" s="400"/>
      <c r="C71" s="403" t="s">
        <v>40</v>
      </c>
      <c r="D71" s="404"/>
      <c r="E71" s="403" t="s">
        <v>40</v>
      </c>
      <c r="F71" s="404"/>
      <c r="G71" s="403" t="s">
        <v>40</v>
      </c>
      <c r="H71" s="404"/>
      <c r="I71" s="403" t="s">
        <v>40</v>
      </c>
      <c r="J71" s="404"/>
      <c r="K71" s="13"/>
      <c r="L71" s="13"/>
      <c r="M71" s="13"/>
      <c r="N71" s="13"/>
      <c r="O71" s="13"/>
      <c r="P71" s="13"/>
      <c r="Q71" s="13"/>
      <c r="R71" s="16"/>
      <c r="S71" s="16"/>
    </row>
    <row r="72" spans="1:19" ht="15" thickBot="1" x14ac:dyDescent="0.35">
      <c r="A72" s="401"/>
      <c r="B72" s="402"/>
      <c r="C72" s="405"/>
      <c r="D72" s="406"/>
      <c r="E72" s="405"/>
      <c r="F72" s="406"/>
      <c r="G72" s="405"/>
      <c r="H72" s="406"/>
      <c r="I72" s="405"/>
      <c r="J72" s="406"/>
      <c r="K72" s="13"/>
      <c r="L72" s="13"/>
      <c r="M72" s="13"/>
      <c r="N72" s="13"/>
      <c r="O72" s="13"/>
      <c r="P72" s="13"/>
      <c r="Q72" s="13"/>
      <c r="R72" s="16"/>
      <c r="S72" s="16"/>
    </row>
    <row r="73" spans="1:19" ht="15" thickBot="1" x14ac:dyDescent="0.35">
      <c r="A73" s="407" t="s">
        <v>12</v>
      </c>
      <c r="B73" s="408"/>
      <c r="C73" s="409">
        <v>26734</v>
      </c>
      <c r="D73" s="410"/>
      <c r="E73" s="409">
        <v>26961</v>
      </c>
      <c r="F73" s="410"/>
      <c r="G73" s="409">
        <v>27298</v>
      </c>
      <c r="H73" s="410"/>
      <c r="I73" s="409">
        <v>27548</v>
      </c>
      <c r="J73" s="410"/>
      <c r="K73" s="13"/>
      <c r="L73" s="13"/>
      <c r="M73" s="13"/>
      <c r="N73" s="13"/>
      <c r="O73" s="13"/>
      <c r="P73" s="13"/>
      <c r="Q73" s="13"/>
      <c r="R73" s="16"/>
      <c r="S73" s="16"/>
    </row>
    <row r="74" spans="1:19" ht="15" thickBot="1" x14ac:dyDescent="0.35">
      <c r="A74" s="304" t="s">
        <v>13</v>
      </c>
      <c r="B74" s="305"/>
      <c r="C74" s="306">
        <v>6594</v>
      </c>
      <c r="D74" s="307"/>
      <c r="E74" s="306">
        <v>6631</v>
      </c>
      <c r="F74" s="307"/>
      <c r="G74" s="306">
        <v>6661</v>
      </c>
      <c r="H74" s="307"/>
      <c r="I74" s="306">
        <v>6721</v>
      </c>
      <c r="J74" s="307"/>
      <c r="K74" s="13"/>
      <c r="L74" s="13"/>
      <c r="M74" s="13"/>
      <c r="N74" s="13"/>
      <c r="O74" s="13"/>
      <c r="P74" s="13"/>
      <c r="Q74" s="13"/>
      <c r="R74" s="16"/>
      <c r="S74" s="16"/>
    </row>
    <row r="75" spans="1:19" ht="15" thickBot="1" x14ac:dyDescent="0.35">
      <c r="A75" s="304" t="s">
        <v>14</v>
      </c>
      <c r="B75" s="305"/>
      <c r="C75" s="306">
        <v>5540</v>
      </c>
      <c r="D75" s="307"/>
      <c r="E75" s="306">
        <v>5617</v>
      </c>
      <c r="F75" s="307"/>
      <c r="G75" s="306">
        <v>5694</v>
      </c>
      <c r="H75" s="307"/>
      <c r="I75" s="306">
        <v>5742</v>
      </c>
      <c r="J75" s="307"/>
      <c r="K75" s="13"/>
      <c r="L75" s="13"/>
      <c r="M75" s="13"/>
      <c r="N75" s="13"/>
      <c r="O75" s="13"/>
      <c r="P75" s="13"/>
      <c r="Q75" s="13"/>
      <c r="R75" s="16"/>
      <c r="S75" s="16"/>
    </row>
    <row r="76" spans="1:19" ht="15" thickBot="1" x14ac:dyDescent="0.35">
      <c r="A76" s="304" t="s">
        <v>41</v>
      </c>
      <c r="B76" s="305"/>
      <c r="C76" s="306">
        <v>1070</v>
      </c>
      <c r="D76" s="307"/>
      <c r="E76" s="306">
        <v>1120</v>
      </c>
      <c r="F76" s="307"/>
      <c r="G76" s="306">
        <v>1201</v>
      </c>
      <c r="H76" s="307"/>
      <c r="I76" s="306">
        <v>1228</v>
      </c>
      <c r="J76" s="307"/>
      <c r="K76" s="13"/>
      <c r="L76" s="13"/>
      <c r="M76" s="13"/>
      <c r="N76" s="13"/>
      <c r="O76" s="13"/>
      <c r="P76" s="13"/>
      <c r="Q76" s="13"/>
      <c r="R76" s="16"/>
      <c r="S76" s="16"/>
    </row>
    <row r="77" spans="1:19" ht="15" thickBot="1" x14ac:dyDescent="0.35">
      <c r="A77" s="304" t="s">
        <v>15</v>
      </c>
      <c r="B77" s="305"/>
      <c r="C77" s="306">
        <v>3930</v>
      </c>
      <c r="D77" s="307"/>
      <c r="E77" s="306">
        <v>4011</v>
      </c>
      <c r="F77" s="307"/>
      <c r="G77" s="306">
        <v>4090</v>
      </c>
      <c r="H77" s="307"/>
      <c r="I77" s="306">
        <v>4147</v>
      </c>
      <c r="J77" s="307"/>
      <c r="K77" s="13"/>
      <c r="L77" s="13"/>
      <c r="M77" s="13"/>
      <c r="N77" s="13"/>
      <c r="O77" s="13"/>
      <c r="P77" s="13"/>
      <c r="Q77" s="13"/>
      <c r="R77" s="16"/>
      <c r="S77" s="16"/>
    </row>
    <row r="78" spans="1:19" ht="15" thickBot="1" x14ac:dyDescent="0.35">
      <c r="A78" s="304" t="s">
        <v>16</v>
      </c>
      <c r="B78" s="305"/>
      <c r="C78" s="306">
        <v>4451</v>
      </c>
      <c r="D78" s="307"/>
      <c r="E78" s="306">
        <v>4483</v>
      </c>
      <c r="F78" s="307"/>
      <c r="G78" s="306">
        <v>4551</v>
      </c>
      <c r="H78" s="307"/>
      <c r="I78" s="306">
        <v>4580</v>
      </c>
      <c r="J78" s="307"/>
      <c r="K78" s="13"/>
      <c r="L78" s="13"/>
      <c r="M78" s="13"/>
      <c r="N78" s="13"/>
      <c r="O78" s="13"/>
      <c r="P78" s="13"/>
      <c r="Q78" s="13"/>
      <c r="R78" s="16"/>
      <c r="S78" s="16"/>
    </row>
    <row r="79" spans="1:19" ht="15" thickBot="1" x14ac:dyDescent="0.35">
      <c r="A79" s="304" t="s">
        <v>17</v>
      </c>
      <c r="B79" s="305"/>
      <c r="C79" s="306">
        <v>6110</v>
      </c>
      <c r="D79" s="307"/>
      <c r="E79" s="306">
        <v>6309</v>
      </c>
      <c r="F79" s="307"/>
      <c r="G79" s="306">
        <v>6464</v>
      </c>
      <c r="H79" s="307"/>
      <c r="I79" s="306">
        <v>6627</v>
      </c>
      <c r="J79" s="307"/>
      <c r="K79" s="13"/>
      <c r="L79" s="13"/>
      <c r="M79" s="13"/>
      <c r="N79" s="13"/>
      <c r="O79" s="13"/>
      <c r="P79" s="13"/>
      <c r="Q79" s="13"/>
      <c r="R79" s="16"/>
      <c r="S79" s="16"/>
    </row>
    <row r="80" spans="1:19" ht="15" thickBot="1" x14ac:dyDescent="0.35">
      <c r="A80" s="304" t="s">
        <v>18</v>
      </c>
      <c r="B80" s="305"/>
      <c r="C80" s="306">
        <v>1378</v>
      </c>
      <c r="D80" s="307"/>
      <c r="E80" s="306">
        <v>1389</v>
      </c>
      <c r="F80" s="307"/>
      <c r="G80" s="306">
        <v>1390</v>
      </c>
      <c r="H80" s="307"/>
      <c r="I80" s="306">
        <v>1435</v>
      </c>
      <c r="J80" s="307"/>
      <c r="K80" s="13"/>
      <c r="L80" s="13"/>
      <c r="M80" s="13"/>
      <c r="N80" s="13"/>
      <c r="O80" s="13"/>
      <c r="P80" s="13"/>
      <c r="Q80" s="13"/>
      <c r="R80" s="16"/>
      <c r="S80" s="16"/>
    </row>
    <row r="81" spans="1:19" ht="15" thickBot="1" x14ac:dyDescent="0.35">
      <c r="A81" s="304" t="s">
        <v>19</v>
      </c>
      <c r="B81" s="305"/>
      <c r="C81" s="306">
        <v>4835</v>
      </c>
      <c r="D81" s="307"/>
      <c r="E81" s="306">
        <v>4922</v>
      </c>
      <c r="F81" s="307"/>
      <c r="G81" s="306">
        <v>5008</v>
      </c>
      <c r="H81" s="307"/>
      <c r="I81" s="306">
        <v>5125</v>
      </c>
      <c r="J81" s="307"/>
      <c r="K81" s="13"/>
      <c r="L81" s="13"/>
      <c r="M81" s="13"/>
      <c r="N81" s="13"/>
      <c r="O81" s="13"/>
      <c r="P81" s="13"/>
      <c r="Q81" s="13"/>
      <c r="R81" s="16"/>
      <c r="S81" s="16"/>
    </row>
    <row r="82" spans="1:19" ht="15" thickBot="1" x14ac:dyDescent="0.35">
      <c r="A82" s="308" t="s">
        <v>42</v>
      </c>
      <c r="B82" s="309"/>
      <c r="C82" s="310">
        <v>60642</v>
      </c>
      <c r="D82" s="311"/>
      <c r="E82" s="310">
        <v>61443</v>
      </c>
      <c r="F82" s="311"/>
      <c r="G82" s="310">
        <v>62357</v>
      </c>
      <c r="H82" s="311"/>
      <c r="I82" s="310">
        <v>63153</v>
      </c>
      <c r="J82" s="311"/>
      <c r="K82" s="13"/>
      <c r="L82" s="13"/>
      <c r="M82" s="13"/>
      <c r="N82" s="13"/>
      <c r="O82" s="13"/>
      <c r="P82" s="13"/>
      <c r="Q82" s="13"/>
      <c r="R82" s="16"/>
      <c r="S82" s="16"/>
    </row>
  </sheetData>
  <mergeCells count="359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I69:J69"/>
    <mergeCell ref="A70:B70"/>
    <mergeCell ref="C70:D70"/>
    <mergeCell ref="E70:F70"/>
    <mergeCell ref="G70:H70"/>
    <mergeCell ref="I70:J70"/>
    <mergeCell ref="A69:H69"/>
    <mergeCell ref="A71:B72"/>
    <mergeCell ref="C71:D72"/>
    <mergeCell ref="E71:F72"/>
    <mergeCell ref="G71:H72"/>
    <mergeCell ref="I71:J72"/>
    <mergeCell ref="C60:D60"/>
    <mergeCell ref="E60:F60"/>
    <mergeCell ref="G60:H60"/>
    <mergeCell ref="I60:J60"/>
    <mergeCell ref="A59:B59"/>
    <mergeCell ref="C59:D59"/>
    <mergeCell ref="E59:F59"/>
    <mergeCell ref="G59:H59"/>
    <mergeCell ref="I59:J59"/>
    <mergeCell ref="A60:B60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46:K46"/>
    <mergeCell ref="K47:K49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47:J49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2:B32"/>
    <mergeCell ref="C32:D32"/>
    <mergeCell ref="E32:F32"/>
    <mergeCell ref="G32:H32"/>
    <mergeCell ref="I32:J32"/>
    <mergeCell ref="A35:B36"/>
    <mergeCell ref="C35:D35"/>
    <mergeCell ref="C36:D36"/>
    <mergeCell ref="E35:F35"/>
    <mergeCell ref="E36:F36"/>
    <mergeCell ref="G35:H35"/>
    <mergeCell ref="G36:H36"/>
    <mergeCell ref="I35:J35"/>
    <mergeCell ref="I36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2"/>
    <mergeCell ref="C23:D23"/>
    <mergeCell ref="E22:F22"/>
    <mergeCell ref="E23:F23"/>
    <mergeCell ref="G22:H22"/>
    <mergeCell ref="G23:H23"/>
    <mergeCell ref="I22:J22"/>
    <mergeCell ref="I23:J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5:B5"/>
    <mergeCell ref="C5:D5"/>
    <mergeCell ref="E5:F5"/>
    <mergeCell ref="G5:H5"/>
    <mergeCell ref="I5:J5"/>
    <mergeCell ref="K5:L5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P2:P3"/>
    <mergeCell ref="Q2:Q3"/>
    <mergeCell ref="A4:B4"/>
    <mergeCell ref="C4:Q4"/>
    <mergeCell ref="A2:B3"/>
    <mergeCell ref="C2:D2"/>
    <mergeCell ref="C3:D3"/>
    <mergeCell ref="E2:F2"/>
    <mergeCell ref="E3:F3"/>
    <mergeCell ref="G2:H2"/>
    <mergeCell ref="G3:H3"/>
    <mergeCell ref="I2:J2"/>
    <mergeCell ref="I3:J3"/>
    <mergeCell ref="K2:L2"/>
    <mergeCell ref="K3:L3"/>
    <mergeCell ref="A37:B37"/>
    <mergeCell ref="C37:K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L47:L49"/>
    <mergeCell ref="M47:M49"/>
    <mergeCell ref="N47:N49"/>
    <mergeCell ref="O47:O49"/>
    <mergeCell ref="P47:P49"/>
    <mergeCell ref="Q47:Q49"/>
    <mergeCell ref="R47:R49"/>
    <mergeCell ref="S47:S49"/>
    <mergeCell ref="A50:H50"/>
    <mergeCell ref="E62:F62"/>
    <mergeCell ref="G62:H62"/>
    <mergeCell ref="I62:J62"/>
    <mergeCell ref="C63:D64"/>
    <mergeCell ref="E63:F64"/>
    <mergeCell ref="G63:H64"/>
    <mergeCell ref="I63:J64"/>
    <mergeCell ref="A65:A67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A62:B64"/>
    <mergeCell ref="C62:D62"/>
    <mergeCell ref="K65:K67"/>
    <mergeCell ref="L65:L67"/>
    <mergeCell ref="M65:M67"/>
    <mergeCell ref="N65:N67"/>
    <mergeCell ref="O65:O67"/>
    <mergeCell ref="P65:P67"/>
    <mergeCell ref="Q65:Q67"/>
    <mergeCell ref="R65:R67"/>
    <mergeCell ref="S65:S67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81:B81"/>
    <mergeCell ref="C81:D81"/>
    <mergeCell ref="E81:F81"/>
    <mergeCell ref="G81:H81"/>
    <mergeCell ref="I81:J81"/>
    <mergeCell ref="A82:B82"/>
    <mergeCell ref="C82:D82"/>
    <mergeCell ref="E82:F82"/>
    <mergeCell ref="G82:H82"/>
    <mergeCell ref="I82:J8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78"/>
  <sheetViews>
    <sheetView workbookViewId="0">
      <selection activeCell="U17" sqref="U17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249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6296</v>
      </c>
      <c r="D5" s="299"/>
      <c r="E5" s="298">
        <v>3514</v>
      </c>
      <c r="F5" s="299"/>
      <c r="G5" s="298">
        <v>2988</v>
      </c>
      <c r="H5" s="299"/>
      <c r="I5" s="302">
        <v>11044</v>
      </c>
      <c r="J5" s="303"/>
      <c r="K5" s="302">
        <v>278</v>
      </c>
      <c r="L5" s="303"/>
      <c r="M5" s="12">
        <v>690</v>
      </c>
      <c r="N5" s="10">
        <v>1604</v>
      </c>
      <c r="O5" s="12">
        <v>2020</v>
      </c>
      <c r="P5" s="10">
        <v>1405</v>
      </c>
      <c r="Q5" s="10">
        <v>1185</v>
      </c>
    </row>
    <row r="6" spans="1:17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369</v>
      </c>
      <c r="D7" s="240"/>
      <c r="E7" s="239">
        <v>11</v>
      </c>
      <c r="F7" s="240"/>
      <c r="G7" s="239">
        <v>7</v>
      </c>
      <c r="H7" s="240"/>
      <c r="I7" s="239">
        <v>439</v>
      </c>
      <c r="J7" s="240"/>
      <c r="K7" s="239">
        <v>186</v>
      </c>
      <c r="L7" s="240"/>
      <c r="M7" s="1">
        <v>606</v>
      </c>
      <c r="N7" s="1">
        <v>40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235</v>
      </c>
      <c r="D8" s="240"/>
      <c r="E8" s="239">
        <v>120</v>
      </c>
      <c r="F8" s="240"/>
      <c r="G8" s="239">
        <v>120</v>
      </c>
      <c r="H8" s="240"/>
      <c r="I8" s="239">
        <v>12</v>
      </c>
      <c r="J8" s="240"/>
      <c r="K8" s="239">
        <v>0</v>
      </c>
      <c r="L8" s="240"/>
      <c r="M8" s="1">
        <v>155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140</v>
      </c>
      <c r="D9" s="240"/>
      <c r="E9" s="239">
        <v>69</v>
      </c>
      <c r="F9" s="240"/>
      <c r="G9" s="239">
        <v>0</v>
      </c>
      <c r="H9" s="240"/>
      <c r="I9" s="239">
        <v>6</v>
      </c>
      <c r="J9" s="240"/>
      <c r="K9" s="239">
        <v>5</v>
      </c>
      <c r="L9" s="240"/>
      <c r="M9" s="1">
        <v>199</v>
      </c>
      <c r="N9" s="1">
        <v>7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171</v>
      </c>
      <c r="D10" s="240"/>
      <c r="E10" s="239">
        <v>60</v>
      </c>
      <c r="F10" s="240"/>
      <c r="G10" s="239">
        <v>52</v>
      </c>
      <c r="H10" s="240"/>
      <c r="I10" s="239">
        <v>74</v>
      </c>
      <c r="J10" s="240"/>
      <c r="K10" s="239">
        <v>10</v>
      </c>
      <c r="L10" s="240"/>
      <c r="M10" s="1">
        <v>189</v>
      </c>
      <c r="N10" s="1">
        <v>30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279</v>
      </c>
      <c r="D11" s="246"/>
      <c r="E11" s="239">
        <v>14</v>
      </c>
      <c r="F11" s="240"/>
      <c r="G11" s="239">
        <v>0</v>
      </c>
      <c r="H11" s="240"/>
      <c r="I11" s="239">
        <v>115</v>
      </c>
      <c r="J11" s="240"/>
      <c r="K11" s="239">
        <v>175</v>
      </c>
      <c r="L11" s="240"/>
      <c r="M11" s="1">
        <v>92</v>
      </c>
      <c r="N11" s="1">
        <v>127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270</v>
      </c>
      <c r="D12" s="246"/>
      <c r="E12" s="239">
        <v>0</v>
      </c>
      <c r="F12" s="240"/>
      <c r="G12" s="239">
        <v>0</v>
      </c>
      <c r="H12" s="240"/>
      <c r="I12" s="239">
        <v>190</v>
      </c>
      <c r="J12" s="240"/>
      <c r="K12" s="239">
        <v>0</v>
      </c>
      <c r="L12" s="240"/>
      <c r="M12" s="1">
        <v>130</v>
      </c>
      <c r="N12" s="1">
        <v>90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318</v>
      </c>
      <c r="D13" s="246"/>
      <c r="E13" s="239">
        <v>0</v>
      </c>
      <c r="F13" s="240"/>
      <c r="G13" s="239">
        <v>0</v>
      </c>
      <c r="H13" s="240"/>
      <c r="I13" s="239">
        <v>161</v>
      </c>
      <c r="J13" s="240"/>
      <c r="K13" s="239">
        <v>2</v>
      </c>
      <c r="L13" s="240"/>
      <c r="M13" s="1">
        <v>88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375</v>
      </c>
      <c r="D14" s="248"/>
      <c r="E14" s="247">
        <v>68</v>
      </c>
      <c r="F14" s="248"/>
      <c r="G14" s="247">
        <v>48</v>
      </c>
      <c r="H14" s="248"/>
      <c r="I14" s="239">
        <v>130</v>
      </c>
      <c r="J14" s="240"/>
      <c r="K14" s="247">
        <v>0</v>
      </c>
      <c r="L14" s="248"/>
      <c r="M14" s="2">
        <v>265</v>
      </c>
      <c r="N14" s="2">
        <v>23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3178</v>
      </c>
      <c r="P15" s="2">
        <v>2530</v>
      </c>
      <c r="Q15" s="2">
        <v>2544</v>
      </c>
    </row>
    <row r="16" spans="1:17" ht="15" thickBot="1" x14ac:dyDescent="0.35">
      <c r="A16" s="199" t="s">
        <v>20</v>
      </c>
      <c r="B16" s="200"/>
      <c r="C16" s="201">
        <f>SUM(C5:D15)</f>
        <v>9412</v>
      </c>
      <c r="D16" s="202"/>
      <c r="E16" s="201">
        <f>SUM(E5:F15)</f>
        <v>3856</v>
      </c>
      <c r="F16" s="202"/>
      <c r="G16" s="201">
        <f>SUM(G5:H15)</f>
        <v>3215</v>
      </c>
      <c r="H16" s="202"/>
      <c r="I16" s="201">
        <f>SUM(I5:J15)</f>
        <v>12171</v>
      </c>
      <c r="J16" s="202"/>
      <c r="K16" s="201">
        <f>SUM(K5:L15)</f>
        <v>656</v>
      </c>
      <c r="L16" s="202"/>
      <c r="M16" s="3">
        <f>SUM(M5:M15)</f>
        <v>2414</v>
      </c>
      <c r="N16" s="4">
        <f>SUM(N5:N15)</f>
        <v>1990</v>
      </c>
      <c r="O16" s="4">
        <f>SUM(O5:O15)</f>
        <v>5281</v>
      </c>
      <c r="P16" s="4">
        <f>SUM(P5:P15)</f>
        <v>3992</v>
      </c>
      <c r="Q16" s="5">
        <f>SUM(Q5:Q15)</f>
        <v>3752</v>
      </c>
    </row>
    <row r="17" spans="1:17" x14ac:dyDescent="0.3">
      <c r="A17" s="190" t="s">
        <v>21</v>
      </c>
      <c r="B17" s="191"/>
      <c r="C17" s="251">
        <v>6096</v>
      </c>
      <c r="D17" s="252"/>
      <c r="E17" s="253">
        <v>3394</v>
      </c>
      <c r="F17" s="254"/>
      <c r="G17" s="255">
        <v>2904</v>
      </c>
      <c r="H17" s="256"/>
      <c r="I17" s="255">
        <v>11044</v>
      </c>
      <c r="J17" s="256"/>
      <c r="K17" s="253">
        <v>278</v>
      </c>
      <c r="L17" s="254"/>
      <c r="M17" s="9">
        <v>690</v>
      </c>
      <c r="N17" s="9">
        <v>1604</v>
      </c>
      <c r="O17" s="9">
        <v>2020</v>
      </c>
      <c r="P17" s="9">
        <v>1305</v>
      </c>
      <c r="Q17" s="9">
        <v>1065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249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243</v>
      </c>
      <c r="D25" s="259"/>
      <c r="E25" s="260" t="s">
        <v>133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22</v>
      </c>
      <c r="D26" s="259"/>
      <c r="E26" s="260" t="s">
        <v>25</v>
      </c>
      <c r="F26" s="261"/>
      <c r="G26" s="258">
        <v>0</v>
      </c>
      <c r="H26" s="259"/>
      <c r="I26" s="258">
        <v>65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139</v>
      </c>
      <c r="D27" s="259"/>
      <c r="E27" s="260" t="s">
        <v>244</v>
      </c>
      <c r="F27" s="261"/>
      <c r="G27" s="258">
        <v>1</v>
      </c>
      <c r="H27" s="259"/>
      <c r="I27" s="258">
        <v>52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223</v>
      </c>
      <c r="F28" s="261"/>
      <c r="G28" s="258">
        <v>0</v>
      </c>
      <c r="H28" s="259"/>
      <c r="I28" s="258">
        <v>10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240</v>
      </c>
      <c r="D29" s="271"/>
      <c r="E29" s="260" t="s">
        <v>241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15</v>
      </c>
      <c r="D30" s="271"/>
      <c r="E30" s="258" t="s">
        <v>166</v>
      </c>
      <c r="F30" s="259"/>
      <c r="G30" s="258">
        <v>0</v>
      </c>
      <c r="H30" s="259"/>
      <c r="I30" s="258">
        <v>7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26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8</v>
      </c>
      <c r="D32" s="259"/>
      <c r="E32" s="260" t="s">
        <v>25</v>
      </c>
      <c r="F32" s="261"/>
      <c r="G32" s="258">
        <v>0</v>
      </c>
      <c r="H32" s="259"/>
      <c r="I32" s="258">
        <v>4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249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182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271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251</v>
      </c>
      <c r="D40" s="259"/>
      <c r="E40" s="276" t="s">
        <v>94</v>
      </c>
      <c r="F40" s="277"/>
      <c r="G40" s="258">
        <v>6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237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242</v>
      </c>
      <c r="D42" s="271"/>
      <c r="E42" s="276" t="s">
        <v>232</v>
      </c>
      <c r="F42" s="277"/>
      <c r="G42" s="258">
        <v>0</v>
      </c>
      <c r="H42" s="259"/>
      <c r="I42" s="258" t="s">
        <v>243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250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225</v>
      </c>
      <c r="D49" s="146"/>
      <c r="E49" s="145" t="s">
        <v>229</v>
      </c>
      <c r="F49" s="146"/>
      <c r="G49" s="145" t="s">
        <v>238</v>
      </c>
      <c r="H49" s="146"/>
      <c r="I49" s="145" t="s">
        <v>249</v>
      </c>
      <c r="J49" s="146"/>
    </row>
    <row r="50" spans="1:11" x14ac:dyDescent="0.3">
      <c r="A50" s="284" t="s">
        <v>30</v>
      </c>
      <c r="B50" s="285"/>
      <c r="C50" s="300">
        <v>14055</v>
      </c>
      <c r="D50" s="301"/>
      <c r="E50" s="300">
        <v>14001</v>
      </c>
      <c r="F50" s="301"/>
      <c r="G50" s="300">
        <v>13980</v>
      </c>
      <c r="H50" s="301"/>
      <c r="I50" s="300">
        <v>13957</v>
      </c>
      <c r="J50" s="301"/>
    </row>
    <row r="51" spans="1:11" x14ac:dyDescent="0.3">
      <c r="A51" s="284" t="s">
        <v>31</v>
      </c>
      <c r="B51" s="285"/>
      <c r="C51" s="286">
        <v>8385</v>
      </c>
      <c r="D51" s="287"/>
      <c r="E51" s="286">
        <v>8394</v>
      </c>
      <c r="F51" s="287"/>
      <c r="G51" s="286">
        <v>8407</v>
      </c>
      <c r="H51" s="287"/>
      <c r="I51" s="286">
        <v>8422</v>
      </c>
      <c r="J51" s="287"/>
    </row>
    <row r="52" spans="1:11" x14ac:dyDescent="0.3">
      <c r="A52" s="284" t="s">
        <v>32</v>
      </c>
      <c r="B52" s="285"/>
      <c r="C52" s="300">
        <v>115541</v>
      </c>
      <c r="D52" s="301"/>
      <c r="E52" s="300">
        <v>115457</v>
      </c>
      <c r="F52" s="301"/>
      <c r="G52" s="300">
        <v>115405</v>
      </c>
      <c r="H52" s="301"/>
      <c r="I52" s="300">
        <v>115364</v>
      </c>
      <c r="J52" s="301"/>
    </row>
    <row r="53" spans="1:11" x14ac:dyDescent="0.3">
      <c r="A53" s="284" t="s">
        <v>33</v>
      </c>
      <c r="B53" s="285"/>
      <c r="C53" s="286">
        <v>235</v>
      </c>
      <c r="D53" s="287"/>
      <c r="E53" s="286">
        <v>235</v>
      </c>
      <c r="F53" s="287"/>
      <c r="G53" s="286">
        <v>237</v>
      </c>
      <c r="H53" s="287"/>
      <c r="I53" s="286">
        <v>238</v>
      </c>
      <c r="J53" s="287"/>
    </row>
    <row r="54" spans="1:11" x14ac:dyDescent="0.3">
      <c r="A54" s="284" t="s">
        <v>34</v>
      </c>
      <c r="B54" s="285"/>
      <c r="C54" s="300">
        <v>51805</v>
      </c>
      <c r="D54" s="301"/>
      <c r="E54" s="300">
        <v>51764</v>
      </c>
      <c r="F54" s="301"/>
      <c r="G54" s="300">
        <v>51727</v>
      </c>
      <c r="H54" s="301"/>
      <c r="I54" s="300">
        <v>51693</v>
      </c>
      <c r="J54" s="301"/>
    </row>
    <row r="55" spans="1:11" x14ac:dyDescent="0.3">
      <c r="A55" s="284" t="s">
        <v>53</v>
      </c>
      <c r="B55" s="285"/>
      <c r="C55" s="286">
        <v>3832</v>
      </c>
      <c r="D55" s="287"/>
      <c r="E55" s="286">
        <v>3914</v>
      </c>
      <c r="F55" s="287"/>
      <c r="G55" s="286">
        <v>3959</v>
      </c>
      <c r="H55" s="287"/>
      <c r="I55" s="286">
        <v>3984</v>
      </c>
      <c r="J55" s="287"/>
    </row>
    <row r="56" spans="1:11" x14ac:dyDescent="0.3">
      <c r="A56" s="284" t="s">
        <v>49</v>
      </c>
      <c r="B56" s="285"/>
      <c r="C56" s="300">
        <v>11396</v>
      </c>
      <c r="D56" s="301"/>
      <c r="E56" s="300">
        <v>11587</v>
      </c>
      <c r="F56" s="301"/>
      <c r="G56" s="300">
        <v>11698</v>
      </c>
      <c r="H56" s="301"/>
      <c r="I56" s="300">
        <v>11839</v>
      </c>
      <c r="J56" s="301"/>
      <c r="K56" s="11"/>
    </row>
    <row r="57" spans="1:11" x14ac:dyDescent="0.3">
      <c r="A57" s="284" t="s">
        <v>35</v>
      </c>
      <c r="B57" s="285"/>
      <c r="C57" s="286">
        <v>1542</v>
      </c>
      <c r="D57" s="287"/>
      <c r="E57" s="286">
        <v>1574</v>
      </c>
      <c r="F57" s="287"/>
      <c r="G57" s="286">
        <v>1594</v>
      </c>
      <c r="H57" s="287"/>
      <c r="I57" s="286">
        <v>1608</v>
      </c>
      <c r="J57" s="287"/>
    </row>
    <row r="58" spans="1:11" x14ac:dyDescent="0.3">
      <c r="A58" s="120" t="s">
        <v>36</v>
      </c>
      <c r="B58" s="121"/>
      <c r="C58" s="103">
        <f>SUM(C50:D57)</f>
        <v>206791</v>
      </c>
      <c r="D58" s="104"/>
      <c r="E58" s="103">
        <f>SUM(E50:F57)</f>
        <v>206926</v>
      </c>
      <c r="F58" s="104"/>
      <c r="G58" s="122">
        <f>SUM(G50:H57)</f>
        <v>207007</v>
      </c>
      <c r="H58" s="123"/>
      <c r="I58" s="122">
        <f>SUM(I50:J57)</f>
        <v>207105</v>
      </c>
      <c r="J58" s="123"/>
    </row>
    <row r="60" spans="1:11" x14ac:dyDescent="0.3">
      <c r="A60" s="124" t="s">
        <v>37</v>
      </c>
      <c r="B60" s="125"/>
      <c r="C60" s="130" t="s">
        <v>225</v>
      </c>
      <c r="D60" s="131"/>
      <c r="E60" s="130" t="s">
        <v>229</v>
      </c>
      <c r="F60" s="131"/>
      <c r="G60" s="130" t="s">
        <v>238</v>
      </c>
      <c r="H60" s="131"/>
      <c r="I60" s="130" t="s">
        <v>249</v>
      </c>
      <c r="J60" s="131"/>
    </row>
    <row r="61" spans="1:11" x14ac:dyDescent="0.3">
      <c r="A61" s="126"/>
      <c r="B61" s="127"/>
      <c r="C61" s="288">
        <v>136125</v>
      </c>
      <c r="D61" s="289"/>
      <c r="E61" s="288">
        <v>136311</v>
      </c>
      <c r="F61" s="289"/>
      <c r="G61" s="288">
        <v>136397</v>
      </c>
      <c r="H61" s="289"/>
      <c r="I61" s="288">
        <v>136469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122</v>
      </c>
      <c r="D66" s="115"/>
      <c r="E66" s="114" t="s">
        <v>165</v>
      </c>
      <c r="F66" s="115"/>
      <c r="G66" s="114" t="s">
        <v>207</v>
      </c>
      <c r="H66" s="115"/>
      <c r="I66" s="114" t="s">
        <v>239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26734</v>
      </c>
      <c r="D69" s="287"/>
      <c r="E69" s="286">
        <v>26961</v>
      </c>
      <c r="F69" s="287"/>
      <c r="G69" s="286">
        <v>27298</v>
      </c>
      <c r="H69" s="287"/>
      <c r="I69" s="286">
        <v>27548</v>
      </c>
      <c r="J69" s="287"/>
    </row>
    <row r="70" spans="1:10" x14ac:dyDescent="0.3">
      <c r="A70" s="101" t="s">
        <v>13</v>
      </c>
      <c r="B70" s="102"/>
      <c r="C70" s="286">
        <v>6594</v>
      </c>
      <c r="D70" s="287"/>
      <c r="E70" s="286">
        <v>6631</v>
      </c>
      <c r="F70" s="287"/>
      <c r="G70" s="286">
        <v>6661</v>
      </c>
      <c r="H70" s="287"/>
      <c r="I70" s="286">
        <v>6721</v>
      </c>
      <c r="J70" s="287"/>
    </row>
    <row r="71" spans="1:10" x14ac:dyDescent="0.3">
      <c r="A71" s="107" t="s">
        <v>14</v>
      </c>
      <c r="B71" s="108"/>
      <c r="C71" s="286">
        <v>5540</v>
      </c>
      <c r="D71" s="287"/>
      <c r="E71" s="286">
        <v>5617</v>
      </c>
      <c r="F71" s="287"/>
      <c r="G71" s="286">
        <v>5694</v>
      </c>
      <c r="H71" s="287"/>
      <c r="I71" s="286">
        <v>5742</v>
      </c>
      <c r="J71" s="287"/>
    </row>
    <row r="72" spans="1:10" x14ac:dyDescent="0.3">
      <c r="A72" s="107" t="s">
        <v>41</v>
      </c>
      <c r="B72" s="108"/>
      <c r="C72" s="286">
        <v>1070</v>
      </c>
      <c r="D72" s="287"/>
      <c r="E72" s="286">
        <v>1120</v>
      </c>
      <c r="F72" s="287"/>
      <c r="G72" s="286">
        <v>1201</v>
      </c>
      <c r="H72" s="287"/>
      <c r="I72" s="286">
        <v>1228</v>
      </c>
      <c r="J72" s="287"/>
    </row>
    <row r="73" spans="1:10" x14ac:dyDescent="0.3">
      <c r="A73" s="101" t="s">
        <v>15</v>
      </c>
      <c r="B73" s="102"/>
      <c r="C73" s="286">
        <v>3930</v>
      </c>
      <c r="D73" s="287"/>
      <c r="E73" s="286">
        <v>4011</v>
      </c>
      <c r="F73" s="287"/>
      <c r="G73" s="286">
        <v>4090</v>
      </c>
      <c r="H73" s="287"/>
      <c r="I73" s="286">
        <v>4147</v>
      </c>
      <c r="J73" s="287"/>
    </row>
    <row r="74" spans="1:10" x14ac:dyDescent="0.3">
      <c r="A74" s="107" t="s">
        <v>16</v>
      </c>
      <c r="B74" s="108"/>
      <c r="C74" s="286">
        <v>4451</v>
      </c>
      <c r="D74" s="287"/>
      <c r="E74" s="286">
        <v>4483</v>
      </c>
      <c r="F74" s="287"/>
      <c r="G74" s="286">
        <v>4551</v>
      </c>
      <c r="H74" s="287"/>
      <c r="I74" s="286">
        <v>4580</v>
      </c>
      <c r="J74" s="287"/>
    </row>
    <row r="75" spans="1:10" x14ac:dyDescent="0.3">
      <c r="A75" s="101" t="s">
        <v>17</v>
      </c>
      <c r="B75" s="102"/>
      <c r="C75" s="286">
        <v>6110</v>
      </c>
      <c r="D75" s="287"/>
      <c r="E75" s="286">
        <v>6309</v>
      </c>
      <c r="F75" s="287"/>
      <c r="G75" s="286">
        <v>6464</v>
      </c>
      <c r="H75" s="287"/>
      <c r="I75" s="286">
        <v>6627</v>
      </c>
      <c r="J75" s="287"/>
    </row>
    <row r="76" spans="1:10" x14ac:dyDescent="0.3">
      <c r="A76" s="107" t="s">
        <v>18</v>
      </c>
      <c r="B76" s="108"/>
      <c r="C76" s="286">
        <v>1378</v>
      </c>
      <c r="D76" s="287"/>
      <c r="E76" s="286">
        <v>1389</v>
      </c>
      <c r="F76" s="287"/>
      <c r="G76" s="286">
        <v>1390</v>
      </c>
      <c r="H76" s="287"/>
      <c r="I76" s="286">
        <v>1435</v>
      </c>
      <c r="J76" s="287"/>
    </row>
    <row r="77" spans="1:10" x14ac:dyDescent="0.3">
      <c r="A77" s="101" t="s">
        <v>19</v>
      </c>
      <c r="B77" s="102"/>
      <c r="C77" s="286">
        <v>4835</v>
      </c>
      <c r="D77" s="287"/>
      <c r="E77" s="286">
        <v>4922</v>
      </c>
      <c r="F77" s="287"/>
      <c r="G77" s="286">
        <v>5008</v>
      </c>
      <c r="H77" s="287"/>
      <c r="I77" s="286">
        <v>5125</v>
      </c>
      <c r="J77" s="287"/>
    </row>
    <row r="78" spans="1:10" x14ac:dyDescent="0.3">
      <c r="A78" s="105" t="s">
        <v>42</v>
      </c>
      <c r="B78" s="106"/>
      <c r="C78" s="103">
        <f>SUM(C69:C77)</f>
        <v>60642</v>
      </c>
      <c r="D78" s="104"/>
      <c r="E78" s="103">
        <f>SUM(E69:E77)</f>
        <v>61443</v>
      </c>
      <c r="F78" s="104"/>
      <c r="G78" s="103">
        <f>SUM(G69:G77)</f>
        <v>62357</v>
      </c>
      <c r="H78" s="104"/>
      <c r="I78" s="103">
        <f>SUM(I69:I77)</f>
        <v>63153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272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5346</v>
      </c>
      <c r="D5" s="299"/>
      <c r="E5" s="298">
        <v>3250</v>
      </c>
      <c r="F5" s="299"/>
      <c r="G5" s="298">
        <v>2784</v>
      </c>
      <c r="H5" s="299"/>
      <c r="I5" s="302">
        <v>10913</v>
      </c>
      <c r="J5" s="303"/>
      <c r="K5" s="302">
        <v>278</v>
      </c>
      <c r="L5" s="303"/>
      <c r="M5" s="12">
        <v>330</v>
      </c>
      <c r="N5" s="10">
        <v>1504</v>
      </c>
      <c r="O5" s="12">
        <v>1353</v>
      </c>
      <c r="P5" s="10">
        <v>949</v>
      </c>
      <c r="Q5" s="10">
        <v>671</v>
      </c>
    </row>
    <row r="6" spans="1:17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273</v>
      </c>
      <c r="D7" s="240"/>
      <c r="E7" s="239">
        <v>7</v>
      </c>
      <c r="F7" s="240"/>
      <c r="G7" s="239">
        <v>4</v>
      </c>
      <c r="H7" s="240"/>
      <c r="I7" s="239">
        <v>317</v>
      </c>
      <c r="J7" s="240"/>
      <c r="K7" s="239">
        <v>161</v>
      </c>
      <c r="L7" s="240"/>
      <c r="M7" s="1">
        <v>399</v>
      </c>
      <c r="N7" s="1">
        <v>32</v>
      </c>
      <c r="O7" s="1">
        <v>1</v>
      </c>
      <c r="P7" s="1">
        <v>5</v>
      </c>
      <c r="Q7" s="1">
        <v>15</v>
      </c>
    </row>
    <row r="8" spans="1:17" x14ac:dyDescent="0.3">
      <c r="A8" s="101" t="s">
        <v>13</v>
      </c>
      <c r="B8" s="102"/>
      <c r="C8" s="239">
        <v>185</v>
      </c>
      <c r="D8" s="240"/>
      <c r="E8" s="239">
        <v>95</v>
      </c>
      <c r="F8" s="240"/>
      <c r="G8" s="239">
        <v>120</v>
      </c>
      <c r="H8" s="240"/>
      <c r="I8" s="239">
        <v>0</v>
      </c>
      <c r="J8" s="240"/>
      <c r="K8" s="239">
        <v>0</v>
      </c>
      <c r="L8" s="240"/>
      <c r="M8" s="1">
        <v>140</v>
      </c>
      <c r="N8" s="1">
        <v>15</v>
      </c>
      <c r="O8" s="1">
        <v>0</v>
      </c>
      <c r="P8" s="1">
        <v>0</v>
      </c>
      <c r="Q8" s="1">
        <v>0</v>
      </c>
    </row>
    <row r="9" spans="1:17" x14ac:dyDescent="0.3">
      <c r="A9" s="101" t="s">
        <v>14</v>
      </c>
      <c r="B9" s="102"/>
      <c r="C9" s="239">
        <v>230</v>
      </c>
      <c r="D9" s="240"/>
      <c r="E9" s="239">
        <v>240</v>
      </c>
      <c r="F9" s="240"/>
      <c r="G9" s="239">
        <v>0</v>
      </c>
      <c r="H9" s="240"/>
      <c r="I9" s="239">
        <v>6</v>
      </c>
      <c r="J9" s="240"/>
      <c r="K9" s="239">
        <v>4</v>
      </c>
      <c r="L9" s="240"/>
      <c r="M9" s="1">
        <v>166</v>
      </c>
      <c r="N9" s="1">
        <v>4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130</v>
      </c>
      <c r="D10" s="240"/>
      <c r="E10" s="239">
        <v>58</v>
      </c>
      <c r="F10" s="240"/>
      <c r="G10" s="239">
        <v>46</v>
      </c>
      <c r="H10" s="240"/>
      <c r="I10" s="239">
        <v>70</v>
      </c>
      <c r="J10" s="240"/>
      <c r="K10" s="239">
        <v>10</v>
      </c>
      <c r="L10" s="240"/>
      <c r="M10" s="1">
        <v>181</v>
      </c>
      <c r="N10" s="1">
        <v>15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275</v>
      </c>
      <c r="D11" s="246"/>
      <c r="E11" s="239">
        <v>14</v>
      </c>
      <c r="F11" s="240"/>
      <c r="G11" s="239">
        <v>0</v>
      </c>
      <c r="H11" s="240"/>
      <c r="I11" s="239">
        <v>112</v>
      </c>
      <c r="J11" s="240"/>
      <c r="K11" s="239">
        <v>170</v>
      </c>
      <c r="L11" s="240"/>
      <c r="M11" s="1">
        <v>87</v>
      </c>
      <c r="N11" s="1">
        <v>121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240</v>
      </c>
      <c r="D12" s="246"/>
      <c r="E12" s="239">
        <v>0</v>
      </c>
      <c r="F12" s="240"/>
      <c r="G12" s="239">
        <v>0</v>
      </c>
      <c r="H12" s="240"/>
      <c r="I12" s="239">
        <v>140</v>
      </c>
      <c r="J12" s="240"/>
      <c r="K12" s="239">
        <v>0</v>
      </c>
      <c r="L12" s="240"/>
      <c r="M12" s="1">
        <v>355</v>
      </c>
      <c r="N12" s="1">
        <v>88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312</v>
      </c>
      <c r="D13" s="246"/>
      <c r="E13" s="239">
        <v>0</v>
      </c>
      <c r="F13" s="240"/>
      <c r="G13" s="239">
        <v>0</v>
      </c>
      <c r="H13" s="240"/>
      <c r="I13" s="239">
        <v>154</v>
      </c>
      <c r="J13" s="240"/>
      <c r="K13" s="239">
        <v>2</v>
      </c>
      <c r="L13" s="240"/>
      <c r="M13" s="1">
        <v>79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331</v>
      </c>
      <c r="D14" s="248"/>
      <c r="E14" s="247">
        <v>56</v>
      </c>
      <c r="F14" s="248"/>
      <c r="G14" s="247">
        <v>41</v>
      </c>
      <c r="H14" s="248"/>
      <c r="I14" s="239">
        <v>121</v>
      </c>
      <c r="J14" s="240"/>
      <c r="K14" s="247">
        <v>0</v>
      </c>
      <c r="L14" s="248"/>
      <c r="M14" s="2">
        <v>250</v>
      </c>
      <c r="N14" s="2">
        <v>23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3301</v>
      </c>
      <c r="P15" s="2">
        <v>2729</v>
      </c>
      <c r="Q15" s="2">
        <v>2703</v>
      </c>
    </row>
    <row r="16" spans="1:17" ht="15" thickBot="1" x14ac:dyDescent="0.35">
      <c r="A16" s="199" t="s">
        <v>20</v>
      </c>
      <c r="B16" s="200"/>
      <c r="C16" s="201">
        <f>SUM(C5:D15)</f>
        <v>8281</v>
      </c>
      <c r="D16" s="202"/>
      <c r="E16" s="201">
        <f>SUM(E5:F15)</f>
        <v>3720</v>
      </c>
      <c r="F16" s="202"/>
      <c r="G16" s="201">
        <f>SUM(G5:H15)</f>
        <v>2995</v>
      </c>
      <c r="H16" s="202"/>
      <c r="I16" s="201">
        <f>SUM(I5:J15)</f>
        <v>11833</v>
      </c>
      <c r="J16" s="202"/>
      <c r="K16" s="201">
        <f>SUM(K5:L15)</f>
        <v>625</v>
      </c>
      <c r="L16" s="202"/>
      <c r="M16" s="3">
        <f>SUM(M5:M15)</f>
        <v>1987</v>
      </c>
      <c r="N16" s="4">
        <f>SUM(N5:N15)</f>
        <v>1856</v>
      </c>
      <c r="O16" s="4">
        <f>SUM(O5:O15)</f>
        <v>4737</v>
      </c>
      <c r="P16" s="4">
        <f>SUM(P5:P15)</f>
        <v>3725</v>
      </c>
      <c r="Q16" s="5">
        <f>SUM(Q5:Q15)</f>
        <v>3395</v>
      </c>
    </row>
    <row r="17" spans="1:17" x14ac:dyDescent="0.3">
      <c r="A17" s="190" t="s">
        <v>21</v>
      </c>
      <c r="B17" s="191"/>
      <c r="C17" s="251">
        <v>5346</v>
      </c>
      <c r="D17" s="252"/>
      <c r="E17" s="253">
        <v>3250</v>
      </c>
      <c r="F17" s="254"/>
      <c r="G17" s="255">
        <v>2784</v>
      </c>
      <c r="H17" s="256"/>
      <c r="I17" s="255">
        <v>10913</v>
      </c>
      <c r="J17" s="256"/>
      <c r="K17" s="253">
        <v>278</v>
      </c>
      <c r="L17" s="254"/>
      <c r="M17" s="9">
        <v>330</v>
      </c>
      <c r="N17" s="9">
        <v>1504</v>
      </c>
      <c r="O17" s="9">
        <v>1353</v>
      </c>
      <c r="P17" s="9">
        <v>949</v>
      </c>
      <c r="Q17" s="9">
        <v>671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ht="9" customHeight="1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272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240</v>
      </c>
      <c r="D25" s="259"/>
      <c r="E25" s="260" t="s">
        <v>278</v>
      </c>
      <c r="F25" s="261"/>
      <c r="G25" s="258">
        <v>0</v>
      </c>
      <c r="H25" s="259"/>
      <c r="I25" s="258">
        <v>188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24</v>
      </c>
      <c r="D26" s="259"/>
      <c r="E26" s="260" t="s">
        <v>25</v>
      </c>
      <c r="F26" s="261"/>
      <c r="G26" s="258">
        <v>0</v>
      </c>
      <c r="H26" s="259"/>
      <c r="I26" s="258">
        <v>68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95</v>
      </c>
      <c r="D27" s="259"/>
      <c r="E27" s="260" t="s">
        <v>276</v>
      </c>
      <c r="F27" s="261"/>
      <c r="G27" s="258">
        <v>6</v>
      </c>
      <c r="H27" s="259"/>
      <c r="I27" s="258">
        <v>50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274</v>
      </c>
      <c r="F28" s="261"/>
      <c r="G28" s="258">
        <v>0</v>
      </c>
      <c r="H28" s="259"/>
      <c r="I28" s="258">
        <v>6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240</v>
      </c>
      <c r="D29" s="271"/>
      <c r="E29" s="260" t="s">
        <v>241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18</v>
      </c>
      <c r="D30" s="271"/>
      <c r="E30" s="258" t="s">
        <v>166</v>
      </c>
      <c r="F30" s="259"/>
      <c r="G30" s="258">
        <v>0</v>
      </c>
      <c r="H30" s="259"/>
      <c r="I30" s="258">
        <v>5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32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10</v>
      </c>
      <c r="D32" s="259"/>
      <c r="E32" s="260" t="s">
        <v>25</v>
      </c>
      <c r="F32" s="261"/>
      <c r="G32" s="258">
        <v>0</v>
      </c>
      <c r="H32" s="259"/>
      <c r="I32" s="258">
        <v>4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272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279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280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243</v>
      </c>
      <c r="D40" s="259"/>
      <c r="E40" s="276" t="s">
        <v>200</v>
      </c>
      <c r="F40" s="277"/>
      <c r="G40" s="258">
        <v>6</v>
      </c>
      <c r="H40" s="259"/>
      <c r="I40" s="258" t="s">
        <v>277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275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242</v>
      </c>
      <c r="D42" s="271"/>
      <c r="E42" s="276" t="s">
        <v>232</v>
      </c>
      <c r="F42" s="277"/>
      <c r="G42" s="258">
        <v>0</v>
      </c>
      <c r="H42" s="259"/>
      <c r="I42" s="258" t="s">
        <v>243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273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229</v>
      </c>
      <c r="D49" s="146"/>
      <c r="E49" s="145" t="s">
        <v>238</v>
      </c>
      <c r="F49" s="146"/>
      <c r="G49" s="145" t="s">
        <v>249</v>
      </c>
      <c r="H49" s="146"/>
      <c r="I49" s="145" t="s">
        <v>272</v>
      </c>
      <c r="J49" s="146"/>
    </row>
    <row r="50" spans="1:11" x14ac:dyDescent="0.3">
      <c r="A50" s="284" t="s">
        <v>30</v>
      </c>
      <c r="B50" s="285"/>
      <c r="C50" s="300">
        <v>14001</v>
      </c>
      <c r="D50" s="301"/>
      <c r="E50" s="300">
        <v>13980</v>
      </c>
      <c r="F50" s="301"/>
      <c r="G50" s="300">
        <v>13957</v>
      </c>
      <c r="H50" s="301"/>
      <c r="I50" s="300">
        <v>13906</v>
      </c>
      <c r="J50" s="301"/>
    </row>
    <row r="51" spans="1:11" x14ac:dyDescent="0.3">
      <c r="A51" s="284" t="s">
        <v>31</v>
      </c>
      <c r="B51" s="285"/>
      <c r="C51" s="286">
        <v>8394</v>
      </c>
      <c r="D51" s="287"/>
      <c r="E51" s="286">
        <v>8407</v>
      </c>
      <c r="F51" s="287"/>
      <c r="G51" s="286">
        <v>8422</v>
      </c>
      <c r="H51" s="287"/>
      <c r="I51" s="286">
        <v>8452</v>
      </c>
      <c r="J51" s="287"/>
    </row>
    <row r="52" spans="1:11" x14ac:dyDescent="0.3">
      <c r="A52" s="284" t="s">
        <v>32</v>
      </c>
      <c r="B52" s="285"/>
      <c r="C52" s="300">
        <v>115457</v>
      </c>
      <c r="D52" s="301"/>
      <c r="E52" s="300">
        <v>115405</v>
      </c>
      <c r="F52" s="301"/>
      <c r="G52" s="300">
        <v>115364</v>
      </c>
      <c r="H52" s="301"/>
      <c r="I52" s="300">
        <v>115328</v>
      </c>
      <c r="J52" s="301"/>
    </row>
    <row r="53" spans="1:11" x14ac:dyDescent="0.3">
      <c r="A53" s="284" t="s">
        <v>33</v>
      </c>
      <c r="B53" s="285"/>
      <c r="C53" s="286">
        <v>235</v>
      </c>
      <c r="D53" s="287"/>
      <c r="E53" s="286">
        <v>237</v>
      </c>
      <c r="F53" s="287"/>
      <c r="G53" s="286">
        <v>238</v>
      </c>
      <c r="H53" s="287"/>
      <c r="I53" s="286">
        <v>238</v>
      </c>
      <c r="J53" s="287"/>
    </row>
    <row r="54" spans="1:11" x14ac:dyDescent="0.3">
      <c r="A54" s="284" t="s">
        <v>34</v>
      </c>
      <c r="B54" s="285"/>
      <c r="C54" s="300">
        <v>51764</v>
      </c>
      <c r="D54" s="301"/>
      <c r="E54" s="300">
        <v>51727</v>
      </c>
      <c r="F54" s="301"/>
      <c r="G54" s="300">
        <v>51693</v>
      </c>
      <c r="H54" s="301"/>
      <c r="I54" s="300">
        <v>51663</v>
      </c>
      <c r="J54" s="301"/>
    </row>
    <row r="55" spans="1:11" x14ac:dyDescent="0.3">
      <c r="A55" s="284" t="s">
        <v>53</v>
      </c>
      <c r="B55" s="285"/>
      <c r="C55" s="286">
        <v>3914</v>
      </c>
      <c r="D55" s="287"/>
      <c r="E55" s="286">
        <v>3959</v>
      </c>
      <c r="F55" s="287"/>
      <c r="G55" s="286">
        <v>3984</v>
      </c>
      <c r="H55" s="287"/>
      <c r="I55" s="286">
        <v>4006</v>
      </c>
      <c r="J55" s="287"/>
    </row>
    <row r="56" spans="1:11" x14ac:dyDescent="0.3">
      <c r="A56" s="284" t="s">
        <v>49</v>
      </c>
      <c r="B56" s="285"/>
      <c r="C56" s="300">
        <v>11587</v>
      </c>
      <c r="D56" s="301"/>
      <c r="E56" s="300">
        <v>11698</v>
      </c>
      <c r="F56" s="301"/>
      <c r="G56" s="300">
        <v>11839</v>
      </c>
      <c r="H56" s="301"/>
      <c r="I56" s="300">
        <v>12036</v>
      </c>
      <c r="J56" s="301"/>
      <c r="K56" s="11"/>
    </row>
    <row r="57" spans="1:11" x14ac:dyDescent="0.3">
      <c r="A57" s="284" t="s">
        <v>35</v>
      </c>
      <c r="B57" s="285"/>
      <c r="C57" s="286">
        <v>1574</v>
      </c>
      <c r="D57" s="287"/>
      <c r="E57" s="286">
        <v>1594</v>
      </c>
      <c r="F57" s="287"/>
      <c r="G57" s="286">
        <v>1608</v>
      </c>
      <c r="H57" s="287"/>
      <c r="I57" s="286">
        <v>1630</v>
      </c>
      <c r="J57" s="287"/>
    </row>
    <row r="58" spans="1:11" x14ac:dyDescent="0.3">
      <c r="A58" s="120" t="s">
        <v>36</v>
      </c>
      <c r="B58" s="121"/>
      <c r="C58" s="103">
        <f>SUM(C50:D57)</f>
        <v>206926</v>
      </c>
      <c r="D58" s="104"/>
      <c r="E58" s="103">
        <f>SUM(E50:F57)</f>
        <v>207007</v>
      </c>
      <c r="F58" s="104"/>
      <c r="G58" s="122">
        <f>SUM(G50:H57)</f>
        <v>207105</v>
      </c>
      <c r="H58" s="123"/>
      <c r="I58" s="122">
        <f>SUM(I50:J57)</f>
        <v>207259</v>
      </c>
      <c r="J58" s="123"/>
    </row>
    <row r="60" spans="1:11" x14ac:dyDescent="0.3">
      <c r="A60" s="124" t="s">
        <v>37</v>
      </c>
      <c r="B60" s="125"/>
      <c r="C60" s="130" t="s">
        <v>229</v>
      </c>
      <c r="D60" s="131"/>
      <c r="E60" s="130" t="s">
        <v>238</v>
      </c>
      <c r="F60" s="131"/>
      <c r="G60" s="130" t="s">
        <v>249</v>
      </c>
      <c r="H60" s="131"/>
      <c r="I60" s="130" t="s">
        <v>272</v>
      </c>
      <c r="J60" s="131"/>
    </row>
    <row r="61" spans="1:11" x14ac:dyDescent="0.3">
      <c r="A61" s="126"/>
      <c r="B61" s="127"/>
      <c r="C61" s="288">
        <v>136311</v>
      </c>
      <c r="D61" s="289"/>
      <c r="E61" s="288">
        <v>136397</v>
      </c>
      <c r="F61" s="289"/>
      <c r="G61" s="288">
        <v>136469</v>
      </c>
      <c r="H61" s="289"/>
      <c r="I61" s="288">
        <v>136593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122</v>
      </c>
      <c r="D66" s="115"/>
      <c r="E66" s="114" t="s">
        <v>165</v>
      </c>
      <c r="F66" s="115"/>
      <c r="G66" s="114" t="s">
        <v>207</v>
      </c>
      <c r="H66" s="115"/>
      <c r="I66" s="114" t="s">
        <v>239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26734</v>
      </c>
      <c r="D69" s="287"/>
      <c r="E69" s="286">
        <v>26961</v>
      </c>
      <c r="F69" s="287"/>
      <c r="G69" s="286">
        <v>27298</v>
      </c>
      <c r="H69" s="287"/>
      <c r="I69" s="286">
        <v>27548</v>
      </c>
      <c r="J69" s="287"/>
    </row>
    <row r="70" spans="1:10" x14ac:dyDescent="0.3">
      <c r="A70" s="101" t="s">
        <v>13</v>
      </c>
      <c r="B70" s="102"/>
      <c r="C70" s="286">
        <v>6594</v>
      </c>
      <c r="D70" s="287"/>
      <c r="E70" s="286">
        <v>6631</v>
      </c>
      <c r="F70" s="287"/>
      <c r="G70" s="286">
        <v>6661</v>
      </c>
      <c r="H70" s="287"/>
      <c r="I70" s="286">
        <v>6721</v>
      </c>
      <c r="J70" s="287"/>
    </row>
    <row r="71" spans="1:10" x14ac:dyDescent="0.3">
      <c r="A71" s="107" t="s">
        <v>14</v>
      </c>
      <c r="B71" s="108"/>
      <c r="C71" s="286">
        <v>5540</v>
      </c>
      <c r="D71" s="287"/>
      <c r="E71" s="286">
        <v>5617</v>
      </c>
      <c r="F71" s="287"/>
      <c r="G71" s="286">
        <v>5694</v>
      </c>
      <c r="H71" s="287"/>
      <c r="I71" s="286">
        <v>5742</v>
      </c>
      <c r="J71" s="287"/>
    </row>
    <row r="72" spans="1:10" x14ac:dyDescent="0.3">
      <c r="A72" s="107" t="s">
        <v>41</v>
      </c>
      <c r="B72" s="108"/>
      <c r="C72" s="286">
        <v>1070</v>
      </c>
      <c r="D72" s="287"/>
      <c r="E72" s="286">
        <v>1120</v>
      </c>
      <c r="F72" s="287"/>
      <c r="G72" s="286">
        <v>1201</v>
      </c>
      <c r="H72" s="287"/>
      <c r="I72" s="286">
        <v>1228</v>
      </c>
      <c r="J72" s="287"/>
    </row>
    <row r="73" spans="1:10" x14ac:dyDescent="0.3">
      <c r="A73" s="101" t="s">
        <v>15</v>
      </c>
      <c r="B73" s="102"/>
      <c r="C73" s="286">
        <v>3930</v>
      </c>
      <c r="D73" s="287"/>
      <c r="E73" s="286">
        <v>4011</v>
      </c>
      <c r="F73" s="287"/>
      <c r="G73" s="286">
        <v>4090</v>
      </c>
      <c r="H73" s="287"/>
      <c r="I73" s="286">
        <v>4147</v>
      </c>
      <c r="J73" s="287"/>
    </row>
    <row r="74" spans="1:10" x14ac:dyDescent="0.3">
      <c r="A74" s="107" t="s">
        <v>16</v>
      </c>
      <c r="B74" s="108"/>
      <c r="C74" s="286">
        <v>4451</v>
      </c>
      <c r="D74" s="287"/>
      <c r="E74" s="286">
        <v>4483</v>
      </c>
      <c r="F74" s="287"/>
      <c r="G74" s="286">
        <v>4551</v>
      </c>
      <c r="H74" s="287"/>
      <c r="I74" s="286">
        <v>4580</v>
      </c>
      <c r="J74" s="287"/>
    </row>
    <row r="75" spans="1:10" x14ac:dyDescent="0.3">
      <c r="A75" s="101" t="s">
        <v>17</v>
      </c>
      <c r="B75" s="102"/>
      <c r="C75" s="286">
        <v>6110</v>
      </c>
      <c r="D75" s="287"/>
      <c r="E75" s="286">
        <v>6309</v>
      </c>
      <c r="F75" s="287"/>
      <c r="G75" s="286">
        <v>6464</v>
      </c>
      <c r="H75" s="287"/>
      <c r="I75" s="286">
        <v>6627</v>
      </c>
      <c r="J75" s="287"/>
    </row>
    <row r="76" spans="1:10" x14ac:dyDescent="0.3">
      <c r="A76" s="107" t="s">
        <v>18</v>
      </c>
      <c r="B76" s="108"/>
      <c r="C76" s="286">
        <v>1378</v>
      </c>
      <c r="D76" s="287"/>
      <c r="E76" s="286">
        <v>1389</v>
      </c>
      <c r="F76" s="287"/>
      <c r="G76" s="286">
        <v>1390</v>
      </c>
      <c r="H76" s="287"/>
      <c r="I76" s="286">
        <v>1435</v>
      </c>
      <c r="J76" s="287"/>
    </row>
    <row r="77" spans="1:10" x14ac:dyDescent="0.3">
      <c r="A77" s="101" t="s">
        <v>19</v>
      </c>
      <c r="B77" s="102"/>
      <c r="C77" s="286">
        <v>4835</v>
      </c>
      <c r="D77" s="287"/>
      <c r="E77" s="286">
        <v>4922</v>
      </c>
      <c r="F77" s="287"/>
      <c r="G77" s="286">
        <v>5008</v>
      </c>
      <c r="H77" s="287"/>
      <c r="I77" s="286">
        <v>5125</v>
      </c>
      <c r="J77" s="287"/>
    </row>
    <row r="78" spans="1:10" x14ac:dyDescent="0.3">
      <c r="A78" s="105" t="s">
        <v>42</v>
      </c>
      <c r="B78" s="106"/>
      <c r="C78" s="103">
        <f>SUM(C69:C77)</f>
        <v>60642</v>
      </c>
      <c r="D78" s="104"/>
      <c r="E78" s="103">
        <f>SUM(E69:E77)</f>
        <v>61443</v>
      </c>
      <c r="F78" s="104"/>
      <c r="G78" s="103">
        <f>SUM(G69:G77)</f>
        <v>62357</v>
      </c>
      <c r="H78" s="104"/>
      <c r="I78" s="103">
        <f>SUM(I69:I77)</f>
        <v>63153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78"/>
  <sheetViews>
    <sheetView workbookViewId="0">
      <selection activeCell="O30" sqref="O30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281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4746</v>
      </c>
      <c r="D5" s="299"/>
      <c r="E5" s="298">
        <v>3226</v>
      </c>
      <c r="F5" s="299"/>
      <c r="G5" s="298">
        <v>2784</v>
      </c>
      <c r="H5" s="299"/>
      <c r="I5" s="302">
        <v>10745</v>
      </c>
      <c r="J5" s="303"/>
      <c r="K5" s="302">
        <v>278</v>
      </c>
      <c r="L5" s="303"/>
      <c r="M5" s="12">
        <v>160</v>
      </c>
      <c r="N5" s="10">
        <v>1504</v>
      </c>
      <c r="O5" s="12">
        <v>1328</v>
      </c>
      <c r="P5" s="10">
        <v>934</v>
      </c>
      <c r="Q5" s="10">
        <v>656</v>
      </c>
    </row>
    <row r="6" spans="1:17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219</v>
      </c>
      <c r="D7" s="240"/>
      <c r="E7" s="239">
        <v>11</v>
      </c>
      <c r="F7" s="240"/>
      <c r="G7" s="239">
        <v>7</v>
      </c>
      <c r="H7" s="240"/>
      <c r="I7" s="239">
        <v>278</v>
      </c>
      <c r="J7" s="240"/>
      <c r="K7" s="239">
        <v>134</v>
      </c>
      <c r="L7" s="240"/>
      <c r="M7" s="1">
        <v>398</v>
      </c>
      <c r="N7" s="1">
        <v>36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352</v>
      </c>
      <c r="D8" s="240"/>
      <c r="E8" s="239">
        <v>24</v>
      </c>
      <c r="F8" s="240"/>
      <c r="G8" s="239">
        <v>95</v>
      </c>
      <c r="H8" s="240"/>
      <c r="I8" s="239">
        <v>120</v>
      </c>
      <c r="J8" s="240"/>
      <c r="K8" s="239">
        <v>0</v>
      </c>
      <c r="L8" s="240"/>
      <c r="M8" s="1">
        <v>170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443</v>
      </c>
      <c r="D9" s="240"/>
      <c r="E9" s="239">
        <v>168</v>
      </c>
      <c r="F9" s="240"/>
      <c r="G9" s="239">
        <v>158</v>
      </c>
      <c r="H9" s="240"/>
      <c r="I9" s="239">
        <v>6</v>
      </c>
      <c r="J9" s="240"/>
      <c r="K9" s="239">
        <v>4</v>
      </c>
      <c r="L9" s="240"/>
      <c r="M9" s="1">
        <v>151</v>
      </c>
      <c r="N9" s="1">
        <v>4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613</v>
      </c>
      <c r="D10" s="240"/>
      <c r="E10" s="239">
        <v>143</v>
      </c>
      <c r="F10" s="240"/>
      <c r="G10" s="239">
        <v>82</v>
      </c>
      <c r="H10" s="240"/>
      <c r="I10" s="239">
        <v>194</v>
      </c>
      <c r="J10" s="240"/>
      <c r="K10" s="239">
        <v>10</v>
      </c>
      <c r="L10" s="240"/>
      <c r="M10" s="1">
        <v>223</v>
      </c>
      <c r="N10" s="1">
        <v>105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262</v>
      </c>
      <c r="D11" s="246"/>
      <c r="E11" s="239">
        <v>14</v>
      </c>
      <c r="F11" s="240"/>
      <c r="G11" s="239">
        <v>0</v>
      </c>
      <c r="H11" s="240"/>
      <c r="I11" s="239">
        <v>108</v>
      </c>
      <c r="J11" s="240"/>
      <c r="K11" s="239">
        <v>157</v>
      </c>
      <c r="L11" s="240"/>
      <c r="M11" s="1">
        <v>81</v>
      </c>
      <c r="N11" s="1">
        <v>119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200</v>
      </c>
      <c r="D12" s="246"/>
      <c r="E12" s="239">
        <v>0</v>
      </c>
      <c r="F12" s="240"/>
      <c r="G12" s="239">
        <v>0</v>
      </c>
      <c r="H12" s="240"/>
      <c r="I12" s="239">
        <v>98</v>
      </c>
      <c r="J12" s="240"/>
      <c r="K12" s="239">
        <v>0</v>
      </c>
      <c r="L12" s="240"/>
      <c r="M12" s="1">
        <v>295</v>
      </c>
      <c r="N12" s="1">
        <v>87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296</v>
      </c>
      <c r="D13" s="246"/>
      <c r="E13" s="239">
        <v>0</v>
      </c>
      <c r="F13" s="240"/>
      <c r="G13" s="239">
        <v>0</v>
      </c>
      <c r="H13" s="240"/>
      <c r="I13" s="239">
        <v>146</v>
      </c>
      <c r="J13" s="240"/>
      <c r="K13" s="239">
        <v>2</v>
      </c>
      <c r="L13" s="240"/>
      <c r="M13" s="1">
        <v>71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231</v>
      </c>
      <c r="D14" s="248"/>
      <c r="E14" s="247">
        <v>56</v>
      </c>
      <c r="F14" s="248"/>
      <c r="G14" s="247">
        <v>41</v>
      </c>
      <c r="H14" s="248"/>
      <c r="I14" s="239">
        <v>91</v>
      </c>
      <c r="J14" s="240"/>
      <c r="K14" s="247">
        <v>0</v>
      </c>
      <c r="L14" s="248"/>
      <c r="M14" s="2">
        <v>215</v>
      </c>
      <c r="N14" s="2">
        <v>20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2884</v>
      </c>
      <c r="P15" s="2">
        <v>2470</v>
      </c>
      <c r="Q15" s="2">
        <v>2372</v>
      </c>
    </row>
    <row r="16" spans="1:17" ht="15" thickBot="1" x14ac:dyDescent="0.35">
      <c r="A16" s="199" t="s">
        <v>20</v>
      </c>
      <c r="B16" s="200"/>
      <c r="C16" s="201">
        <f>SUM(C5:D15)</f>
        <v>8321</v>
      </c>
      <c r="D16" s="202"/>
      <c r="E16" s="201">
        <f>SUM(E5:F15)</f>
        <v>3642</v>
      </c>
      <c r="F16" s="202"/>
      <c r="G16" s="201">
        <f>SUM(G5:H15)</f>
        <v>3167</v>
      </c>
      <c r="H16" s="202"/>
      <c r="I16" s="201">
        <f>SUM(I5:J15)</f>
        <v>11786</v>
      </c>
      <c r="J16" s="202"/>
      <c r="K16" s="201">
        <f>SUM(K5:L15)</f>
        <v>585</v>
      </c>
      <c r="L16" s="202"/>
      <c r="M16" s="3">
        <f>SUM(M5:M15)</f>
        <v>1764</v>
      </c>
      <c r="N16" s="4">
        <f>SUM(N5:N15)</f>
        <v>1944</v>
      </c>
      <c r="O16" s="4">
        <f>SUM(O5:O15)</f>
        <v>4295</v>
      </c>
      <c r="P16" s="4">
        <f>SUM(P5:P15)</f>
        <v>3461</v>
      </c>
      <c r="Q16" s="5">
        <f>SUM(Q5:Q15)</f>
        <v>3051</v>
      </c>
    </row>
    <row r="17" spans="1:17" x14ac:dyDescent="0.3">
      <c r="A17" s="190" t="s">
        <v>21</v>
      </c>
      <c r="B17" s="191"/>
      <c r="C17" s="251">
        <v>4646</v>
      </c>
      <c r="D17" s="252"/>
      <c r="E17" s="253">
        <v>3226</v>
      </c>
      <c r="F17" s="254"/>
      <c r="G17" s="255">
        <v>2784</v>
      </c>
      <c r="H17" s="256"/>
      <c r="I17" s="255">
        <v>10625</v>
      </c>
      <c r="J17" s="256"/>
      <c r="K17" s="253">
        <v>278</v>
      </c>
      <c r="L17" s="254"/>
      <c r="M17" s="9">
        <v>110</v>
      </c>
      <c r="N17" s="9">
        <v>1504</v>
      </c>
      <c r="O17" s="9">
        <v>1328</v>
      </c>
      <c r="P17" s="9">
        <v>934</v>
      </c>
      <c r="Q17" s="9">
        <v>656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ht="9" customHeight="1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281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218</v>
      </c>
      <c r="D25" s="259"/>
      <c r="E25" s="260" t="s">
        <v>283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8</v>
      </c>
      <c r="D26" s="259"/>
      <c r="E26" s="260" t="s">
        <v>25</v>
      </c>
      <c r="F26" s="261"/>
      <c r="G26" s="258">
        <v>0</v>
      </c>
      <c r="H26" s="259"/>
      <c r="I26" s="258">
        <v>61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84</v>
      </c>
      <c r="D27" s="259"/>
      <c r="E27" s="260" t="s">
        <v>244</v>
      </c>
      <c r="F27" s="261"/>
      <c r="G27" s="258">
        <v>6</v>
      </c>
      <c r="H27" s="259"/>
      <c r="I27" s="258">
        <v>49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214</v>
      </c>
      <c r="D28" s="261"/>
      <c r="E28" s="260" t="s">
        <v>285</v>
      </c>
      <c r="F28" s="261"/>
      <c r="G28" s="258">
        <v>0</v>
      </c>
      <c r="H28" s="259"/>
      <c r="I28" s="258">
        <v>6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240</v>
      </c>
      <c r="D29" s="271"/>
      <c r="E29" s="260" t="s">
        <v>241</v>
      </c>
      <c r="F29" s="261"/>
      <c r="G29" s="258">
        <v>0</v>
      </c>
      <c r="H29" s="259"/>
      <c r="I29" s="258">
        <v>31</v>
      </c>
      <c r="J29" s="259"/>
      <c r="K29" s="8">
        <v>9</v>
      </c>
    </row>
    <row r="30" spans="1:17" x14ac:dyDescent="0.3">
      <c r="A30" s="101" t="s">
        <v>17</v>
      </c>
      <c r="B30" s="102"/>
      <c r="C30" s="272">
        <v>20</v>
      </c>
      <c r="D30" s="271"/>
      <c r="E30" s="258" t="s">
        <v>166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34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7</v>
      </c>
      <c r="D32" s="259"/>
      <c r="E32" s="260" t="s">
        <v>25</v>
      </c>
      <c r="F32" s="261"/>
      <c r="G32" s="258">
        <v>0</v>
      </c>
      <c r="H32" s="259"/>
      <c r="I32" s="258">
        <v>4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281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284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282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126</v>
      </c>
      <c r="D40" s="259"/>
      <c r="E40" s="276" t="s">
        <v>235</v>
      </c>
      <c r="F40" s="277"/>
      <c r="G40" s="258">
        <v>6</v>
      </c>
      <c r="H40" s="259"/>
      <c r="I40" s="258" t="s">
        <v>247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286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242</v>
      </c>
      <c r="D42" s="271"/>
      <c r="E42" s="276" t="s">
        <v>232</v>
      </c>
      <c r="F42" s="277"/>
      <c r="G42" s="258">
        <v>0</v>
      </c>
      <c r="H42" s="259"/>
      <c r="I42" s="258" t="s">
        <v>243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238</v>
      </c>
      <c r="D49" s="146"/>
      <c r="E49" s="145" t="s">
        <v>249</v>
      </c>
      <c r="F49" s="146"/>
      <c r="G49" s="145" t="s">
        <v>272</v>
      </c>
      <c r="H49" s="146"/>
      <c r="I49" s="145" t="s">
        <v>281</v>
      </c>
      <c r="J49" s="146"/>
    </row>
    <row r="50" spans="1:11" x14ac:dyDescent="0.3">
      <c r="A50" s="284" t="s">
        <v>30</v>
      </c>
      <c r="B50" s="285"/>
      <c r="C50" s="300">
        <v>13980</v>
      </c>
      <c r="D50" s="301"/>
      <c r="E50" s="300">
        <v>13957</v>
      </c>
      <c r="F50" s="301"/>
      <c r="G50" s="300">
        <v>13906</v>
      </c>
      <c r="H50" s="301"/>
      <c r="I50" s="300">
        <v>13884</v>
      </c>
      <c r="J50" s="301"/>
    </row>
    <row r="51" spans="1:11" x14ac:dyDescent="0.3">
      <c r="A51" s="284" t="s">
        <v>31</v>
      </c>
      <c r="B51" s="285"/>
      <c r="C51" s="286">
        <v>8407</v>
      </c>
      <c r="D51" s="287"/>
      <c r="E51" s="286">
        <v>8422</v>
      </c>
      <c r="F51" s="287"/>
      <c r="G51" s="286">
        <v>8452</v>
      </c>
      <c r="H51" s="287"/>
      <c r="I51" s="286">
        <v>8506</v>
      </c>
      <c r="J51" s="287"/>
    </row>
    <row r="52" spans="1:11" x14ac:dyDescent="0.3">
      <c r="A52" s="284" t="s">
        <v>32</v>
      </c>
      <c r="B52" s="285"/>
      <c r="C52" s="300">
        <v>115405</v>
      </c>
      <c r="D52" s="301"/>
      <c r="E52" s="300">
        <v>115364</v>
      </c>
      <c r="F52" s="301"/>
      <c r="G52" s="300">
        <v>115328</v>
      </c>
      <c r="H52" s="301"/>
      <c r="I52" s="300">
        <v>115276</v>
      </c>
      <c r="J52" s="301"/>
    </row>
    <row r="53" spans="1:11" x14ac:dyDescent="0.3">
      <c r="A53" s="284" t="s">
        <v>33</v>
      </c>
      <c r="B53" s="285"/>
      <c r="C53" s="286">
        <v>237</v>
      </c>
      <c r="D53" s="287"/>
      <c r="E53" s="286">
        <v>238</v>
      </c>
      <c r="F53" s="287"/>
      <c r="G53" s="286">
        <v>238</v>
      </c>
      <c r="H53" s="287"/>
      <c r="I53" s="286">
        <v>238</v>
      </c>
      <c r="J53" s="287"/>
    </row>
    <row r="54" spans="1:11" x14ac:dyDescent="0.3">
      <c r="A54" s="284" t="s">
        <v>34</v>
      </c>
      <c r="B54" s="285"/>
      <c r="C54" s="300">
        <v>51727</v>
      </c>
      <c r="D54" s="301"/>
      <c r="E54" s="300">
        <v>51693</v>
      </c>
      <c r="F54" s="301"/>
      <c r="G54" s="300">
        <v>51663</v>
      </c>
      <c r="H54" s="301"/>
      <c r="I54" s="300">
        <v>51610</v>
      </c>
      <c r="J54" s="301"/>
    </row>
    <row r="55" spans="1:11" x14ac:dyDescent="0.3">
      <c r="A55" s="284" t="s">
        <v>53</v>
      </c>
      <c r="B55" s="285"/>
      <c r="C55" s="286">
        <v>3959</v>
      </c>
      <c r="D55" s="287"/>
      <c r="E55" s="286">
        <v>3984</v>
      </c>
      <c r="F55" s="287"/>
      <c r="G55" s="286">
        <v>4006</v>
      </c>
      <c r="H55" s="287"/>
      <c r="I55" s="286">
        <v>4038</v>
      </c>
      <c r="J55" s="287"/>
    </row>
    <row r="56" spans="1:11" x14ac:dyDescent="0.3">
      <c r="A56" s="284" t="s">
        <v>49</v>
      </c>
      <c r="B56" s="285"/>
      <c r="C56" s="300">
        <v>11698</v>
      </c>
      <c r="D56" s="301"/>
      <c r="E56" s="300">
        <v>11839</v>
      </c>
      <c r="F56" s="301"/>
      <c r="G56" s="300">
        <v>12036</v>
      </c>
      <c r="H56" s="301"/>
      <c r="I56" s="300">
        <v>12232</v>
      </c>
      <c r="J56" s="301"/>
      <c r="K56" s="11"/>
    </row>
    <row r="57" spans="1:11" x14ac:dyDescent="0.3">
      <c r="A57" s="284" t="s">
        <v>35</v>
      </c>
      <c r="B57" s="285"/>
      <c r="C57" s="286">
        <v>1594</v>
      </c>
      <c r="D57" s="287"/>
      <c r="E57" s="286">
        <v>1608</v>
      </c>
      <c r="F57" s="287"/>
      <c r="G57" s="286">
        <v>1630</v>
      </c>
      <c r="H57" s="287"/>
      <c r="I57" s="286">
        <v>1662</v>
      </c>
      <c r="J57" s="287"/>
    </row>
    <row r="58" spans="1:11" x14ac:dyDescent="0.3">
      <c r="A58" s="120" t="s">
        <v>36</v>
      </c>
      <c r="B58" s="121"/>
      <c r="C58" s="103">
        <f>SUM(C50:D57)</f>
        <v>207007</v>
      </c>
      <c r="D58" s="104"/>
      <c r="E58" s="103">
        <f>SUM(E50:F57)</f>
        <v>207105</v>
      </c>
      <c r="F58" s="104"/>
      <c r="G58" s="122">
        <f>SUM(G50:H57)</f>
        <v>207259</v>
      </c>
      <c r="H58" s="123"/>
      <c r="I58" s="122">
        <f>SUM(I50:J57)</f>
        <v>207446</v>
      </c>
      <c r="J58" s="123"/>
    </row>
    <row r="60" spans="1:11" x14ac:dyDescent="0.3">
      <c r="A60" s="124" t="s">
        <v>37</v>
      </c>
      <c r="B60" s="125"/>
      <c r="C60" s="130" t="s">
        <v>238</v>
      </c>
      <c r="D60" s="131"/>
      <c r="E60" s="130" t="s">
        <v>249</v>
      </c>
      <c r="F60" s="131"/>
      <c r="G60" s="130" t="s">
        <v>272</v>
      </c>
      <c r="H60" s="131"/>
      <c r="I60" s="130" t="s">
        <v>281</v>
      </c>
      <c r="J60" s="131"/>
    </row>
    <row r="61" spans="1:11" x14ac:dyDescent="0.3">
      <c r="A61" s="126"/>
      <c r="B61" s="127"/>
      <c r="C61" s="288">
        <v>136397</v>
      </c>
      <c r="D61" s="289"/>
      <c r="E61" s="288">
        <v>136469</v>
      </c>
      <c r="F61" s="289"/>
      <c r="G61" s="288">
        <v>136593</v>
      </c>
      <c r="H61" s="289"/>
      <c r="I61" s="288">
        <v>136709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122</v>
      </c>
      <c r="D66" s="115"/>
      <c r="E66" s="114" t="s">
        <v>165</v>
      </c>
      <c r="F66" s="115"/>
      <c r="G66" s="114" t="s">
        <v>207</v>
      </c>
      <c r="H66" s="115"/>
      <c r="I66" s="114" t="s">
        <v>239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26734</v>
      </c>
      <c r="D69" s="287"/>
      <c r="E69" s="286">
        <v>26961</v>
      </c>
      <c r="F69" s="287"/>
      <c r="G69" s="286">
        <v>27298</v>
      </c>
      <c r="H69" s="287"/>
      <c r="I69" s="286">
        <v>27548</v>
      </c>
      <c r="J69" s="287"/>
    </row>
    <row r="70" spans="1:10" x14ac:dyDescent="0.3">
      <c r="A70" s="101" t="s">
        <v>13</v>
      </c>
      <c r="B70" s="102"/>
      <c r="C70" s="286">
        <v>6594</v>
      </c>
      <c r="D70" s="287"/>
      <c r="E70" s="286">
        <v>6631</v>
      </c>
      <c r="F70" s="287"/>
      <c r="G70" s="286">
        <v>6661</v>
      </c>
      <c r="H70" s="287"/>
      <c r="I70" s="286">
        <v>6721</v>
      </c>
      <c r="J70" s="287"/>
    </row>
    <row r="71" spans="1:10" x14ac:dyDescent="0.3">
      <c r="A71" s="107" t="s">
        <v>14</v>
      </c>
      <c r="B71" s="108"/>
      <c r="C71" s="286">
        <v>5540</v>
      </c>
      <c r="D71" s="287"/>
      <c r="E71" s="286">
        <v>5617</v>
      </c>
      <c r="F71" s="287"/>
      <c r="G71" s="286">
        <v>5694</v>
      </c>
      <c r="H71" s="287"/>
      <c r="I71" s="286">
        <v>5742</v>
      </c>
      <c r="J71" s="287"/>
    </row>
    <row r="72" spans="1:10" x14ac:dyDescent="0.3">
      <c r="A72" s="107" t="s">
        <v>41</v>
      </c>
      <c r="B72" s="108"/>
      <c r="C72" s="286">
        <v>1070</v>
      </c>
      <c r="D72" s="287"/>
      <c r="E72" s="286">
        <v>1120</v>
      </c>
      <c r="F72" s="287"/>
      <c r="G72" s="286">
        <v>1201</v>
      </c>
      <c r="H72" s="287"/>
      <c r="I72" s="286">
        <v>1228</v>
      </c>
      <c r="J72" s="287"/>
    </row>
    <row r="73" spans="1:10" x14ac:dyDescent="0.3">
      <c r="A73" s="101" t="s">
        <v>15</v>
      </c>
      <c r="B73" s="102"/>
      <c r="C73" s="286">
        <v>3930</v>
      </c>
      <c r="D73" s="287"/>
      <c r="E73" s="286">
        <v>4011</v>
      </c>
      <c r="F73" s="287"/>
      <c r="G73" s="286">
        <v>4090</v>
      </c>
      <c r="H73" s="287"/>
      <c r="I73" s="286">
        <v>4147</v>
      </c>
      <c r="J73" s="287"/>
    </row>
    <row r="74" spans="1:10" x14ac:dyDescent="0.3">
      <c r="A74" s="107" t="s">
        <v>16</v>
      </c>
      <c r="B74" s="108"/>
      <c r="C74" s="286">
        <v>4451</v>
      </c>
      <c r="D74" s="287"/>
      <c r="E74" s="286">
        <v>4483</v>
      </c>
      <c r="F74" s="287"/>
      <c r="G74" s="286">
        <v>4551</v>
      </c>
      <c r="H74" s="287"/>
      <c r="I74" s="286">
        <v>4580</v>
      </c>
      <c r="J74" s="287"/>
    </row>
    <row r="75" spans="1:10" x14ac:dyDescent="0.3">
      <c r="A75" s="101" t="s">
        <v>17</v>
      </c>
      <c r="B75" s="102"/>
      <c r="C75" s="286">
        <v>6110</v>
      </c>
      <c r="D75" s="287"/>
      <c r="E75" s="286">
        <v>6309</v>
      </c>
      <c r="F75" s="287"/>
      <c r="G75" s="286">
        <v>6464</v>
      </c>
      <c r="H75" s="287"/>
      <c r="I75" s="286">
        <v>6627</v>
      </c>
      <c r="J75" s="287"/>
    </row>
    <row r="76" spans="1:10" x14ac:dyDescent="0.3">
      <c r="A76" s="107" t="s">
        <v>18</v>
      </c>
      <c r="B76" s="108"/>
      <c r="C76" s="286">
        <v>1378</v>
      </c>
      <c r="D76" s="287"/>
      <c r="E76" s="286">
        <v>1389</v>
      </c>
      <c r="F76" s="287"/>
      <c r="G76" s="286">
        <v>1390</v>
      </c>
      <c r="H76" s="287"/>
      <c r="I76" s="286">
        <v>1435</v>
      </c>
      <c r="J76" s="287"/>
    </row>
    <row r="77" spans="1:10" x14ac:dyDescent="0.3">
      <c r="A77" s="101" t="s">
        <v>19</v>
      </c>
      <c r="B77" s="102"/>
      <c r="C77" s="286">
        <v>4835</v>
      </c>
      <c r="D77" s="287"/>
      <c r="E77" s="286">
        <v>4922</v>
      </c>
      <c r="F77" s="287"/>
      <c r="G77" s="286">
        <v>5008</v>
      </c>
      <c r="H77" s="287"/>
      <c r="I77" s="286">
        <v>5125</v>
      </c>
      <c r="J77" s="287"/>
    </row>
    <row r="78" spans="1:10" x14ac:dyDescent="0.3">
      <c r="A78" s="105" t="s">
        <v>42</v>
      </c>
      <c r="B78" s="106"/>
      <c r="C78" s="103">
        <f>SUM(C69:C77)</f>
        <v>60642</v>
      </c>
      <c r="D78" s="104"/>
      <c r="E78" s="103">
        <f>SUM(E69:E77)</f>
        <v>61443</v>
      </c>
      <c r="F78" s="104"/>
      <c r="G78" s="103">
        <f>SUM(G69:G77)</f>
        <v>62357</v>
      </c>
      <c r="H78" s="104"/>
      <c r="I78" s="103">
        <f>SUM(I69:I77)</f>
        <v>63153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78"/>
  <sheetViews>
    <sheetView workbookViewId="0">
      <selection activeCell="N28" sqref="N28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288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3736</v>
      </c>
      <c r="D5" s="299"/>
      <c r="E5" s="298">
        <v>3226</v>
      </c>
      <c r="F5" s="299"/>
      <c r="G5" s="298">
        <v>2784</v>
      </c>
      <c r="H5" s="299"/>
      <c r="I5" s="302">
        <v>9725</v>
      </c>
      <c r="J5" s="303"/>
      <c r="K5" s="302">
        <v>278</v>
      </c>
      <c r="L5" s="303"/>
      <c r="M5" s="12">
        <v>8170</v>
      </c>
      <c r="N5" s="10">
        <v>1404</v>
      </c>
      <c r="O5" s="12">
        <v>548</v>
      </c>
      <c r="P5" s="10">
        <v>434</v>
      </c>
      <c r="Q5" s="10">
        <v>256</v>
      </c>
    </row>
    <row r="6" spans="1:17" ht="13.5" customHeight="1" x14ac:dyDescent="0.3">
      <c r="A6" s="211" t="s">
        <v>11</v>
      </c>
      <c r="B6" s="212"/>
      <c r="C6" s="298">
        <v>1109</v>
      </c>
      <c r="D6" s="299"/>
      <c r="E6" s="298">
        <v>5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7</v>
      </c>
      <c r="N6" s="10">
        <v>1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487</v>
      </c>
      <c r="D7" s="240"/>
      <c r="E7" s="239">
        <v>35</v>
      </c>
      <c r="F7" s="240"/>
      <c r="G7" s="239">
        <v>7</v>
      </c>
      <c r="H7" s="240"/>
      <c r="I7" s="239">
        <v>712</v>
      </c>
      <c r="J7" s="240"/>
      <c r="K7" s="239">
        <v>79</v>
      </c>
      <c r="L7" s="240"/>
      <c r="M7" s="1">
        <v>433</v>
      </c>
      <c r="N7" s="1">
        <v>36</v>
      </c>
      <c r="O7" s="1">
        <v>1</v>
      </c>
      <c r="P7" s="1">
        <v>15</v>
      </c>
      <c r="Q7" s="1">
        <v>15</v>
      </c>
    </row>
    <row r="8" spans="1:17" x14ac:dyDescent="0.3">
      <c r="A8" s="101" t="s">
        <v>13</v>
      </c>
      <c r="B8" s="102"/>
      <c r="C8" s="239">
        <v>269</v>
      </c>
      <c r="D8" s="240"/>
      <c r="E8" s="239">
        <v>24</v>
      </c>
      <c r="F8" s="240"/>
      <c r="G8" s="239">
        <v>105</v>
      </c>
      <c r="H8" s="240"/>
      <c r="I8" s="239">
        <v>120</v>
      </c>
      <c r="J8" s="240"/>
      <c r="K8" s="239">
        <v>0</v>
      </c>
      <c r="L8" s="240"/>
      <c r="M8" s="1">
        <v>154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266</v>
      </c>
      <c r="D9" s="240"/>
      <c r="E9" s="239">
        <v>294</v>
      </c>
      <c r="F9" s="240"/>
      <c r="G9" s="239">
        <v>0</v>
      </c>
      <c r="H9" s="240"/>
      <c r="I9" s="239">
        <v>6</v>
      </c>
      <c r="J9" s="240"/>
      <c r="K9" s="239">
        <v>4</v>
      </c>
      <c r="L9" s="240"/>
      <c r="M9" s="1">
        <v>137</v>
      </c>
      <c r="N9" s="1">
        <v>4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500</v>
      </c>
      <c r="D10" s="240"/>
      <c r="E10" s="239">
        <v>135</v>
      </c>
      <c r="F10" s="240"/>
      <c r="G10" s="239">
        <v>75</v>
      </c>
      <c r="H10" s="240"/>
      <c r="I10" s="239">
        <v>185</v>
      </c>
      <c r="J10" s="240"/>
      <c r="K10" s="239">
        <v>10</v>
      </c>
      <c r="L10" s="240"/>
      <c r="M10" s="1">
        <v>201</v>
      </c>
      <c r="N10" s="1">
        <v>100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552</v>
      </c>
      <c r="D11" s="246"/>
      <c r="E11" s="239">
        <v>14</v>
      </c>
      <c r="F11" s="240"/>
      <c r="G11" s="239">
        <v>0</v>
      </c>
      <c r="H11" s="240"/>
      <c r="I11" s="239">
        <v>202</v>
      </c>
      <c r="J11" s="240"/>
      <c r="K11" s="239">
        <v>152</v>
      </c>
      <c r="L11" s="240"/>
      <c r="M11" s="1">
        <v>171</v>
      </c>
      <c r="N11" s="1">
        <v>180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345</v>
      </c>
      <c r="D12" s="246"/>
      <c r="E12" s="239">
        <v>0</v>
      </c>
      <c r="F12" s="240"/>
      <c r="G12" s="239">
        <v>0</v>
      </c>
      <c r="H12" s="240"/>
      <c r="I12" s="239">
        <v>348</v>
      </c>
      <c r="J12" s="240"/>
      <c r="K12" s="239">
        <v>0</v>
      </c>
      <c r="L12" s="240"/>
      <c r="M12" s="1">
        <v>250</v>
      </c>
      <c r="N12" s="1">
        <v>87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304</v>
      </c>
      <c r="D13" s="246"/>
      <c r="E13" s="239">
        <v>0</v>
      </c>
      <c r="F13" s="240"/>
      <c r="G13" s="239">
        <v>0</v>
      </c>
      <c r="H13" s="240"/>
      <c r="I13" s="239">
        <v>131</v>
      </c>
      <c r="J13" s="240"/>
      <c r="K13" s="239">
        <v>2</v>
      </c>
      <c r="L13" s="240"/>
      <c r="M13" s="1">
        <v>40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210</v>
      </c>
      <c r="D14" s="248"/>
      <c r="E14" s="247">
        <v>44</v>
      </c>
      <c r="F14" s="248"/>
      <c r="G14" s="247">
        <v>28</v>
      </c>
      <c r="H14" s="248"/>
      <c r="I14" s="239">
        <v>178</v>
      </c>
      <c r="J14" s="240"/>
      <c r="K14" s="247">
        <v>0</v>
      </c>
      <c r="L14" s="248"/>
      <c r="M14" s="2">
        <v>218</v>
      </c>
      <c r="N14" s="2">
        <v>23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2963</v>
      </c>
      <c r="P15" s="2">
        <v>2592</v>
      </c>
      <c r="Q15" s="2">
        <v>2358</v>
      </c>
    </row>
    <row r="16" spans="1:17" ht="15" thickBot="1" x14ac:dyDescent="0.35">
      <c r="A16" s="199" t="s">
        <v>20</v>
      </c>
      <c r="B16" s="200"/>
      <c r="C16" s="201">
        <f>SUM(C5:D15)</f>
        <v>7778</v>
      </c>
      <c r="D16" s="202"/>
      <c r="E16" s="201">
        <f>SUM(E5:F15)</f>
        <v>3777</v>
      </c>
      <c r="F16" s="202"/>
      <c r="G16" s="201">
        <f>SUM(G5:H15)</f>
        <v>2999</v>
      </c>
      <c r="H16" s="202"/>
      <c r="I16" s="201">
        <f>SUM(I5:J15)</f>
        <v>11607</v>
      </c>
      <c r="J16" s="202"/>
      <c r="K16" s="201">
        <f>SUM(K5:L15)</f>
        <v>525</v>
      </c>
      <c r="L16" s="202"/>
      <c r="M16" s="3">
        <f>SUM(M5:M15)</f>
        <v>9781</v>
      </c>
      <c r="N16" s="4">
        <f>SUM(N5:N15)</f>
        <v>1904</v>
      </c>
      <c r="O16" s="4">
        <f>SUM(O5:O15)</f>
        <v>3594</v>
      </c>
      <c r="P16" s="4">
        <f>SUM(P5:P15)</f>
        <v>3083</v>
      </c>
      <c r="Q16" s="5">
        <f>SUM(Q5:Q15)</f>
        <v>2637</v>
      </c>
    </row>
    <row r="17" spans="1:17" ht="15" thickBot="1" x14ac:dyDescent="0.35">
      <c r="A17" s="190" t="s">
        <v>21</v>
      </c>
      <c r="B17" s="191"/>
      <c r="C17" s="251">
        <v>3636</v>
      </c>
      <c r="D17" s="252"/>
      <c r="E17" s="253">
        <v>3226</v>
      </c>
      <c r="F17" s="254"/>
      <c r="G17" s="255">
        <v>2784</v>
      </c>
      <c r="H17" s="256"/>
      <c r="I17" s="255">
        <v>9625</v>
      </c>
      <c r="J17" s="256"/>
      <c r="K17" s="253">
        <v>278</v>
      </c>
      <c r="L17" s="254"/>
      <c r="M17" s="9">
        <v>7878</v>
      </c>
      <c r="N17" s="28">
        <v>1404</v>
      </c>
      <c r="O17" s="9">
        <v>548</v>
      </c>
      <c r="P17" s="9">
        <v>434</v>
      </c>
      <c r="Q17" s="9">
        <v>256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ht="9" customHeight="1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288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154</v>
      </c>
      <c r="D25" s="259"/>
      <c r="E25" s="260" t="s">
        <v>133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8</v>
      </c>
      <c r="D26" s="259"/>
      <c r="E26" s="260" t="s">
        <v>25</v>
      </c>
      <c r="F26" s="261"/>
      <c r="G26" s="258">
        <v>0</v>
      </c>
      <c r="H26" s="259"/>
      <c r="I26" s="258">
        <v>67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79</v>
      </c>
      <c r="D27" s="259"/>
      <c r="E27" s="260" t="s">
        <v>103</v>
      </c>
      <c r="F27" s="261"/>
      <c r="G27" s="258">
        <v>1</v>
      </c>
      <c r="H27" s="259"/>
      <c r="I27" s="258">
        <v>46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298</v>
      </c>
      <c r="D28" s="261"/>
      <c r="E28" s="260" t="s">
        <v>285</v>
      </c>
      <c r="F28" s="261"/>
      <c r="G28" s="258">
        <v>0</v>
      </c>
      <c r="H28" s="259"/>
      <c r="I28" s="258">
        <v>6</v>
      </c>
      <c r="J28" s="259"/>
      <c r="K28" s="8">
        <v>4</v>
      </c>
    </row>
    <row r="29" spans="1:17" x14ac:dyDescent="0.3">
      <c r="A29" s="101" t="s">
        <v>16</v>
      </c>
      <c r="B29" s="102"/>
      <c r="C29" s="270" t="s">
        <v>289</v>
      </c>
      <c r="D29" s="271"/>
      <c r="E29" s="260" t="s">
        <v>290</v>
      </c>
      <c r="F29" s="261"/>
      <c r="G29" s="258">
        <v>0</v>
      </c>
      <c r="H29" s="259"/>
      <c r="I29" s="258">
        <v>29</v>
      </c>
      <c r="J29" s="259"/>
      <c r="K29" s="8">
        <v>4</v>
      </c>
    </row>
    <row r="30" spans="1:17" x14ac:dyDescent="0.3">
      <c r="A30" s="101" t="s">
        <v>17</v>
      </c>
      <c r="B30" s="102"/>
      <c r="C30" s="272">
        <v>18</v>
      </c>
      <c r="D30" s="271"/>
      <c r="E30" s="258" t="s">
        <v>166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36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7</v>
      </c>
      <c r="D32" s="259"/>
      <c r="E32" s="260" t="s">
        <v>25</v>
      </c>
      <c r="F32" s="261"/>
      <c r="G32" s="258">
        <v>0</v>
      </c>
      <c r="H32" s="259"/>
      <c r="I32" s="258">
        <v>4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288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296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297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294</v>
      </c>
      <c r="D40" s="259"/>
      <c r="E40" s="276" t="s">
        <v>295</v>
      </c>
      <c r="F40" s="277"/>
      <c r="G40" s="258">
        <v>7</v>
      </c>
      <c r="H40" s="259"/>
      <c r="I40" s="258" t="s">
        <v>100</v>
      </c>
      <c r="J40" s="259"/>
      <c r="K40" s="8">
        <v>0</v>
      </c>
    </row>
    <row r="41" spans="1:11" x14ac:dyDescent="0.3">
      <c r="A41" s="147" t="s">
        <v>15</v>
      </c>
      <c r="B41" s="148"/>
      <c r="C41" s="258">
        <v>0</v>
      </c>
      <c r="D41" s="259"/>
      <c r="E41" s="276" t="s">
        <v>286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291</v>
      </c>
      <c r="D42" s="271"/>
      <c r="E42" s="276" t="s">
        <v>292</v>
      </c>
      <c r="F42" s="277"/>
      <c r="G42" s="258">
        <v>0</v>
      </c>
      <c r="H42" s="259"/>
      <c r="I42" s="258" t="s">
        <v>243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249</v>
      </c>
      <c r="D49" s="146"/>
      <c r="E49" s="145" t="s">
        <v>272</v>
      </c>
      <c r="F49" s="146"/>
      <c r="G49" s="145" t="s">
        <v>281</v>
      </c>
      <c r="H49" s="146"/>
      <c r="I49" s="145" t="s">
        <v>288</v>
      </c>
      <c r="J49" s="146"/>
    </row>
    <row r="50" spans="1:11" x14ac:dyDescent="0.3">
      <c r="A50" s="284" t="s">
        <v>30</v>
      </c>
      <c r="B50" s="285"/>
      <c r="C50" s="300">
        <v>13957</v>
      </c>
      <c r="D50" s="301"/>
      <c r="E50" s="300">
        <v>13906</v>
      </c>
      <c r="F50" s="301"/>
      <c r="G50" s="300">
        <v>13884</v>
      </c>
      <c r="H50" s="301"/>
      <c r="I50" s="300">
        <v>13823</v>
      </c>
      <c r="J50" s="301"/>
    </row>
    <row r="51" spans="1:11" x14ac:dyDescent="0.3">
      <c r="A51" s="284" t="s">
        <v>31</v>
      </c>
      <c r="B51" s="285"/>
      <c r="C51" s="286">
        <v>8422</v>
      </c>
      <c r="D51" s="287"/>
      <c r="E51" s="286">
        <v>8452</v>
      </c>
      <c r="F51" s="287"/>
      <c r="G51" s="286">
        <v>8506</v>
      </c>
      <c r="H51" s="287"/>
      <c r="I51" s="286">
        <v>8557</v>
      </c>
      <c r="J51" s="287"/>
    </row>
    <row r="52" spans="1:11" x14ac:dyDescent="0.3">
      <c r="A52" s="284" t="s">
        <v>32</v>
      </c>
      <c r="B52" s="285"/>
      <c r="C52" s="300">
        <v>115364</v>
      </c>
      <c r="D52" s="301"/>
      <c r="E52" s="300">
        <v>115328</v>
      </c>
      <c r="F52" s="301"/>
      <c r="G52" s="300">
        <v>115276</v>
      </c>
      <c r="H52" s="301"/>
      <c r="I52" s="300">
        <v>115106</v>
      </c>
      <c r="J52" s="301"/>
    </row>
    <row r="53" spans="1:11" x14ac:dyDescent="0.3">
      <c r="A53" s="284" t="s">
        <v>33</v>
      </c>
      <c r="B53" s="285"/>
      <c r="C53" s="286">
        <v>238</v>
      </c>
      <c r="D53" s="287"/>
      <c r="E53" s="286">
        <v>238</v>
      </c>
      <c r="F53" s="287"/>
      <c r="G53" s="286">
        <v>238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51693</v>
      </c>
      <c r="D54" s="301"/>
      <c r="E54" s="300">
        <v>51663</v>
      </c>
      <c r="F54" s="301"/>
      <c r="G54" s="300">
        <v>51610</v>
      </c>
      <c r="H54" s="301"/>
      <c r="I54" s="300">
        <v>51550</v>
      </c>
      <c r="J54" s="301"/>
    </row>
    <row r="55" spans="1:11" x14ac:dyDescent="0.3">
      <c r="A55" s="284" t="s">
        <v>53</v>
      </c>
      <c r="B55" s="285"/>
      <c r="C55" s="286">
        <v>3984</v>
      </c>
      <c r="D55" s="287"/>
      <c r="E55" s="286">
        <v>4006</v>
      </c>
      <c r="F55" s="287"/>
      <c r="G55" s="286">
        <v>4038</v>
      </c>
      <c r="H55" s="287"/>
      <c r="I55" s="286">
        <v>4085</v>
      </c>
      <c r="J55" s="287"/>
    </row>
    <row r="56" spans="1:11" x14ac:dyDescent="0.3">
      <c r="A56" s="284" t="s">
        <v>49</v>
      </c>
      <c r="B56" s="285"/>
      <c r="C56" s="300">
        <v>11839</v>
      </c>
      <c r="D56" s="301"/>
      <c r="E56" s="300">
        <v>12036</v>
      </c>
      <c r="F56" s="301"/>
      <c r="G56" s="300">
        <v>12232</v>
      </c>
      <c r="H56" s="301"/>
      <c r="I56" s="300">
        <v>12361</v>
      </c>
      <c r="J56" s="301"/>
      <c r="K56" s="11"/>
    </row>
    <row r="57" spans="1:11" x14ac:dyDescent="0.3">
      <c r="A57" s="284" t="s">
        <v>35</v>
      </c>
      <c r="B57" s="285"/>
      <c r="C57" s="286">
        <v>1608</v>
      </c>
      <c r="D57" s="287"/>
      <c r="E57" s="286">
        <v>1630</v>
      </c>
      <c r="F57" s="287"/>
      <c r="G57" s="286">
        <v>1662</v>
      </c>
      <c r="H57" s="287"/>
      <c r="I57" s="286">
        <v>1690</v>
      </c>
      <c r="J57" s="287"/>
    </row>
    <row r="58" spans="1:11" x14ac:dyDescent="0.3">
      <c r="A58" s="120" t="s">
        <v>36</v>
      </c>
      <c r="B58" s="121"/>
      <c r="C58" s="103">
        <f>SUM(C50:D57)</f>
        <v>207105</v>
      </c>
      <c r="D58" s="104"/>
      <c r="E58" s="122">
        <f>SUM(E50:F57)</f>
        <v>207259</v>
      </c>
      <c r="F58" s="123"/>
      <c r="G58" s="122">
        <f>SUM(G50:H57)</f>
        <v>207446</v>
      </c>
      <c r="H58" s="123"/>
      <c r="I58" s="122">
        <f>SUM(I50:J57)</f>
        <v>207411</v>
      </c>
      <c r="J58" s="123"/>
    </row>
    <row r="60" spans="1:11" x14ac:dyDescent="0.3">
      <c r="A60" s="124" t="s">
        <v>37</v>
      </c>
      <c r="B60" s="125"/>
      <c r="C60" s="130" t="s">
        <v>249</v>
      </c>
      <c r="D60" s="131"/>
      <c r="E60" s="130" t="s">
        <v>272</v>
      </c>
      <c r="F60" s="131"/>
      <c r="G60" s="130" t="s">
        <v>281</v>
      </c>
      <c r="H60" s="131"/>
      <c r="I60" s="130" t="s">
        <v>288</v>
      </c>
      <c r="J60" s="131"/>
    </row>
    <row r="61" spans="1:11" x14ac:dyDescent="0.3">
      <c r="A61" s="126"/>
      <c r="B61" s="127"/>
      <c r="C61" s="288">
        <v>136469</v>
      </c>
      <c r="D61" s="289"/>
      <c r="E61" s="288">
        <v>136593</v>
      </c>
      <c r="F61" s="289"/>
      <c r="G61" s="288">
        <v>136709</v>
      </c>
      <c r="H61" s="289"/>
      <c r="I61" s="288">
        <v>136752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165</v>
      </c>
      <c r="D66" s="115"/>
      <c r="E66" s="114" t="s">
        <v>207</v>
      </c>
      <c r="F66" s="115"/>
      <c r="G66" s="114" t="s">
        <v>239</v>
      </c>
      <c r="H66" s="115"/>
      <c r="I66" s="114" t="s">
        <v>293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26961</v>
      </c>
      <c r="D69" s="287"/>
      <c r="E69" s="286">
        <v>27298</v>
      </c>
      <c r="F69" s="287"/>
      <c r="G69" s="286">
        <v>27548</v>
      </c>
      <c r="H69" s="287"/>
      <c r="I69" s="286">
        <v>27824</v>
      </c>
      <c r="J69" s="287"/>
    </row>
    <row r="70" spans="1:10" x14ac:dyDescent="0.3">
      <c r="A70" s="101" t="s">
        <v>13</v>
      </c>
      <c r="B70" s="102"/>
      <c r="C70" s="286">
        <v>6631</v>
      </c>
      <c r="D70" s="287"/>
      <c r="E70" s="286">
        <v>6661</v>
      </c>
      <c r="F70" s="287"/>
      <c r="G70" s="286">
        <v>6721</v>
      </c>
      <c r="H70" s="287"/>
      <c r="I70" s="286">
        <v>6783</v>
      </c>
      <c r="J70" s="287"/>
    </row>
    <row r="71" spans="1:10" x14ac:dyDescent="0.3">
      <c r="A71" s="107" t="s">
        <v>14</v>
      </c>
      <c r="B71" s="108"/>
      <c r="C71" s="286">
        <v>5617</v>
      </c>
      <c r="D71" s="287"/>
      <c r="E71" s="286">
        <v>5694</v>
      </c>
      <c r="F71" s="287"/>
      <c r="G71" s="286">
        <v>5742</v>
      </c>
      <c r="H71" s="287"/>
      <c r="I71" s="286">
        <v>5813</v>
      </c>
      <c r="J71" s="287"/>
    </row>
    <row r="72" spans="1:10" x14ac:dyDescent="0.3">
      <c r="A72" s="107" t="s">
        <v>41</v>
      </c>
      <c r="B72" s="108"/>
      <c r="C72" s="286">
        <v>1120</v>
      </c>
      <c r="D72" s="287"/>
      <c r="E72" s="286">
        <v>1201</v>
      </c>
      <c r="F72" s="287"/>
      <c r="G72" s="286">
        <v>1228</v>
      </c>
      <c r="H72" s="287"/>
      <c r="I72" s="286">
        <v>1247</v>
      </c>
      <c r="J72" s="287"/>
    </row>
    <row r="73" spans="1:10" x14ac:dyDescent="0.3">
      <c r="A73" s="101" t="s">
        <v>15</v>
      </c>
      <c r="B73" s="102"/>
      <c r="C73" s="286">
        <v>4011</v>
      </c>
      <c r="D73" s="287"/>
      <c r="E73" s="286">
        <v>4090</v>
      </c>
      <c r="F73" s="287"/>
      <c r="G73" s="286">
        <v>4147</v>
      </c>
      <c r="H73" s="287"/>
      <c r="I73" s="286">
        <v>4242</v>
      </c>
      <c r="J73" s="287"/>
    </row>
    <row r="74" spans="1:10" x14ac:dyDescent="0.3">
      <c r="A74" s="107" t="s">
        <v>16</v>
      </c>
      <c r="B74" s="108"/>
      <c r="C74" s="286">
        <v>4483</v>
      </c>
      <c r="D74" s="287"/>
      <c r="E74" s="286">
        <v>4551</v>
      </c>
      <c r="F74" s="287"/>
      <c r="G74" s="286">
        <v>4580</v>
      </c>
      <c r="H74" s="287"/>
      <c r="I74" s="286">
        <v>4634</v>
      </c>
      <c r="J74" s="287"/>
    </row>
    <row r="75" spans="1:10" x14ac:dyDescent="0.3">
      <c r="A75" s="101" t="s">
        <v>17</v>
      </c>
      <c r="B75" s="102"/>
      <c r="C75" s="286">
        <v>6309</v>
      </c>
      <c r="D75" s="287"/>
      <c r="E75" s="286">
        <v>6464</v>
      </c>
      <c r="F75" s="287"/>
      <c r="G75" s="286">
        <v>6627</v>
      </c>
      <c r="H75" s="287"/>
      <c r="I75" s="286">
        <v>6774</v>
      </c>
      <c r="J75" s="287"/>
    </row>
    <row r="76" spans="1:10" x14ac:dyDescent="0.3">
      <c r="A76" s="107" t="s">
        <v>18</v>
      </c>
      <c r="B76" s="108"/>
      <c r="C76" s="286">
        <v>1389</v>
      </c>
      <c r="D76" s="287"/>
      <c r="E76" s="286">
        <v>1390</v>
      </c>
      <c r="F76" s="287"/>
      <c r="G76" s="286">
        <v>1435</v>
      </c>
      <c r="H76" s="287"/>
      <c r="I76" s="286">
        <v>1469</v>
      </c>
      <c r="J76" s="287"/>
    </row>
    <row r="77" spans="1:10" x14ac:dyDescent="0.3">
      <c r="A77" s="101" t="s">
        <v>19</v>
      </c>
      <c r="B77" s="102"/>
      <c r="C77" s="286">
        <v>4922</v>
      </c>
      <c r="D77" s="287"/>
      <c r="E77" s="286">
        <v>5008</v>
      </c>
      <c r="F77" s="287"/>
      <c r="G77" s="286">
        <v>5125</v>
      </c>
      <c r="H77" s="287"/>
      <c r="I77" s="286">
        <v>5202</v>
      </c>
      <c r="J77" s="287"/>
    </row>
    <row r="78" spans="1:10" x14ac:dyDescent="0.3">
      <c r="A78" s="105" t="s">
        <v>42</v>
      </c>
      <c r="B78" s="106"/>
      <c r="C78" s="103">
        <f>SUM(C69:C77)</f>
        <v>61443</v>
      </c>
      <c r="D78" s="104"/>
      <c r="E78" s="103">
        <f>SUM(E69:E77)</f>
        <v>62357</v>
      </c>
      <c r="F78" s="104"/>
      <c r="G78" s="103">
        <f>SUM(G69:G77)</f>
        <v>63153</v>
      </c>
      <c r="H78" s="104"/>
      <c r="I78" s="103">
        <f>SUM(I69:I77)</f>
        <v>63988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78"/>
  <sheetViews>
    <sheetView workbookViewId="0">
      <selection activeCell="P28" sqref="P28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7" x14ac:dyDescent="0.3">
      <c r="C1" s="6"/>
      <c r="G1" s="6"/>
      <c r="M1" s="7"/>
      <c r="N1" s="6"/>
      <c r="O1" s="6"/>
      <c r="P1" s="6"/>
      <c r="Q1" s="6"/>
    </row>
    <row r="2" spans="1:17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7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7" x14ac:dyDescent="0.3">
      <c r="A4" s="105" t="s">
        <v>9</v>
      </c>
      <c r="B4" s="106"/>
      <c r="C4" s="230" t="s">
        <v>299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98">
        <v>7586</v>
      </c>
      <c r="D5" s="299"/>
      <c r="E5" s="298">
        <v>3226</v>
      </c>
      <c r="F5" s="299"/>
      <c r="G5" s="298">
        <v>2784</v>
      </c>
      <c r="H5" s="299"/>
      <c r="I5" s="302">
        <v>9433</v>
      </c>
      <c r="J5" s="303"/>
      <c r="K5" s="302">
        <v>278</v>
      </c>
      <c r="L5" s="303"/>
      <c r="M5" s="12">
        <v>7870</v>
      </c>
      <c r="N5" s="10">
        <v>1404</v>
      </c>
      <c r="O5" s="12">
        <v>328</v>
      </c>
      <c r="P5" s="10">
        <v>2449</v>
      </c>
      <c r="Q5" s="10">
        <v>2111</v>
      </c>
    </row>
    <row r="6" spans="1:17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">
      <c r="A7" s="101" t="s">
        <v>12</v>
      </c>
      <c r="B7" s="102"/>
      <c r="C7" s="239">
        <v>415</v>
      </c>
      <c r="D7" s="240"/>
      <c r="E7" s="239">
        <v>35</v>
      </c>
      <c r="F7" s="240"/>
      <c r="G7" s="239">
        <v>7</v>
      </c>
      <c r="H7" s="240"/>
      <c r="I7" s="239">
        <v>719</v>
      </c>
      <c r="J7" s="240"/>
      <c r="K7" s="239">
        <v>83</v>
      </c>
      <c r="L7" s="240"/>
      <c r="M7" s="1">
        <v>619</v>
      </c>
      <c r="N7" s="1">
        <v>30</v>
      </c>
      <c r="O7" s="1">
        <v>0</v>
      </c>
      <c r="P7" s="1">
        <v>0</v>
      </c>
      <c r="Q7" s="1">
        <v>0</v>
      </c>
    </row>
    <row r="8" spans="1:17" x14ac:dyDescent="0.3">
      <c r="A8" s="101" t="s">
        <v>13</v>
      </c>
      <c r="B8" s="102"/>
      <c r="C8" s="239">
        <v>381</v>
      </c>
      <c r="D8" s="240"/>
      <c r="E8" s="239">
        <v>0</v>
      </c>
      <c r="F8" s="240"/>
      <c r="G8" s="239">
        <v>71</v>
      </c>
      <c r="H8" s="240"/>
      <c r="I8" s="239">
        <v>120</v>
      </c>
      <c r="J8" s="240"/>
      <c r="K8" s="239">
        <v>0</v>
      </c>
      <c r="L8" s="240"/>
      <c r="M8" s="1">
        <v>140</v>
      </c>
      <c r="N8" s="1">
        <v>15</v>
      </c>
      <c r="O8" s="1">
        <v>0</v>
      </c>
      <c r="P8" s="1">
        <v>0</v>
      </c>
      <c r="Q8" s="1">
        <v>2</v>
      </c>
    </row>
    <row r="9" spans="1:17" x14ac:dyDescent="0.3">
      <c r="A9" s="101" t="s">
        <v>14</v>
      </c>
      <c r="B9" s="102"/>
      <c r="C9" s="239">
        <v>335</v>
      </c>
      <c r="D9" s="240"/>
      <c r="E9" s="239">
        <v>266</v>
      </c>
      <c r="F9" s="240"/>
      <c r="G9" s="239">
        <v>0</v>
      </c>
      <c r="H9" s="240"/>
      <c r="I9" s="239">
        <v>5</v>
      </c>
      <c r="J9" s="240"/>
      <c r="K9" s="239">
        <v>2</v>
      </c>
      <c r="L9" s="240"/>
      <c r="M9" s="1">
        <v>123</v>
      </c>
      <c r="N9" s="1">
        <v>4</v>
      </c>
      <c r="O9" s="1">
        <v>0</v>
      </c>
      <c r="P9" s="1">
        <v>12</v>
      </c>
      <c r="Q9" s="1">
        <v>1</v>
      </c>
    </row>
    <row r="10" spans="1:17" x14ac:dyDescent="0.3">
      <c r="A10" s="101" t="s">
        <v>15</v>
      </c>
      <c r="B10" s="102"/>
      <c r="C10" s="239">
        <v>633</v>
      </c>
      <c r="D10" s="240"/>
      <c r="E10" s="239">
        <v>114</v>
      </c>
      <c r="F10" s="240"/>
      <c r="G10" s="239">
        <v>75</v>
      </c>
      <c r="H10" s="240"/>
      <c r="I10" s="239">
        <v>212</v>
      </c>
      <c r="J10" s="240"/>
      <c r="K10" s="239">
        <v>10</v>
      </c>
      <c r="L10" s="240"/>
      <c r="M10" s="1">
        <v>195</v>
      </c>
      <c r="N10" s="1">
        <v>90</v>
      </c>
      <c r="O10" s="1">
        <v>0</v>
      </c>
      <c r="P10" s="1">
        <v>0</v>
      </c>
      <c r="Q10" s="1">
        <v>0</v>
      </c>
    </row>
    <row r="11" spans="1:17" x14ac:dyDescent="0.3">
      <c r="A11" s="101" t="s">
        <v>16</v>
      </c>
      <c r="B11" s="102"/>
      <c r="C11" s="245">
        <v>502</v>
      </c>
      <c r="D11" s="246"/>
      <c r="E11" s="239">
        <v>14</v>
      </c>
      <c r="F11" s="240"/>
      <c r="G11" s="239">
        <v>0</v>
      </c>
      <c r="H11" s="240"/>
      <c r="I11" s="239">
        <v>198</v>
      </c>
      <c r="J11" s="240"/>
      <c r="K11" s="239">
        <v>141</v>
      </c>
      <c r="L11" s="240"/>
      <c r="M11" s="1">
        <v>163</v>
      </c>
      <c r="N11" s="1">
        <v>175</v>
      </c>
      <c r="O11" s="1">
        <v>82</v>
      </c>
      <c r="P11" s="1">
        <v>14</v>
      </c>
      <c r="Q11" s="1">
        <v>0</v>
      </c>
    </row>
    <row r="12" spans="1:17" x14ac:dyDescent="0.3">
      <c r="A12" s="101" t="s">
        <v>17</v>
      </c>
      <c r="B12" s="102"/>
      <c r="C12" s="245">
        <v>265</v>
      </c>
      <c r="D12" s="246"/>
      <c r="E12" s="239">
        <v>0</v>
      </c>
      <c r="F12" s="240"/>
      <c r="G12" s="239">
        <v>0</v>
      </c>
      <c r="H12" s="240"/>
      <c r="I12" s="239">
        <v>303</v>
      </c>
      <c r="J12" s="240"/>
      <c r="K12" s="239">
        <v>0</v>
      </c>
      <c r="L12" s="240"/>
      <c r="M12" s="1">
        <v>228</v>
      </c>
      <c r="N12" s="1">
        <v>86</v>
      </c>
      <c r="O12" s="1">
        <v>0</v>
      </c>
      <c r="P12" s="1">
        <v>16</v>
      </c>
      <c r="Q12" s="1">
        <v>5</v>
      </c>
    </row>
    <row r="13" spans="1:17" x14ac:dyDescent="0.3">
      <c r="A13" s="101" t="s">
        <v>18</v>
      </c>
      <c r="B13" s="102"/>
      <c r="C13" s="245">
        <v>252</v>
      </c>
      <c r="D13" s="246"/>
      <c r="E13" s="239">
        <v>0</v>
      </c>
      <c r="F13" s="240"/>
      <c r="G13" s="239">
        <v>0</v>
      </c>
      <c r="H13" s="240"/>
      <c r="I13" s="239">
        <v>116</v>
      </c>
      <c r="J13" s="240"/>
      <c r="K13" s="239">
        <v>2</v>
      </c>
      <c r="L13" s="240"/>
      <c r="M13" s="1">
        <v>109</v>
      </c>
      <c r="N13" s="1">
        <v>54</v>
      </c>
      <c r="O13" s="1">
        <v>0</v>
      </c>
      <c r="P13" s="1">
        <v>0</v>
      </c>
      <c r="Q13" s="1">
        <v>0</v>
      </c>
    </row>
    <row r="14" spans="1:17" x14ac:dyDescent="0.3">
      <c r="A14" s="207" t="s">
        <v>19</v>
      </c>
      <c r="B14" s="208"/>
      <c r="C14" s="247">
        <v>190</v>
      </c>
      <c r="D14" s="248"/>
      <c r="E14" s="247">
        <v>48</v>
      </c>
      <c r="F14" s="248"/>
      <c r="G14" s="247">
        <v>24</v>
      </c>
      <c r="H14" s="248"/>
      <c r="I14" s="239">
        <v>0</v>
      </c>
      <c r="J14" s="240"/>
      <c r="K14" s="247">
        <v>0</v>
      </c>
      <c r="L14" s="248"/>
      <c r="M14" s="2">
        <v>212</v>
      </c>
      <c r="N14" s="2">
        <v>22</v>
      </c>
      <c r="O14" s="2">
        <v>0</v>
      </c>
      <c r="P14" s="2">
        <v>0</v>
      </c>
      <c r="Q14" s="2">
        <v>0</v>
      </c>
    </row>
    <row r="15" spans="1:17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2622</v>
      </c>
      <c r="P15" s="2">
        <v>1689</v>
      </c>
      <c r="Q15" s="2">
        <v>2206</v>
      </c>
    </row>
    <row r="16" spans="1:17" ht="15" thickBot="1" x14ac:dyDescent="0.35">
      <c r="A16" s="199" t="s">
        <v>20</v>
      </c>
      <c r="B16" s="200"/>
      <c r="C16" s="201">
        <f>SUM(C5:D15)</f>
        <v>11518</v>
      </c>
      <c r="D16" s="202"/>
      <c r="E16" s="201">
        <f>SUM(E5:F15)</f>
        <v>3703</v>
      </c>
      <c r="F16" s="202"/>
      <c r="G16" s="201">
        <f>SUM(G5:H15)</f>
        <v>2961</v>
      </c>
      <c r="H16" s="202"/>
      <c r="I16" s="201">
        <f>SUM(I5:J15)</f>
        <v>11106</v>
      </c>
      <c r="J16" s="202"/>
      <c r="K16" s="201">
        <f>SUM(K5:L15)</f>
        <v>516</v>
      </c>
      <c r="L16" s="202"/>
      <c r="M16" s="3">
        <f>SUM(M5:M15)</f>
        <v>9659</v>
      </c>
      <c r="N16" s="4">
        <f>SUM(N5:N15)</f>
        <v>1880</v>
      </c>
      <c r="O16" s="4">
        <f>SUM(O5:O15)</f>
        <v>3032</v>
      </c>
      <c r="P16" s="4">
        <f>SUM(P5:P15)</f>
        <v>4180</v>
      </c>
      <c r="Q16" s="5">
        <f>SUM(Q5:Q15)</f>
        <v>4325</v>
      </c>
    </row>
    <row r="17" spans="1:17" ht="15" thickBot="1" x14ac:dyDescent="0.35">
      <c r="A17" s="190" t="s">
        <v>21</v>
      </c>
      <c r="B17" s="191"/>
      <c r="C17" s="251">
        <v>7586</v>
      </c>
      <c r="D17" s="252"/>
      <c r="E17" s="253">
        <v>3226</v>
      </c>
      <c r="F17" s="254"/>
      <c r="G17" s="255">
        <v>2784</v>
      </c>
      <c r="H17" s="256"/>
      <c r="I17" s="255">
        <v>9433</v>
      </c>
      <c r="J17" s="256"/>
      <c r="K17" s="253">
        <v>278</v>
      </c>
      <c r="L17" s="254"/>
      <c r="M17" s="28">
        <v>7870</v>
      </c>
      <c r="N17" s="28">
        <v>1404</v>
      </c>
      <c r="O17" s="9">
        <v>328</v>
      </c>
      <c r="P17" s="9">
        <v>2449</v>
      </c>
      <c r="Q17" s="9">
        <v>2111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ht="9" customHeight="1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299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49</v>
      </c>
      <c r="D25" s="259"/>
      <c r="E25" s="260" t="s">
        <v>303</v>
      </c>
      <c r="F25" s="261"/>
      <c r="G25" s="258">
        <v>1</v>
      </c>
      <c r="H25" s="259"/>
      <c r="I25" s="258">
        <v>195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5</v>
      </c>
      <c r="D26" s="259"/>
      <c r="E26" s="260" t="s">
        <v>25</v>
      </c>
      <c r="F26" s="261"/>
      <c r="G26" s="258">
        <v>0</v>
      </c>
      <c r="H26" s="259"/>
      <c r="I26" s="258">
        <v>70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68</v>
      </c>
      <c r="D27" s="259"/>
      <c r="E27" s="260" t="s">
        <v>274</v>
      </c>
      <c r="F27" s="261"/>
      <c r="G27" s="258">
        <v>0</v>
      </c>
      <c r="H27" s="259"/>
      <c r="I27" s="258">
        <v>48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298</v>
      </c>
      <c r="D28" s="261"/>
      <c r="E28" s="260" t="s">
        <v>285</v>
      </c>
      <c r="F28" s="261"/>
      <c r="G28" s="258">
        <v>0</v>
      </c>
      <c r="H28" s="259"/>
      <c r="I28" s="258">
        <v>4</v>
      </c>
      <c r="J28" s="259"/>
      <c r="K28" s="8">
        <v>1</v>
      </c>
    </row>
    <row r="29" spans="1:17" x14ac:dyDescent="0.3">
      <c r="A29" s="101" t="s">
        <v>16</v>
      </c>
      <c r="B29" s="102"/>
      <c r="C29" s="411" t="s">
        <v>301</v>
      </c>
      <c r="D29" s="412"/>
      <c r="E29" s="260" t="s">
        <v>290</v>
      </c>
      <c r="F29" s="261"/>
      <c r="G29" s="258">
        <v>0</v>
      </c>
      <c r="H29" s="259"/>
      <c r="I29" s="258">
        <v>24</v>
      </c>
      <c r="J29" s="259"/>
      <c r="K29" s="8">
        <v>4</v>
      </c>
    </row>
    <row r="30" spans="1:17" x14ac:dyDescent="0.3">
      <c r="A30" s="101" t="s">
        <v>17</v>
      </c>
      <c r="B30" s="102"/>
      <c r="C30" s="272">
        <v>6</v>
      </c>
      <c r="D30" s="271"/>
      <c r="E30" s="258" t="s">
        <v>166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26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0</v>
      </c>
      <c r="D32" s="259"/>
      <c r="E32" s="260" t="s">
        <v>285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299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296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302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243</v>
      </c>
      <c r="D40" s="259"/>
      <c r="E40" s="276" t="s">
        <v>173</v>
      </c>
      <c r="F40" s="277"/>
      <c r="G40" s="258">
        <v>7</v>
      </c>
      <c r="H40" s="259"/>
      <c r="I40" s="258" t="s">
        <v>300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304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291</v>
      </c>
      <c r="D42" s="271"/>
      <c r="E42" s="276" t="s">
        <v>292</v>
      </c>
      <c r="F42" s="277"/>
      <c r="G42" s="258">
        <v>0</v>
      </c>
      <c r="H42" s="259"/>
      <c r="I42" s="258" t="s">
        <v>243</v>
      </c>
      <c r="J42" s="259"/>
      <c r="K42" s="8" t="s">
        <v>176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305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272</v>
      </c>
      <c r="D49" s="146"/>
      <c r="E49" s="145" t="s">
        <v>281</v>
      </c>
      <c r="F49" s="146"/>
      <c r="G49" s="145" t="s">
        <v>288</v>
      </c>
      <c r="H49" s="146"/>
      <c r="I49" s="145" t="s">
        <v>299</v>
      </c>
      <c r="J49" s="146"/>
    </row>
    <row r="50" spans="1:11" x14ac:dyDescent="0.3">
      <c r="A50" s="284" t="s">
        <v>30</v>
      </c>
      <c r="B50" s="285"/>
      <c r="C50" s="300">
        <v>13906</v>
      </c>
      <c r="D50" s="301"/>
      <c r="E50" s="300">
        <v>13884</v>
      </c>
      <c r="F50" s="301"/>
      <c r="G50" s="300">
        <v>13823</v>
      </c>
      <c r="H50" s="301"/>
      <c r="I50" s="300">
        <v>13775</v>
      </c>
      <c r="J50" s="301"/>
    </row>
    <row r="51" spans="1:11" x14ac:dyDescent="0.3">
      <c r="A51" s="284" t="s">
        <v>31</v>
      </c>
      <c r="B51" s="285"/>
      <c r="C51" s="286">
        <v>8452</v>
      </c>
      <c r="D51" s="287"/>
      <c r="E51" s="286">
        <v>8506</v>
      </c>
      <c r="F51" s="287"/>
      <c r="G51" s="286">
        <v>8557</v>
      </c>
      <c r="H51" s="287"/>
      <c r="I51" s="286">
        <v>8642</v>
      </c>
      <c r="J51" s="287"/>
    </row>
    <row r="52" spans="1:11" x14ac:dyDescent="0.3">
      <c r="A52" s="284" t="s">
        <v>32</v>
      </c>
      <c r="B52" s="285"/>
      <c r="C52" s="300">
        <v>115328</v>
      </c>
      <c r="D52" s="301"/>
      <c r="E52" s="300">
        <v>115276</v>
      </c>
      <c r="F52" s="301"/>
      <c r="G52" s="300">
        <v>115106</v>
      </c>
      <c r="H52" s="301"/>
      <c r="I52" s="300">
        <v>115022</v>
      </c>
      <c r="J52" s="301"/>
    </row>
    <row r="53" spans="1:11" x14ac:dyDescent="0.3">
      <c r="A53" s="284" t="s">
        <v>33</v>
      </c>
      <c r="B53" s="285"/>
      <c r="C53" s="286">
        <v>238</v>
      </c>
      <c r="D53" s="287"/>
      <c r="E53" s="286">
        <v>238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51663</v>
      </c>
      <c r="D54" s="301"/>
      <c r="E54" s="300">
        <v>51610</v>
      </c>
      <c r="F54" s="301"/>
      <c r="G54" s="300">
        <v>51550</v>
      </c>
      <c r="H54" s="301"/>
      <c r="I54" s="300">
        <v>51497</v>
      </c>
      <c r="J54" s="301"/>
    </row>
    <row r="55" spans="1:11" x14ac:dyDescent="0.3">
      <c r="A55" s="284" t="s">
        <v>53</v>
      </c>
      <c r="B55" s="285"/>
      <c r="C55" s="286">
        <v>4006</v>
      </c>
      <c r="D55" s="287"/>
      <c r="E55" s="286">
        <v>4038</v>
      </c>
      <c r="F55" s="287"/>
      <c r="G55" s="286">
        <v>4085</v>
      </c>
      <c r="H55" s="287"/>
      <c r="I55" s="286">
        <v>4090</v>
      </c>
      <c r="J55" s="287"/>
    </row>
    <row r="56" spans="1:11" x14ac:dyDescent="0.3">
      <c r="A56" s="284" t="s">
        <v>49</v>
      </c>
      <c r="B56" s="285"/>
      <c r="C56" s="300">
        <v>12036</v>
      </c>
      <c r="D56" s="301"/>
      <c r="E56" s="300">
        <v>12232</v>
      </c>
      <c r="F56" s="301"/>
      <c r="G56" s="300">
        <v>12361</v>
      </c>
      <c r="H56" s="301"/>
      <c r="I56" s="300">
        <v>12515</v>
      </c>
      <c r="J56" s="301"/>
      <c r="K56" s="11"/>
    </row>
    <row r="57" spans="1:11" x14ac:dyDescent="0.3">
      <c r="A57" s="284" t="s">
        <v>35</v>
      </c>
      <c r="B57" s="285"/>
      <c r="C57" s="286">
        <v>1630</v>
      </c>
      <c r="D57" s="287"/>
      <c r="E57" s="286">
        <v>1662</v>
      </c>
      <c r="F57" s="287"/>
      <c r="G57" s="286">
        <v>1690</v>
      </c>
      <c r="H57" s="287"/>
      <c r="I57" s="286">
        <v>1711</v>
      </c>
      <c r="J57" s="287"/>
    </row>
    <row r="58" spans="1:11" x14ac:dyDescent="0.3">
      <c r="A58" s="120" t="s">
        <v>36</v>
      </c>
      <c r="B58" s="121"/>
      <c r="C58" s="122">
        <f>SUM(C50:D57)</f>
        <v>207259</v>
      </c>
      <c r="D58" s="123"/>
      <c r="E58" s="122">
        <f>SUM(E50:F57)</f>
        <v>207446</v>
      </c>
      <c r="F58" s="123"/>
      <c r="G58" s="122">
        <f>SUM(G50:H57)</f>
        <v>207411</v>
      </c>
      <c r="H58" s="123"/>
      <c r="I58" s="122">
        <f>SUM(I50:J57)</f>
        <v>207491</v>
      </c>
      <c r="J58" s="123"/>
    </row>
    <row r="60" spans="1:11" x14ac:dyDescent="0.3">
      <c r="A60" s="124" t="s">
        <v>37</v>
      </c>
      <c r="B60" s="125"/>
      <c r="C60" s="130" t="s">
        <v>272</v>
      </c>
      <c r="D60" s="131"/>
      <c r="E60" s="130" t="s">
        <v>281</v>
      </c>
      <c r="F60" s="131"/>
      <c r="G60" s="130" t="s">
        <v>288</v>
      </c>
      <c r="H60" s="131"/>
      <c r="I60" s="130" t="s">
        <v>299</v>
      </c>
      <c r="J60" s="131"/>
    </row>
    <row r="61" spans="1:11" x14ac:dyDescent="0.3">
      <c r="A61" s="126"/>
      <c r="B61" s="127"/>
      <c r="C61" s="288">
        <v>136593</v>
      </c>
      <c r="D61" s="289"/>
      <c r="E61" s="288">
        <v>136709</v>
      </c>
      <c r="F61" s="289"/>
      <c r="G61" s="288">
        <v>136752</v>
      </c>
      <c r="H61" s="289"/>
      <c r="I61" s="288">
        <v>136831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165</v>
      </c>
      <c r="D66" s="115"/>
      <c r="E66" s="114" t="s">
        <v>207</v>
      </c>
      <c r="F66" s="115"/>
      <c r="G66" s="114" t="s">
        <v>239</v>
      </c>
      <c r="H66" s="115"/>
      <c r="I66" s="114" t="s">
        <v>293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26961</v>
      </c>
      <c r="D69" s="287"/>
      <c r="E69" s="286">
        <v>27298</v>
      </c>
      <c r="F69" s="287"/>
      <c r="G69" s="286">
        <v>27548</v>
      </c>
      <c r="H69" s="287"/>
      <c r="I69" s="286">
        <v>27824</v>
      </c>
      <c r="J69" s="287"/>
    </row>
    <row r="70" spans="1:10" x14ac:dyDescent="0.3">
      <c r="A70" s="101" t="s">
        <v>13</v>
      </c>
      <c r="B70" s="102"/>
      <c r="C70" s="286">
        <v>6631</v>
      </c>
      <c r="D70" s="287"/>
      <c r="E70" s="286">
        <v>6661</v>
      </c>
      <c r="F70" s="287"/>
      <c r="G70" s="286">
        <v>6721</v>
      </c>
      <c r="H70" s="287"/>
      <c r="I70" s="286">
        <v>6783</v>
      </c>
      <c r="J70" s="287"/>
    </row>
    <row r="71" spans="1:10" x14ac:dyDescent="0.3">
      <c r="A71" s="107" t="s">
        <v>14</v>
      </c>
      <c r="B71" s="108"/>
      <c r="C71" s="286">
        <v>5617</v>
      </c>
      <c r="D71" s="287"/>
      <c r="E71" s="286">
        <v>5694</v>
      </c>
      <c r="F71" s="287"/>
      <c r="G71" s="286">
        <v>5742</v>
      </c>
      <c r="H71" s="287"/>
      <c r="I71" s="286">
        <v>5813</v>
      </c>
      <c r="J71" s="287"/>
    </row>
    <row r="72" spans="1:10" x14ac:dyDescent="0.3">
      <c r="A72" s="107" t="s">
        <v>41</v>
      </c>
      <c r="B72" s="108"/>
      <c r="C72" s="286">
        <v>1120</v>
      </c>
      <c r="D72" s="287"/>
      <c r="E72" s="286">
        <v>1201</v>
      </c>
      <c r="F72" s="287"/>
      <c r="G72" s="286">
        <v>1228</v>
      </c>
      <c r="H72" s="287"/>
      <c r="I72" s="286">
        <v>1247</v>
      </c>
      <c r="J72" s="287"/>
    </row>
    <row r="73" spans="1:10" x14ac:dyDescent="0.3">
      <c r="A73" s="101" t="s">
        <v>15</v>
      </c>
      <c r="B73" s="102"/>
      <c r="C73" s="286">
        <v>4011</v>
      </c>
      <c r="D73" s="287"/>
      <c r="E73" s="286">
        <v>4090</v>
      </c>
      <c r="F73" s="287"/>
      <c r="G73" s="286">
        <v>4147</v>
      </c>
      <c r="H73" s="287"/>
      <c r="I73" s="286">
        <v>4242</v>
      </c>
      <c r="J73" s="287"/>
    </row>
    <row r="74" spans="1:10" x14ac:dyDescent="0.3">
      <c r="A74" s="107" t="s">
        <v>16</v>
      </c>
      <c r="B74" s="108"/>
      <c r="C74" s="286">
        <v>4483</v>
      </c>
      <c r="D74" s="287"/>
      <c r="E74" s="286">
        <v>4551</v>
      </c>
      <c r="F74" s="287"/>
      <c r="G74" s="286">
        <v>4580</v>
      </c>
      <c r="H74" s="287"/>
      <c r="I74" s="286">
        <v>4634</v>
      </c>
      <c r="J74" s="287"/>
    </row>
    <row r="75" spans="1:10" x14ac:dyDescent="0.3">
      <c r="A75" s="101" t="s">
        <v>17</v>
      </c>
      <c r="B75" s="102"/>
      <c r="C75" s="286">
        <v>6309</v>
      </c>
      <c r="D75" s="287"/>
      <c r="E75" s="286">
        <v>6464</v>
      </c>
      <c r="F75" s="287"/>
      <c r="G75" s="286">
        <v>6627</v>
      </c>
      <c r="H75" s="287"/>
      <c r="I75" s="286">
        <v>6774</v>
      </c>
      <c r="J75" s="287"/>
    </row>
    <row r="76" spans="1:10" x14ac:dyDescent="0.3">
      <c r="A76" s="107" t="s">
        <v>18</v>
      </c>
      <c r="B76" s="108"/>
      <c r="C76" s="286">
        <v>1389</v>
      </c>
      <c r="D76" s="287"/>
      <c r="E76" s="286">
        <v>1390</v>
      </c>
      <c r="F76" s="287"/>
      <c r="G76" s="286">
        <v>1435</v>
      </c>
      <c r="H76" s="287"/>
      <c r="I76" s="286">
        <v>1469</v>
      </c>
      <c r="J76" s="287"/>
    </row>
    <row r="77" spans="1:10" x14ac:dyDescent="0.3">
      <c r="A77" s="101" t="s">
        <v>19</v>
      </c>
      <c r="B77" s="102"/>
      <c r="C77" s="286">
        <v>4922</v>
      </c>
      <c r="D77" s="287"/>
      <c r="E77" s="286">
        <v>5008</v>
      </c>
      <c r="F77" s="287"/>
      <c r="G77" s="286">
        <v>5125</v>
      </c>
      <c r="H77" s="287"/>
      <c r="I77" s="286">
        <v>5202</v>
      </c>
      <c r="J77" s="287"/>
    </row>
    <row r="78" spans="1:10" x14ac:dyDescent="0.3">
      <c r="A78" s="105" t="s">
        <v>42</v>
      </c>
      <c r="B78" s="106"/>
      <c r="C78" s="103">
        <f>SUM(C69:C77)</f>
        <v>61443</v>
      </c>
      <c r="D78" s="104"/>
      <c r="E78" s="103">
        <f>SUM(E69:E77)</f>
        <v>62357</v>
      </c>
      <c r="F78" s="104"/>
      <c r="G78" s="103">
        <f>SUM(G69:G77)</f>
        <v>63153</v>
      </c>
      <c r="H78" s="104"/>
      <c r="I78" s="103">
        <f>SUM(I69:I77)</f>
        <v>63988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78"/>
  <sheetViews>
    <sheetView workbookViewId="0">
      <selection activeCell="C13" sqref="C13:Q13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306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7286</v>
      </c>
      <c r="D5" s="299"/>
      <c r="E5" s="298">
        <v>3226</v>
      </c>
      <c r="F5" s="299"/>
      <c r="G5" s="298">
        <v>2784</v>
      </c>
      <c r="H5" s="299"/>
      <c r="I5" s="302">
        <v>9313</v>
      </c>
      <c r="J5" s="303"/>
      <c r="K5" s="302">
        <v>278</v>
      </c>
      <c r="L5" s="303"/>
      <c r="M5" s="12">
        <v>7770</v>
      </c>
      <c r="N5" s="10">
        <v>1374</v>
      </c>
      <c r="O5" s="12">
        <v>278</v>
      </c>
      <c r="P5" s="10">
        <v>2409</v>
      </c>
      <c r="Q5" s="10">
        <v>2071</v>
      </c>
    </row>
    <row r="6" spans="1:18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277</v>
      </c>
      <c r="D7" s="240"/>
      <c r="E7" s="239">
        <v>34</v>
      </c>
      <c r="F7" s="240"/>
      <c r="G7" s="239">
        <v>7</v>
      </c>
      <c r="H7" s="240"/>
      <c r="I7" s="239">
        <v>604</v>
      </c>
      <c r="J7" s="240"/>
      <c r="K7" s="239">
        <v>79</v>
      </c>
      <c r="L7" s="240"/>
      <c r="M7" s="1">
        <v>544</v>
      </c>
      <c r="N7" s="1">
        <v>29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285</v>
      </c>
      <c r="D8" s="240"/>
      <c r="E8" s="239">
        <v>0</v>
      </c>
      <c r="F8" s="240"/>
      <c r="G8" s="239">
        <v>59</v>
      </c>
      <c r="H8" s="240"/>
      <c r="I8" s="239">
        <v>120</v>
      </c>
      <c r="J8" s="240"/>
      <c r="K8" s="239">
        <v>0</v>
      </c>
      <c r="L8" s="240"/>
      <c r="M8" s="1">
        <v>122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181</v>
      </c>
      <c r="D9" s="240"/>
      <c r="E9" s="239">
        <v>212</v>
      </c>
      <c r="F9" s="240"/>
      <c r="G9" s="239">
        <v>0</v>
      </c>
      <c r="H9" s="240"/>
      <c r="I9" s="239">
        <v>124</v>
      </c>
      <c r="J9" s="240"/>
      <c r="K9" s="239">
        <v>1</v>
      </c>
      <c r="L9" s="240"/>
      <c r="M9" s="1">
        <v>191</v>
      </c>
      <c r="N9" s="1">
        <v>33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438</v>
      </c>
      <c r="D10" s="240"/>
      <c r="E10" s="239">
        <v>93</v>
      </c>
      <c r="F10" s="240"/>
      <c r="G10" s="239">
        <v>75</v>
      </c>
      <c r="H10" s="240"/>
      <c r="I10" s="239">
        <v>206</v>
      </c>
      <c r="J10" s="240"/>
      <c r="K10" s="239">
        <v>6</v>
      </c>
      <c r="L10" s="240"/>
      <c r="M10" s="1">
        <v>175</v>
      </c>
      <c r="N10" s="1">
        <v>95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450</v>
      </c>
      <c r="D11" s="246"/>
      <c r="E11" s="239">
        <v>14</v>
      </c>
      <c r="F11" s="240"/>
      <c r="G11" s="239">
        <v>0</v>
      </c>
      <c r="H11" s="240"/>
      <c r="I11" s="239">
        <v>192</v>
      </c>
      <c r="J11" s="240"/>
      <c r="K11" s="239">
        <v>115</v>
      </c>
      <c r="L11" s="240"/>
      <c r="M11" s="1">
        <v>154</v>
      </c>
      <c r="N11" s="1">
        <v>162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240</v>
      </c>
      <c r="D12" s="246"/>
      <c r="E12" s="239">
        <v>0</v>
      </c>
      <c r="F12" s="240"/>
      <c r="G12" s="239">
        <v>0</v>
      </c>
      <c r="H12" s="240"/>
      <c r="I12" s="239">
        <v>283</v>
      </c>
      <c r="J12" s="240"/>
      <c r="K12" s="239">
        <v>0</v>
      </c>
      <c r="L12" s="240"/>
      <c r="M12" s="1">
        <v>208</v>
      </c>
      <c r="N12" s="1">
        <v>83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325</v>
      </c>
      <c r="D13" s="246"/>
      <c r="E13" s="239">
        <v>0</v>
      </c>
      <c r="F13" s="240"/>
      <c r="G13" s="239">
        <v>0</v>
      </c>
      <c r="H13" s="240"/>
      <c r="I13" s="239">
        <v>106</v>
      </c>
      <c r="J13" s="240"/>
      <c r="K13" s="239">
        <v>2</v>
      </c>
      <c r="L13" s="240"/>
      <c r="M13" s="1">
        <v>107</v>
      </c>
      <c r="N13" s="1">
        <v>54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230</v>
      </c>
      <c r="D14" s="248"/>
      <c r="E14" s="247">
        <v>43</v>
      </c>
      <c r="F14" s="248"/>
      <c r="G14" s="247">
        <v>21</v>
      </c>
      <c r="H14" s="248"/>
      <c r="I14" s="239">
        <v>157</v>
      </c>
      <c r="J14" s="240"/>
      <c r="K14" s="247">
        <v>0</v>
      </c>
      <c r="L14" s="248"/>
      <c r="M14" s="2">
        <v>225</v>
      </c>
      <c r="N14" s="2">
        <v>19</v>
      </c>
      <c r="O14" s="2">
        <v>0</v>
      </c>
      <c r="P14" s="2">
        <v>0</v>
      </c>
      <c r="Q14" s="2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2">
        <v>2148</v>
      </c>
      <c r="P15" s="2">
        <v>2193</v>
      </c>
      <c r="Q15" s="2">
        <v>1934</v>
      </c>
    </row>
    <row r="16" spans="1:18" ht="15" thickBot="1" x14ac:dyDescent="0.35">
      <c r="A16" s="199" t="s">
        <v>20</v>
      </c>
      <c r="B16" s="200"/>
      <c r="C16" s="201">
        <f>SUM(C5:D15)</f>
        <v>10671</v>
      </c>
      <c r="D16" s="202"/>
      <c r="E16" s="201">
        <f>SUM(E5:F15)</f>
        <v>3622</v>
      </c>
      <c r="F16" s="202"/>
      <c r="G16" s="201">
        <f>SUM(G5:H15)</f>
        <v>2946</v>
      </c>
      <c r="H16" s="202"/>
      <c r="I16" s="201">
        <f>SUM(I5:J15)</f>
        <v>11105</v>
      </c>
      <c r="J16" s="202"/>
      <c r="K16" s="201">
        <f>SUM(K5:L15)</f>
        <v>481</v>
      </c>
      <c r="L16" s="202"/>
      <c r="M16" s="3">
        <f>SUM(M5:M15)</f>
        <v>9496</v>
      </c>
      <c r="N16" s="4">
        <f>SUM(N5:N15)</f>
        <v>1864</v>
      </c>
      <c r="O16" s="4">
        <f>SUM(O5:O15)</f>
        <v>2508</v>
      </c>
      <c r="P16" s="4">
        <f>SUM(P5:P15)</f>
        <v>4644</v>
      </c>
      <c r="Q16" s="5">
        <f>SUM(Q5:Q15)</f>
        <v>4013</v>
      </c>
    </row>
    <row r="17" spans="1:17" ht="15" thickBot="1" x14ac:dyDescent="0.35">
      <c r="A17" s="190" t="s">
        <v>21</v>
      </c>
      <c r="B17" s="191"/>
      <c r="C17" s="251">
        <v>6786</v>
      </c>
      <c r="D17" s="252"/>
      <c r="E17" s="253">
        <v>3226</v>
      </c>
      <c r="F17" s="254"/>
      <c r="G17" s="255">
        <v>2784</v>
      </c>
      <c r="H17" s="256"/>
      <c r="I17" s="255">
        <v>9263</v>
      </c>
      <c r="J17" s="256"/>
      <c r="K17" s="253">
        <v>278</v>
      </c>
      <c r="L17" s="254"/>
      <c r="M17" s="30">
        <v>7720</v>
      </c>
      <c r="N17" s="30">
        <v>1374</v>
      </c>
      <c r="O17" s="9">
        <v>278</v>
      </c>
      <c r="P17" s="9">
        <v>2409</v>
      </c>
      <c r="Q17" s="9">
        <v>2071</v>
      </c>
    </row>
    <row r="18" spans="1:17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</row>
    <row r="19" spans="1:17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</row>
    <row r="22" spans="1:17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17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17" x14ac:dyDescent="0.3">
      <c r="A24" s="105" t="s">
        <v>9</v>
      </c>
      <c r="B24" s="106"/>
      <c r="C24" s="257" t="s">
        <v>306</v>
      </c>
      <c r="D24" s="257"/>
      <c r="E24" s="257"/>
      <c r="F24" s="257"/>
      <c r="G24" s="257"/>
      <c r="H24" s="257"/>
      <c r="I24" s="257"/>
      <c r="J24" s="257"/>
      <c r="K24" s="257"/>
    </row>
    <row r="25" spans="1:17" x14ac:dyDescent="0.3">
      <c r="A25" s="101" t="s">
        <v>12</v>
      </c>
      <c r="B25" s="102"/>
      <c r="C25" s="258">
        <v>67</v>
      </c>
      <c r="D25" s="259"/>
      <c r="E25" s="260" t="s">
        <v>143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17" x14ac:dyDescent="0.3">
      <c r="A26" s="101" t="s">
        <v>13</v>
      </c>
      <c r="B26" s="102"/>
      <c r="C26" s="258">
        <v>12</v>
      </c>
      <c r="D26" s="259"/>
      <c r="E26" s="260" t="s">
        <v>25</v>
      </c>
      <c r="F26" s="261"/>
      <c r="G26" s="258">
        <v>0</v>
      </c>
      <c r="H26" s="259"/>
      <c r="I26" s="258">
        <v>65</v>
      </c>
      <c r="J26" s="259"/>
      <c r="K26" s="8">
        <v>0</v>
      </c>
    </row>
    <row r="27" spans="1:17" x14ac:dyDescent="0.3">
      <c r="A27" s="101" t="s">
        <v>14</v>
      </c>
      <c r="B27" s="102"/>
      <c r="C27" s="258">
        <v>85</v>
      </c>
      <c r="D27" s="259"/>
      <c r="E27" s="260" t="s">
        <v>307</v>
      </c>
      <c r="F27" s="261"/>
      <c r="G27" s="258">
        <v>1</v>
      </c>
      <c r="H27" s="259"/>
      <c r="I27" s="258">
        <v>56</v>
      </c>
      <c r="J27" s="259"/>
      <c r="K27" s="8">
        <v>0</v>
      </c>
    </row>
    <row r="28" spans="1:17" ht="15" customHeight="1" x14ac:dyDescent="0.3">
      <c r="A28" s="101" t="s">
        <v>15</v>
      </c>
      <c r="B28" s="102"/>
      <c r="C28" s="260" t="s">
        <v>318</v>
      </c>
      <c r="D28" s="261"/>
      <c r="E28" s="260" t="s">
        <v>319</v>
      </c>
      <c r="F28" s="261"/>
      <c r="G28" s="258">
        <v>0</v>
      </c>
      <c r="H28" s="259"/>
      <c r="I28" s="258">
        <v>4</v>
      </c>
      <c r="J28" s="259"/>
      <c r="K28" s="8">
        <v>2</v>
      </c>
    </row>
    <row r="29" spans="1:17" x14ac:dyDescent="0.3">
      <c r="A29" s="101" t="s">
        <v>16</v>
      </c>
      <c r="B29" s="102"/>
      <c r="C29" s="411" t="s">
        <v>312</v>
      </c>
      <c r="D29" s="412"/>
      <c r="E29" s="260" t="s">
        <v>313</v>
      </c>
      <c r="F29" s="261"/>
      <c r="G29" s="258">
        <v>0</v>
      </c>
      <c r="H29" s="259"/>
      <c r="I29" s="258">
        <v>21</v>
      </c>
      <c r="J29" s="259"/>
      <c r="K29" s="8">
        <v>4</v>
      </c>
    </row>
    <row r="30" spans="1:17" x14ac:dyDescent="0.3">
      <c r="A30" s="101" t="s">
        <v>17</v>
      </c>
      <c r="B30" s="102"/>
      <c r="C30" s="272">
        <v>5</v>
      </c>
      <c r="D30" s="271"/>
      <c r="E30" s="258" t="s">
        <v>166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17" x14ac:dyDescent="0.3">
      <c r="A31" s="101" t="s">
        <v>18</v>
      </c>
      <c r="B31" s="102"/>
      <c r="C31" s="272">
        <v>16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17" x14ac:dyDescent="0.3">
      <c r="A32" s="101" t="s">
        <v>19</v>
      </c>
      <c r="B32" s="102"/>
      <c r="C32" s="258">
        <v>0</v>
      </c>
      <c r="D32" s="259"/>
      <c r="E32" s="260" t="s">
        <v>285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306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317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311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308</v>
      </c>
      <c r="D40" s="259"/>
      <c r="E40" s="276" t="s">
        <v>309</v>
      </c>
      <c r="F40" s="277"/>
      <c r="G40" s="258">
        <v>6</v>
      </c>
      <c r="H40" s="259"/>
      <c r="I40" s="258" t="s">
        <v>310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320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314</v>
      </c>
      <c r="D42" s="271"/>
      <c r="E42" s="276" t="s">
        <v>315</v>
      </c>
      <c r="F42" s="277"/>
      <c r="G42" s="258">
        <v>0</v>
      </c>
      <c r="H42" s="259"/>
      <c r="I42" s="258" t="s">
        <v>243</v>
      </c>
      <c r="J42" s="259"/>
      <c r="K42" s="8" t="s">
        <v>316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321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281</v>
      </c>
      <c r="D49" s="146"/>
      <c r="E49" s="145" t="s">
        <v>288</v>
      </c>
      <c r="F49" s="146"/>
      <c r="G49" s="145" t="s">
        <v>299</v>
      </c>
      <c r="H49" s="146"/>
      <c r="I49" s="145" t="s">
        <v>306</v>
      </c>
      <c r="J49" s="146"/>
    </row>
    <row r="50" spans="1:11" x14ac:dyDescent="0.3">
      <c r="A50" s="284" t="s">
        <v>30</v>
      </c>
      <c r="B50" s="285"/>
      <c r="C50" s="300">
        <v>13884</v>
      </c>
      <c r="D50" s="301"/>
      <c r="E50" s="300">
        <v>13823</v>
      </c>
      <c r="F50" s="301"/>
      <c r="G50" s="300">
        <v>13775</v>
      </c>
      <c r="H50" s="301"/>
      <c r="I50" s="300">
        <v>13736</v>
      </c>
      <c r="J50" s="301"/>
    </row>
    <row r="51" spans="1:11" x14ac:dyDescent="0.3">
      <c r="A51" s="284" t="s">
        <v>31</v>
      </c>
      <c r="B51" s="285"/>
      <c r="C51" s="286">
        <v>8506</v>
      </c>
      <c r="D51" s="287"/>
      <c r="E51" s="286">
        <v>8557</v>
      </c>
      <c r="F51" s="287"/>
      <c r="G51" s="286">
        <v>8642</v>
      </c>
      <c r="H51" s="287"/>
      <c r="I51" s="286">
        <v>8713</v>
      </c>
      <c r="J51" s="287"/>
    </row>
    <row r="52" spans="1:11" x14ac:dyDescent="0.3">
      <c r="A52" s="284" t="s">
        <v>32</v>
      </c>
      <c r="B52" s="285"/>
      <c r="C52" s="300">
        <v>115276</v>
      </c>
      <c r="D52" s="301"/>
      <c r="E52" s="300">
        <v>115106</v>
      </c>
      <c r="F52" s="301"/>
      <c r="G52" s="300">
        <v>115022</v>
      </c>
      <c r="H52" s="301"/>
      <c r="I52" s="300">
        <v>114913</v>
      </c>
      <c r="J52" s="301"/>
    </row>
    <row r="53" spans="1:11" x14ac:dyDescent="0.3">
      <c r="A53" s="284" t="s">
        <v>33</v>
      </c>
      <c r="B53" s="285"/>
      <c r="C53" s="286">
        <v>238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51610</v>
      </c>
      <c r="D54" s="301"/>
      <c r="E54" s="300">
        <v>51550</v>
      </c>
      <c r="F54" s="301"/>
      <c r="G54" s="300">
        <v>51497</v>
      </c>
      <c r="H54" s="301"/>
      <c r="I54" s="300">
        <v>51445</v>
      </c>
      <c r="J54" s="301"/>
    </row>
    <row r="55" spans="1:11" x14ac:dyDescent="0.3">
      <c r="A55" s="284" t="s">
        <v>53</v>
      </c>
      <c r="B55" s="285"/>
      <c r="C55" s="286">
        <v>4038</v>
      </c>
      <c r="D55" s="287"/>
      <c r="E55" s="286">
        <v>4085</v>
      </c>
      <c r="F55" s="287"/>
      <c r="G55" s="286">
        <v>4090</v>
      </c>
      <c r="H55" s="287"/>
      <c r="I55" s="286">
        <v>4115</v>
      </c>
      <c r="J55" s="287"/>
    </row>
    <row r="56" spans="1:11" x14ac:dyDescent="0.3">
      <c r="A56" s="284" t="s">
        <v>49</v>
      </c>
      <c r="B56" s="285"/>
      <c r="C56" s="300">
        <v>12232</v>
      </c>
      <c r="D56" s="301"/>
      <c r="E56" s="300">
        <v>12361</v>
      </c>
      <c r="F56" s="301"/>
      <c r="G56" s="300">
        <v>12515</v>
      </c>
      <c r="H56" s="301"/>
      <c r="I56" s="300">
        <v>12694</v>
      </c>
      <c r="J56" s="301"/>
      <c r="K56" s="11"/>
    </row>
    <row r="57" spans="1:11" x14ac:dyDescent="0.3">
      <c r="A57" s="284" t="s">
        <v>35</v>
      </c>
      <c r="B57" s="285"/>
      <c r="C57" s="286">
        <v>1662</v>
      </c>
      <c r="D57" s="287"/>
      <c r="E57" s="286">
        <v>1690</v>
      </c>
      <c r="F57" s="287"/>
      <c r="G57" s="286">
        <v>1711</v>
      </c>
      <c r="H57" s="287"/>
      <c r="I57" s="286">
        <v>1751</v>
      </c>
      <c r="J57" s="287"/>
    </row>
    <row r="58" spans="1:11" x14ac:dyDescent="0.3">
      <c r="A58" s="120" t="s">
        <v>36</v>
      </c>
      <c r="B58" s="121"/>
      <c r="C58" s="122">
        <f>SUM(C50:D57)</f>
        <v>207446</v>
      </c>
      <c r="D58" s="123"/>
      <c r="E58" s="122">
        <f>SUM(E50:F57)</f>
        <v>207411</v>
      </c>
      <c r="F58" s="123"/>
      <c r="G58" s="122">
        <f>SUM(G50:H57)</f>
        <v>207491</v>
      </c>
      <c r="H58" s="123"/>
      <c r="I58" s="122">
        <f>SUM(I50:J57)</f>
        <v>207606</v>
      </c>
      <c r="J58" s="123"/>
    </row>
    <row r="60" spans="1:11" x14ac:dyDescent="0.3">
      <c r="A60" s="124" t="s">
        <v>37</v>
      </c>
      <c r="B60" s="125"/>
      <c r="C60" s="130" t="s">
        <v>281</v>
      </c>
      <c r="D60" s="131"/>
      <c r="E60" s="130" t="s">
        <v>288</v>
      </c>
      <c r="F60" s="131"/>
      <c r="G60" s="130" t="s">
        <v>299</v>
      </c>
      <c r="H60" s="131"/>
      <c r="I60" s="130" t="s">
        <v>306</v>
      </c>
      <c r="J60" s="131"/>
    </row>
    <row r="61" spans="1:11" x14ac:dyDescent="0.3">
      <c r="A61" s="126"/>
      <c r="B61" s="127"/>
      <c r="C61" s="288">
        <v>136709</v>
      </c>
      <c r="D61" s="289"/>
      <c r="E61" s="288">
        <v>136752</v>
      </c>
      <c r="F61" s="289"/>
      <c r="G61" s="288">
        <v>136831</v>
      </c>
      <c r="H61" s="289"/>
      <c r="I61" s="288">
        <v>136929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165</v>
      </c>
      <c r="D66" s="115"/>
      <c r="E66" s="114" t="s">
        <v>207</v>
      </c>
      <c r="F66" s="115"/>
      <c r="G66" s="114" t="s">
        <v>239</v>
      </c>
      <c r="H66" s="115"/>
      <c r="I66" s="114" t="s">
        <v>293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26961</v>
      </c>
      <c r="D69" s="287"/>
      <c r="E69" s="286">
        <v>27298</v>
      </c>
      <c r="F69" s="287"/>
      <c r="G69" s="286">
        <v>27548</v>
      </c>
      <c r="H69" s="287"/>
      <c r="I69" s="286">
        <v>27824</v>
      </c>
      <c r="J69" s="287"/>
    </row>
    <row r="70" spans="1:10" x14ac:dyDescent="0.3">
      <c r="A70" s="101" t="s">
        <v>13</v>
      </c>
      <c r="B70" s="102"/>
      <c r="C70" s="286">
        <v>6631</v>
      </c>
      <c r="D70" s="287"/>
      <c r="E70" s="286">
        <v>6661</v>
      </c>
      <c r="F70" s="287"/>
      <c r="G70" s="286">
        <v>6721</v>
      </c>
      <c r="H70" s="287"/>
      <c r="I70" s="286">
        <v>6783</v>
      </c>
      <c r="J70" s="287"/>
    </row>
    <row r="71" spans="1:10" x14ac:dyDescent="0.3">
      <c r="A71" s="107" t="s">
        <v>14</v>
      </c>
      <c r="B71" s="108"/>
      <c r="C71" s="286">
        <v>5617</v>
      </c>
      <c r="D71" s="287"/>
      <c r="E71" s="286">
        <v>5694</v>
      </c>
      <c r="F71" s="287"/>
      <c r="G71" s="286">
        <v>5742</v>
      </c>
      <c r="H71" s="287"/>
      <c r="I71" s="286">
        <v>5813</v>
      </c>
      <c r="J71" s="287"/>
    </row>
    <row r="72" spans="1:10" x14ac:dyDescent="0.3">
      <c r="A72" s="107" t="s">
        <v>41</v>
      </c>
      <c r="B72" s="108"/>
      <c r="C72" s="286">
        <v>1120</v>
      </c>
      <c r="D72" s="287"/>
      <c r="E72" s="286">
        <v>1201</v>
      </c>
      <c r="F72" s="287"/>
      <c r="G72" s="286">
        <v>1228</v>
      </c>
      <c r="H72" s="287"/>
      <c r="I72" s="286">
        <v>1247</v>
      </c>
      <c r="J72" s="287"/>
    </row>
    <row r="73" spans="1:10" x14ac:dyDescent="0.3">
      <c r="A73" s="101" t="s">
        <v>15</v>
      </c>
      <c r="B73" s="102"/>
      <c r="C73" s="286">
        <v>4011</v>
      </c>
      <c r="D73" s="287"/>
      <c r="E73" s="286">
        <v>4090</v>
      </c>
      <c r="F73" s="287"/>
      <c r="G73" s="286">
        <v>4147</v>
      </c>
      <c r="H73" s="287"/>
      <c r="I73" s="286">
        <v>4242</v>
      </c>
      <c r="J73" s="287"/>
    </row>
    <row r="74" spans="1:10" x14ac:dyDescent="0.3">
      <c r="A74" s="107" t="s">
        <v>16</v>
      </c>
      <c r="B74" s="108"/>
      <c r="C74" s="286">
        <v>4483</v>
      </c>
      <c r="D74" s="287"/>
      <c r="E74" s="286">
        <v>4551</v>
      </c>
      <c r="F74" s="287"/>
      <c r="G74" s="286">
        <v>4580</v>
      </c>
      <c r="H74" s="287"/>
      <c r="I74" s="286">
        <v>4634</v>
      </c>
      <c r="J74" s="287"/>
    </row>
    <row r="75" spans="1:10" x14ac:dyDescent="0.3">
      <c r="A75" s="101" t="s">
        <v>17</v>
      </c>
      <c r="B75" s="102"/>
      <c r="C75" s="286">
        <v>6309</v>
      </c>
      <c r="D75" s="287"/>
      <c r="E75" s="286">
        <v>6464</v>
      </c>
      <c r="F75" s="287"/>
      <c r="G75" s="286">
        <v>6627</v>
      </c>
      <c r="H75" s="287"/>
      <c r="I75" s="286">
        <v>6774</v>
      </c>
      <c r="J75" s="287"/>
    </row>
    <row r="76" spans="1:10" x14ac:dyDescent="0.3">
      <c r="A76" s="107" t="s">
        <v>18</v>
      </c>
      <c r="B76" s="108"/>
      <c r="C76" s="286">
        <v>1389</v>
      </c>
      <c r="D76" s="287"/>
      <c r="E76" s="286">
        <v>1390</v>
      </c>
      <c r="F76" s="287"/>
      <c r="G76" s="286">
        <v>1435</v>
      </c>
      <c r="H76" s="287"/>
      <c r="I76" s="286">
        <v>1469</v>
      </c>
      <c r="J76" s="287"/>
    </row>
    <row r="77" spans="1:10" x14ac:dyDescent="0.3">
      <c r="A77" s="101" t="s">
        <v>19</v>
      </c>
      <c r="B77" s="102"/>
      <c r="C77" s="286">
        <v>4922</v>
      </c>
      <c r="D77" s="287"/>
      <c r="E77" s="286">
        <v>5008</v>
      </c>
      <c r="F77" s="287"/>
      <c r="G77" s="286">
        <v>5125</v>
      </c>
      <c r="H77" s="287"/>
      <c r="I77" s="286">
        <v>5202</v>
      </c>
      <c r="J77" s="287"/>
    </row>
    <row r="78" spans="1:10" x14ac:dyDescent="0.3">
      <c r="A78" s="105" t="s">
        <v>42</v>
      </c>
      <c r="B78" s="106"/>
      <c r="C78" s="103">
        <f>SUM(C69:C77)</f>
        <v>61443</v>
      </c>
      <c r="D78" s="104"/>
      <c r="E78" s="103">
        <f>SUM(E69:E77)</f>
        <v>62357</v>
      </c>
      <c r="F78" s="104"/>
      <c r="G78" s="103">
        <f>SUM(G69:G77)</f>
        <v>63153</v>
      </c>
      <c r="H78" s="104"/>
      <c r="I78" s="103">
        <f>SUM(I69:I77)</f>
        <v>63988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322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6886</v>
      </c>
      <c r="D5" s="299"/>
      <c r="E5" s="298">
        <v>3226</v>
      </c>
      <c r="F5" s="299"/>
      <c r="G5" s="298">
        <v>2784</v>
      </c>
      <c r="H5" s="299"/>
      <c r="I5" s="302">
        <v>9263</v>
      </c>
      <c r="J5" s="303"/>
      <c r="K5" s="302">
        <v>278</v>
      </c>
      <c r="L5" s="303"/>
      <c r="M5" s="12">
        <v>7720</v>
      </c>
      <c r="N5" s="10">
        <v>1374</v>
      </c>
      <c r="O5" s="12">
        <v>115</v>
      </c>
      <c r="P5" s="10">
        <v>2129</v>
      </c>
      <c r="Q5" s="10">
        <v>1791</v>
      </c>
    </row>
    <row r="6" spans="1:18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185</v>
      </c>
      <c r="D7" s="240"/>
      <c r="E7" s="239">
        <v>33</v>
      </c>
      <c r="F7" s="240"/>
      <c r="G7" s="239">
        <v>7</v>
      </c>
      <c r="H7" s="240"/>
      <c r="I7" s="239">
        <v>447</v>
      </c>
      <c r="J7" s="240"/>
      <c r="K7" s="239">
        <v>79</v>
      </c>
      <c r="L7" s="240"/>
      <c r="M7" s="1">
        <v>418</v>
      </c>
      <c r="N7" s="1">
        <v>21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242</v>
      </c>
      <c r="D8" s="240"/>
      <c r="E8" s="239">
        <v>0</v>
      </c>
      <c r="F8" s="240"/>
      <c r="G8" s="239">
        <v>22</v>
      </c>
      <c r="H8" s="240"/>
      <c r="I8" s="239">
        <v>120</v>
      </c>
      <c r="J8" s="240"/>
      <c r="K8" s="239">
        <v>0</v>
      </c>
      <c r="L8" s="240"/>
      <c r="M8" s="1">
        <v>115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168</v>
      </c>
      <c r="D9" s="240"/>
      <c r="E9" s="239">
        <v>210</v>
      </c>
      <c r="F9" s="240"/>
      <c r="G9" s="239">
        <v>0</v>
      </c>
      <c r="H9" s="240"/>
      <c r="I9" s="239">
        <v>120</v>
      </c>
      <c r="J9" s="240"/>
      <c r="K9" s="239">
        <v>1</v>
      </c>
      <c r="L9" s="240"/>
      <c r="M9" s="1">
        <v>191</v>
      </c>
      <c r="N9" s="1">
        <v>33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397</v>
      </c>
      <c r="D10" s="240"/>
      <c r="E10" s="239">
        <v>89</v>
      </c>
      <c r="F10" s="240"/>
      <c r="G10" s="239">
        <v>72</v>
      </c>
      <c r="H10" s="240"/>
      <c r="I10" s="239">
        <v>187</v>
      </c>
      <c r="J10" s="240"/>
      <c r="K10" s="239">
        <v>5</v>
      </c>
      <c r="L10" s="240"/>
      <c r="M10" s="1">
        <v>161</v>
      </c>
      <c r="N10" s="1">
        <v>80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211</v>
      </c>
      <c r="D11" s="246"/>
      <c r="E11" s="239">
        <v>14</v>
      </c>
      <c r="F11" s="240"/>
      <c r="G11" s="239">
        <v>0</v>
      </c>
      <c r="H11" s="240"/>
      <c r="I11" s="239">
        <v>181</v>
      </c>
      <c r="J11" s="240"/>
      <c r="K11" s="239">
        <v>112</v>
      </c>
      <c r="L11" s="240"/>
      <c r="M11" s="1">
        <v>149</v>
      </c>
      <c r="N11" s="1">
        <v>151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193</v>
      </c>
      <c r="D12" s="246"/>
      <c r="E12" s="239">
        <v>0</v>
      </c>
      <c r="F12" s="240"/>
      <c r="G12" s="239">
        <v>0</v>
      </c>
      <c r="H12" s="240"/>
      <c r="I12" s="239">
        <v>252</v>
      </c>
      <c r="J12" s="240"/>
      <c r="K12" s="239">
        <v>0</v>
      </c>
      <c r="L12" s="240"/>
      <c r="M12" s="1">
        <v>187</v>
      </c>
      <c r="N12" s="1">
        <v>81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325</v>
      </c>
      <c r="D13" s="246"/>
      <c r="E13" s="239">
        <v>0</v>
      </c>
      <c r="F13" s="240"/>
      <c r="G13" s="239">
        <v>0</v>
      </c>
      <c r="H13" s="240"/>
      <c r="I13" s="239">
        <v>106</v>
      </c>
      <c r="J13" s="240"/>
      <c r="K13" s="239">
        <v>2</v>
      </c>
      <c r="L13" s="240"/>
      <c r="M13" s="1">
        <v>107</v>
      </c>
      <c r="N13" s="1">
        <v>54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456</v>
      </c>
      <c r="D14" s="248"/>
      <c r="E14" s="247">
        <v>18</v>
      </c>
      <c r="F14" s="248"/>
      <c r="G14" s="247">
        <v>24</v>
      </c>
      <c r="H14" s="248"/>
      <c r="I14" s="239">
        <v>223</v>
      </c>
      <c r="J14" s="240"/>
      <c r="K14" s="247">
        <v>0</v>
      </c>
      <c r="L14" s="248"/>
      <c r="M14" s="2">
        <v>213</v>
      </c>
      <c r="N14" s="2">
        <v>22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9">
        <v>0</v>
      </c>
      <c r="J15" s="250"/>
      <c r="K15" s="247">
        <v>0</v>
      </c>
      <c r="L15" s="248"/>
      <c r="M15" s="2">
        <v>0</v>
      </c>
      <c r="N15" s="2">
        <v>0</v>
      </c>
      <c r="O15" s="34">
        <v>1790</v>
      </c>
      <c r="P15" s="34">
        <v>1756</v>
      </c>
      <c r="Q15" s="34">
        <v>1704</v>
      </c>
    </row>
    <row r="16" spans="1:18" ht="15" thickBot="1" x14ac:dyDescent="0.35">
      <c r="A16" s="199" t="s">
        <v>20</v>
      </c>
      <c r="B16" s="200"/>
      <c r="C16" s="201">
        <f>SUM(C5:D15)</f>
        <v>10022</v>
      </c>
      <c r="D16" s="202"/>
      <c r="E16" s="201">
        <f>SUM(E5:F15)</f>
        <v>3590</v>
      </c>
      <c r="F16" s="202"/>
      <c r="G16" s="201">
        <f>SUM(G5:H15)</f>
        <v>2909</v>
      </c>
      <c r="H16" s="202"/>
      <c r="I16" s="201">
        <f>SUM(I5:J15)</f>
        <v>10899</v>
      </c>
      <c r="J16" s="202"/>
      <c r="K16" s="201">
        <f>SUM(K5:L15)</f>
        <v>477</v>
      </c>
      <c r="L16" s="202"/>
      <c r="M16" s="3">
        <f>SUM(M5:M15)</f>
        <v>9261</v>
      </c>
      <c r="N16" s="4">
        <f>SUM(N5:N15)</f>
        <v>1831</v>
      </c>
      <c r="O16" s="32">
        <f>SUM(O5:O15)</f>
        <v>1987</v>
      </c>
      <c r="P16" s="32">
        <f>SUM(P5:P15)</f>
        <v>3927</v>
      </c>
      <c r="Q16" s="33">
        <f>SUM(Q5:Q15)</f>
        <v>3503</v>
      </c>
    </row>
    <row r="17" spans="1:20" ht="15" thickBot="1" x14ac:dyDescent="0.35">
      <c r="A17" s="190" t="s">
        <v>21</v>
      </c>
      <c r="B17" s="191"/>
      <c r="C17" s="251">
        <v>6426</v>
      </c>
      <c r="D17" s="252"/>
      <c r="E17" s="253">
        <v>3226</v>
      </c>
      <c r="F17" s="254"/>
      <c r="G17" s="255">
        <v>2784</v>
      </c>
      <c r="H17" s="256"/>
      <c r="I17" s="255">
        <v>9239</v>
      </c>
      <c r="J17" s="256"/>
      <c r="K17" s="253">
        <v>158</v>
      </c>
      <c r="L17" s="254"/>
      <c r="M17" s="30">
        <v>7520</v>
      </c>
      <c r="N17" s="30">
        <v>1354</v>
      </c>
      <c r="O17" s="12">
        <v>115</v>
      </c>
      <c r="P17" s="10">
        <v>2129</v>
      </c>
      <c r="Q17" s="10">
        <v>1791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322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65</v>
      </c>
      <c r="D25" s="259"/>
      <c r="E25" s="260" t="s">
        <v>326</v>
      </c>
      <c r="F25" s="261"/>
      <c r="G25" s="258">
        <v>0</v>
      </c>
      <c r="H25" s="259"/>
      <c r="I25" s="258">
        <v>187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14</v>
      </c>
      <c r="D26" s="259"/>
      <c r="E26" s="260" t="s">
        <v>25</v>
      </c>
      <c r="F26" s="261"/>
      <c r="G26" s="258">
        <v>0</v>
      </c>
      <c r="H26" s="259"/>
      <c r="I26" s="258">
        <v>68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95</v>
      </c>
      <c r="D27" s="259"/>
      <c r="E27" s="260" t="s">
        <v>327</v>
      </c>
      <c r="F27" s="261"/>
      <c r="G27" s="258">
        <v>1</v>
      </c>
      <c r="H27" s="259"/>
      <c r="I27" s="258">
        <v>58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298</v>
      </c>
      <c r="D28" s="261"/>
      <c r="E28" s="260" t="s">
        <v>285</v>
      </c>
      <c r="F28" s="261"/>
      <c r="G28" s="258">
        <v>0</v>
      </c>
      <c r="H28" s="259"/>
      <c r="I28" s="258">
        <v>4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323</v>
      </c>
      <c r="D29" s="412"/>
      <c r="E29" s="260" t="s">
        <v>313</v>
      </c>
      <c r="F29" s="261"/>
      <c r="G29" s="258">
        <v>0</v>
      </c>
      <c r="H29" s="259"/>
      <c r="I29" s="258">
        <v>21</v>
      </c>
      <c r="J29" s="259"/>
      <c r="K29" s="8">
        <v>4</v>
      </c>
    </row>
    <row r="30" spans="1:20" x14ac:dyDescent="0.3">
      <c r="A30" s="101" t="s">
        <v>17</v>
      </c>
      <c r="B30" s="102"/>
      <c r="C30" s="272">
        <v>7</v>
      </c>
      <c r="D30" s="271"/>
      <c r="E30" s="258" t="s">
        <v>166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17</v>
      </c>
      <c r="D32" s="259"/>
      <c r="E32" s="260" t="s">
        <v>177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322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317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282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328</v>
      </c>
      <c r="D40" s="259"/>
      <c r="E40" s="276" t="s">
        <v>329</v>
      </c>
      <c r="F40" s="277"/>
      <c r="G40" s="258">
        <v>6</v>
      </c>
      <c r="H40" s="259"/>
      <c r="I40" s="258" t="s">
        <v>164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325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324</v>
      </c>
      <c r="D42" s="271"/>
      <c r="E42" s="276" t="s">
        <v>315</v>
      </c>
      <c r="F42" s="277"/>
      <c r="G42" s="258">
        <v>0</v>
      </c>
      <c r="H42" s="259"/>
      <c r="I42" s="258" t="s">
        <v>243</v>
      </c>
      <c r="J42" s="259"/>
      <c r="K42" s="8" t="s">
        <v>316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321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288</v>
      </c>
      <c r="D49" s="146"/>
      <c r="E49" s="145" t="s">
        <v>299</v>
      </c>
      <c r="F49" s="146"/>
      <c r="G49" s="145" t="s">
        <v>306</v>
      </c>
      <c r="H49" s="146"/>
      <c r="I49" s="145" t="s">
        <v>322</v>
      </c>
      <c r="J49" s="146"/>
    </row>
    <row r="50" spans="1:11" x14ac:dyDescent="0.3">
      <c r="A50" s="284" t="s">
        <v>30</v>
      </c>
      <c r="B50" s="285"/>
      <c r="C50" s="300">
        <v>13823</v>
      </c>
      <c r="D50" s="301"/>
      <c r="E50" s="300">
        <v>13775</v>
      </c>
      <c r="F50" s="301"/>
      <c r="G50" s="300">
        <v>13736</v>
      </c>
      <c r="H50" s="301"/>
      <c r="I50" s="300">
        <v>13708</v>
      </c>
      <c r="J50" s="301"/>
    </row>
    <row r="51" spans="1:11" x14ac:dyDescent="0.3">
      <c r="A51" s="284" t="s">
        <v>31</v>
      </c>
      <c r="B51" s="285"/>
      <c r="C51" s="286">
        <v>8557</v>
      </c>
      <c r="D51" s="287"/>
      <c r="E51" s="286">
        <v>8642</v>
      </c>
      <c r="F51" s="287"/>
      <c r="G51" s="286">
        <v>8713</v>
      </c>
      <c r="H51" s="287"/>
      <c r="I51" s="286">
        <v>8741</v>
      </c>
      <c r="J51" s="287"/>
    </row>
    <row r="52" spans="1:11" x14ac:dyDescent="0.3">
      <c r="A52" s="284" t="s">
        <v>32</v>
      </c>
      <c r="B52" s="285"/>
      <c r="C52" s="300">
        <v>115106</v>
      </c>
      <c r="D52" s="301"/>
      <c r="E52" s="300">
        <v>115022</v>
      </c>
      <c r="F52" s="301"/>
      <c r="G52" s="300">
        <v>114913</v>
      </c>
      <c r="H52" s="301"/>
      <c r="I52" s="300">
        <v>114791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51550</v>
      </c>
      <c r="D54" s="301"/>
      <c r="E54" s="300">
        <v>51497</v>
      </c>
      <c r="F54" s="301"/>
      <c r="G54" s="300">
        <v>51445</v>
      </c>
      <c r="H54" s="301"/>
      <c r="I54" s="300">
        <v>51405</v>
      </c>
      <c r="J54" s="301"/>
    </row>
    <row r="55" spans="1:11" x14ac:dyDescent="0.3">
      <c r="A55" s="284" t="s">
        <v>53</v>
      </c>
      <c r="B55" s="285"/>
      <c r="C55" s="286">
        <v>4085</v>
      </c>
      <c r="D55" s="287"/>
      <c r="E55" s="286">
        <v>4090</v>
      </c>
      <c r="F55" s="287"/>
      <c r="G55" s="286">
        <v>4115</v>
      </c>
      <c r="H55" s="287"/>
      <c r="I55" s="286">
        <v>4132</v>
      </c>
      <c r="J55" s="287"/>
    </row>
    <row r="56" spans="1:11" x14ac:dyDescent="0.3">
      <c r="A56" s="284" t="s">
        <v>49</v>
      </c>
      <c r="B56" s="285"/>
      <c r="C56" s="300">
        <v>12361</v>
      </c>
      <c r="D56" s="301"/>
      <c r="E56" s="300">
        <v>12515</v>
      </c>
      <c r="F56" s="301"/>
      <c r="G56" s="300">
        <v>12694</v>
      </c>
      <c r="H56" s="301"/>
      <c r="I56" s="300">
        <v>12879</v>
      </c>
      <c r="J56" s="301"/>
      <c r="K56" s="11"/>
    </row>
    <row r="57" spans="1:11" x14ac:dyDescent="0.3">
      <c r="A57" s="284" t="s">
        <v>35</v>
      </c>
      <c r="B57" s="285"/>
      <c r="C57" s="286">
        <v>1690</v>
      </c>
      <c r="D57" s="287"/>
      <c r="E57" s="286">
        <v>1711</v>
      </c>
      <c r="F57" s="287"/>
      <c r="G57" s="286">
        <v>1751</v>
      </c>
      <c r="H57" s="287"/>
      <c r="I57" s="286">
        <v>1790</v>
      </c>
      <c r="J57" s="287"/>
    </row>
    <row r="58" spans="1:11" x14ac:dyDescent="0.3">
      <c r="A58" s="120" t="s">
        <v>36</v>
      </c>
      <c r="B58" s="121"/>
      <c r="C58" s="122">
        <f>SUM(C50:D57)</f>
        <v>207411</v>
      </c>
      <c r="D58" s="123"/>
      <c r="E58" s="122">
        <f>SUM(E50:F57)</f>
        <v>207491</v>
      </c>
      <c r="F58" s="123"/>
      <c r="G58" s="122">
        <f>SUM(G50:H57)</f>
        <v>207606</v>
      </c>
      <c r="H58" s="123"/>
      <c r="I58" s="122">
        <f>SUM(I50:J57)</f>
        <v>207685</v>
      </c>
      <c r="J58" s="123"/>
    </row>
    <row r="60" spans="1:11" x14ac:dyDescent="0.3">
      <c r="A60" s="124" t="s">
        <v>37</v>
      </c>
      <c r="B60" s="125"/>
      <c r="C60" s="130" t="s">
        <v>288</v>
      </c>
      <c r="D60" s="131"/>
      <c r="E60" s="130" t="s">
        <v>299</v>
      </c>
      <c r="F60" s="131"/>
      <c r="G60" s="130" t="s">
        <v>306</v>
      </c>
      <c r="H60" s="131"/>
      <c r="I60" s="130" t="s">
        <v>322</v>
      </c>
      <c r="J60" s="131"/>
    </row>
    <row r="61" spans="1:11" x14ac:dyDescent="0.3">
      <c r="A61" s="126"/>
      <c r="B61" s="127"/>
      <c r="C61" s="288">
        <v>136752</v>
      </c>
      <c r="D61" s="289"/>
      <c r="E61" s="288">
        <v>136831</v>
      </c>
      <c r="F61" s="289"/>
      <c r="G61" s="288">
        <v>136929</v>
      </c>
      <c r="H61" s="289"/>
      <c r="I61" s="288">
        <v>137003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165</v>
      </c>
      <c r="D66" s="115"/>
      <c r="E66" s="114" t="s">
        <v>207</v>
      </c>
      <c r="F66" s="115"/>
      <c r="G66" s="114" t="s">
        <v>239</v>
      </c>
      <c r="H66" s="115"/>
      <c r="I66" s="114" t="s">
        <v>293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26961</v>
      </c>
      <c r="D69" s="287"/>
      <c r="E69" s="286">
        <v>27298</v>
      </c>
      <c r="F69" s="287"/>
      <c r="G69" s="286">
        <v>27548</v>
      </c>
      <c r="H69" s="287"/>
      <c r="I69" s="286">
        <v>27824</v>
      </c>
      <c r="J69" s="287"/>
    </row>
    <row r="70" spans="1:10" x14ac:dyDescent="0.3">
      <c r="A70" s="101" t="s">
        <v>13</v>
      </c>
      <c r="B70" s="102"/>
      <c r="C70" s="286">
        <v>6631</v>
      </c>
      <c r="D70" s="287"/>
      <c r="E70" s="286">
        <v>6661</v>
      </c>
      <c r="F70" s="287"/>
      <c r="G70" s="286">
        <v>6721</v>
      </c>
      <c r="H70" s="287"/>
      <c r="I70" s="286">
        <v>6783</v>
      </c>
      <c r="J70" s="287"/>
    </row>
    <row r="71" spans="1:10" x14ac:dyDescent="0.3">
      <c r="A71" s="107" t="s">
        <v>14</v>
      </c>
      <c r="B71" s="108"/>
      <c r="C71" s="286">
        <v>5617</v>
      </c>
      <c r="D71" s="287"/>
      <c r="E71" s="286">
        <v>5694</v>
      </c>
      <c r="F71" s="287"/>
      <c r="G71" s="286">
        <v>5742</v>
      </c>
      <c r="H71" s="287"/>
      <c r="I71" s="286">
        <v>5813</v>
      </c>
      <c r="J71" s="287"/>
    </row>
    <row r="72" spans="1:10" x14ac:dyDescent="0.3">
      <c r="A72" s="107" t="s">
        <v>41</v>
      </c>
      <c r="B72" s="108"/>
      <c r="C72" s="286">
        <v>1120</v>
      </c>
      <c r="D72" s="287"/>
      <c r="E72" s="286">
        <v>1201</v>
      </c>
      <c r="F72" s="287"/>
      <c r="G72" s="286">
        <v>1228</v>
      </c>
      <c r="H72" s="287"/>
      <c r="I72" s="286">
        <v>1247</v>
      </c>
      <c r="J72" s="287"/>
    </row>
    <row r="73" spans="1:10" x14ac:dyDescent="0.3">
      <c r="A73" s="101" t="s">
        <v>15</v>
      </c>
      <c r="B73" s="102"/>
      <c r="C73" s="286">
        <v>4011</v>
      </c>
      <c r="D73" s="287"/>
      <c r="E73" s="286">
        <v>4090</v>
      </c>
      <c r="F73" s="287"/>
      <c r="G73" s="286">
        <v>4147</v>
      </c>
      <c r="H73" s="287"/>
      <c r="I73" s="286">
        <v>4242</v>
      </c>
      <c r="J73" s="287"/>
    </row>
    <row r="74" spans="1:10" x14ac:dyDescent="0.3">
      <c r="A74" s="107" t="s">
        <v>16</v>
      </c>
      <c r="B74" s="108"/>
      <c r="C74" s="286">
        <v>4483</v>
      </c>
      <c r="D74" s="287"/>
      <c r="E74" s="286">
        <v>4551</v>
      </c>
      <c r="F74" s="287"/>
      <c r="G74" s="286">
        <v>4580</v>
      </c>
      <c r="H74" s="287"/>
      <c r="I74" s="286">
        <v>4634</v>
      </c>
      <c r="J74" s="287"/>
    </row>
    <row r="75" spans="1:10" x14ac:dyDescent="0.3">
      <c r="A75" s="101" t="s">
        <v>17</v>
      </c>
      <c r="B75" s="102"/>
      <c r="C75" s="286">
        <v>6309</v>
      </c>
      <c r="D75" s="287"/>
      <c r="E75" s="286">
        <v>6464</v>
      </c>
      <c r="F75" s="287"/>
      <c r="G75" s="286">
        <v>6627</v>
      </c>
      <c r="H75" s="287"/>
      <c r="I75" s="286">
        <v>6774</v>
      </c>
      <c r="J75" s="287"/>
    </row>
    <row r="76" spans="1:10" x14ac:dyDescent="0.3">
      <c r="A76" s="107" t="s">
        <v>18</v>
      </c>
      <c r="B76" s="108"/>
      <c r="C76" s="286">
        <v>1389</v>
      </c>
      <c r="D76" s="287"/>
      <c r="E76" s="286">
        <v>1390</v>
      </c>
      <c r="F76" s="287"/>
      <c r="G76" s="286">
        <v>1435</v>
      </c>
      <c r="H76" s="287"/>
      <c r="I76" s="286">
        <v>1469</v>
      </c>
      <c r="J76" s="287"/>
    </row>
    <row r="77" spans="1:10" x14ac:dyDescent="0.3">
      <c r="A77" s="101" t="s">
        <v>19</v>
      </c>
      <c r="B77" s="102"/>
      <c r="C77" s="286">
        <v>4922</v>
      </c>
      <c r="D77" s="287"/>
      <c r="E77" s="286">
        <v>5008</v>
      </c>
      <c r="F77" s="287"/>
      <c r="G77" s="286">
        <v>5125</v>
      </c>
      <c r="H77" s="287"/>
      <c r="I77" s="286">
        <v>5202</v>
      </c>
      <c r="J77" s="287"/>
    </row>
    <row r="78" spans="1:10" x14ac:dyDescent="0.3">
      <c r="A78" s="105" t="s">
        <v>42</v>
      </c>
      <c r="B78" s="106"/>
      <c r="C78" s="103">
        <f>SUM(C69:C77)</f>
        <v>61443</v>
      </c>
      <c r="D78" s="104"/>
      <c r="E78" s="103">
        <f>SUM(E69:E77)</f>
        <v>62357</v>
      </c>
      <c r="F78" s="104"/>
      <c r="G78" s="103">
        <f>SUM(G69:G77)</f>
        <v>63153</v>
      </c>
      <c r="H78" s="104"/>
      <c r="I78" s="103">
        <f>SUM(I69:I77)</f>
        <v>63988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78"/>
  <sheetViews>
    <sheetView workbookViewId="0">
      <selection activeCell="C13" sqref="C13:Q13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330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6026</v>
      </c>
      <c r="D5" s="299"/>
      <c r="E5" s="298">
        <v>3226</v>
      </c>
      <c r="F5" s="299"/>
      <c r="G5" s="298">
        <v>2628</v>
      </c>
      <c r="H5" s="299"/>
      <c r="I5" s="298">
        <v>9239</v>
      </c>
      <c r="J5" s="299"/>
      <c r="K5" s="302">
        <v>158</v>
      </c>
      <c r="L5" s="303"/>
      <c r="M5" s="12">
        <v>7520</v>
      </c>
      <c r="N5" s="10">
        <v>1354</v>
      </c>
      <c r="O5" s="12">
        <v>0</v>
      </c>
      <c r="P5" s="10">
        <v>2029</v>
      </c>
      <c r="Q5" s="10">
        <v>1691</v>
      </c>
    </row>
    <row r="6" spans="1:18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363</v>
      </c>
      <c r="D7" s="240"/>
      <c r="E7" s="239">
        <v>33</v>
      </c>
      <c r="F7" s="240"/>
      <c r="G7" s="239">
        <v>7</v>
      </c>
      <c r="H7" s="240"/>
      <c r="I7" s="239">
        <v>426</v>
      </c>
      <c r="J7" s="240"/>
      <c r="K7" s="239">
        <v>174</v>
      </c>
      <c r="L7" s="240"/>
      <c r="M7" s="1">
        <v>581</v>
      </c>
      <c r="N7" s="1">
        <v>45</v>
      </c>
      <c r="O7" s="1">
        <v>1</v>
      </c>
      <c r="P7" s="1">
        <v>15</v>
      </c>
      <c r="Q7" s="1">
        <v>15</v>
      </c>
    </row>
    <row r="8" spans="1:18" x14ac:dyDescent="0.3">
      <c r="A8" s="101" t="s">
        <v>13</v>
      </c>
      <c r="B8" s="102"/>
      <c r="C8" s="239">
        <v>125</v>
      </c>
      <c r="D8" s="240"/>
      <c r="E8" s="239">
        <v>0</v>
      </c>
      <c r="F8" s="240"/>
      <c r="G8" s="239">
        <v>16</v>
      </c>
      <c r="H8" s="240"/>
      <c r="I8" s="239">
        <v>105</v>
      </c>
      <c r="J8" s="240"/>
      <c r="K8" s="239">
        <v>0</v>
      </c>
      <c r="L8" s="240"/>
      <c r="M8" s="1">
        <v>90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489</v>
      </c>
      <c r="D9" s="240"/>
      <c r="E9" s="239">
        <v>279</v>
      </c>
      <c r="F9" s="240"/>
      <c r="G9" s="239">
        <v>0</v>
      </c>
      <c r="H9" s="240"/>
      <c r="I9" s="239">
        <v>220</v>
      </c>
      <c r="J9" s="240"/>
      <c r="K9" s="239">
        <v>1</v>
      </c>
      <c r="L9" s="240"/>
      <c r="M9" s="1">
        <v>175</v>
      </c>
      <c r="N9" s="1">
        <v>33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286</v>
      </c>
      <c r="D10" s="240"/>
      <c r="E10" s="239">
        <v>89</v>
      </c>
      <c r="F10" s="240"/>
      <c r="G10" s="239">
        <v>63</v>
      </c>
      <c r="H10" s="240"/>
      <c r="I10" s="239">
        <v>147</v>
      </c>
      <c r="J10" s="240"/>
      <c r="K10" s="239">
        <v>0</v>
      </c>
      <c r="L10" s="240"/>
      <c r="M10" s="1">
        <v>139</v>
      </c>
      <c r="N10" s="1">
        <v>64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186</v>
      </c>
      <c r="D11" s="246"/>
      <c r="E11" s="239">
        <v>14</v>
      </c>
      <c r="F11" s="240"/>
      <c r="G11" s="239">
        <v>0</v>
      </c>
      <c r="H11" s="240"/>
      <c r="I11" s="239">
        <v>162</v>
      </c>
      <c r="J11" s="240"/>
      <c r="K11" s="239">
        <v>87</v>
      </c>
      <c r="L11" s="240"/>
      <c r="M11" s="1">
        <v>141</v>
      </c>
      <c r="N11" s="1">
        <v>143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140</v>
      </c>
      <c r="D12" s="246"/>
      <c r="E12" s="239">
        <v>0</v>
      </c>
      <c r="F12" s="240"/>
      <c r="G12" s="239">
        <v>0</v>
      </c>
      <c r="H12" s="240"/>
      <c r="I12" s="239">
        <v>217</v>
      </c>
      <c r="J12" s="240"/>
      <c r="K12" s="239">
        <v>0</v>
      </c>
      <c r="L12" s="240"/>
      <c r="M12" s="1">
        <v>157</v>
      </c>
      <c r="N12" s="1">
        <v>79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301</v>
      </c>
      <c r="D13" s="246"/>
      <c r="E13" s="239">
        <v>0</v>
      </c>
      <c r="F13" s="240"/>
      <c r="G13" s="239">
        <v>0</v>
      </c>
      <c r="H13" s="240"/>
      <c r="I13" s="239">
        <v>89</v>
      </c>
      <c r="J13" s="240"/>
      <c r="K13" s="239">
        <v>2</v>
      </c>
      <c r="L13" s="240"/>
      <c r="M13" s="1">
        <v>100</v>
      </c>
      <c r="N13" s="1">
        <v>54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410</v>
      </c>
      <c r="D14" s="248"/>
      <c r="E14" s="247">
        <v>16</v>
      </c>
      <c r="F14" s="248"/>
      <c r="G14" s="247">
        <v>18</v>
      </c>
      <c r="H14" s="248"/>
      <c r="I14" s="239">
        <v>201</v>
      </c>
      <c r="J14" s="240"/>
      <c r="K14" s="247">
        <v>0</v>
      </c>
      <c r="L14" s="248"/>
      <c r="M14" s="2">
        <v>198</v>
      </c>
      <c r="N14" s="2">
        <v>22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5">
        <v>1632</v>
      </c>
      <c r="P15" s="35">
        <v>2094</v>
      </c>
      <c r="Q15" s="35">
        <v>1766</v>
      </c>
    </row>
    <row r="16" spans="1:18" ht="15" thickBot="1" x14ac:dyDescent="0.35">
      <c r="A16" s="199" t="s">
        <v>20</v>
      </c>
      <c r="B16" s="200"/>
      <c r="C16" s="201">
        <f>SUM(C5:D15)</f>
        <v>9285</v>
      </c>
      <c r="D16" s="202"/>
      <c r="E16" s="201">
        <f>SUM(E5:F15)</f>
        <v>3657</v>
      </c>
      <c r="F16" s="202"/>
      <c r="G16" s="201">
        <f>SUM(G5:H15)</f>
        <v>2732</v>
      </c>
      <c r="H16" s="202"/>
      <c r="I16" s="201">
        <f>SUM(I5:J15)</f>
        <v>10806</v>
      </c>
      <c r="J16" s="202"/>
      <c r="K16" s="201">
        <f>SUM(K5:L15)</f>
        <v>422</v>
      </c>
      <c r="L16" s="202"/>
      <c r="M16" s="3">
        <f>SUM(M5:M15)</f>
        <v>9101</v>
      </c>
      <c r="N16" s="4">
        <f>SUM(N5:N15)</f>
        <v>1809</v>
      </c>
      <c r="O16" s="4">
        <f>SUM(O5:O15)</f>
        <v>1715</v>
      </c>
      <c r="P16" s="4">
        <f>SUM(P5:P15)</f>
        <v>4180</v>
      </c>
      <c r="Q16" s="5">
        <f>SUM(Q5:Q15)</f>
        <v>3480</v>
      </c>
    </row>
    <row r="17" spans="1:20" ht="15" thickBot="1" x14ac:dyDescent="0.35">
      <c r="A17" s="190" t="s">
        <v>21</v>
      </c>
      <c r="B17" s="191"/>
      <c r="C17" s="251">
        <v>6026</v>
      </c>
      <c r="D17" s="252"/>
      <c r="E17" s="253">
        <v>3226</v>
      </c>
      <c r="F17" s="254"/>
      <c r="G17" s="255">
        <v>2628</v>
      </c>
      <c r="H17" s="256"/>
      <c r="I17" s="255">
        <v>9239</v>
      </c>
      <c r="J17" s="256"/>
      <c r="K17" s="253">
        <v>158</v>
      </c>
      <c r="L17" s="254"/>
      <c r="M17" s="30">
        <v>7520</v>
      </c>
      <c r="N17" s="30">
        <v>1354</v>
      </c>
      <c r="O17" s="12">
        <v>0</v>
      </c>
      <c r="P17" s="10">
        <v>2029</v>
      </c>
      <c r="Q17" s="10">
        <v>1691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330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49</v>
      </c>
      <c r="D25" s="259"/>
      <c r="E25" s="260" t="s">
        <v>337</v>
      </c>
      <c r="F25" s="261"/>
      <c r="G25" s="258">
        <v>1</v>
      </c>
      <c r="H25" s="259"/>
      <c r="I25" s="258">
        <v>165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10</v>
      </c>
      <c r="D26" s="259"/>
      <c r="E26" s="260" t="s">
        <v>25</v>
      </c>
      <c r="F26" s="261"/>
      <c r="G26" s="258">
        <v>0</v>
      </c>
      <c r="H26" s="259"/>
      <c r="I26" s="258">
        <v>65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98</v>
      </c>
      <c r="D27" s="259"/>
      <c r="E27" s="260" t="s">
        <v>46</v>
      </c>
      <c r="F27" s="261"/>
      <c r="G27" s="258">
        <v>1</v>
      </c>
      <c r="H27" s="259"/>
      <c r="I27" s="258">
        <v>56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334</v>
      </c>
      <c r="D28" s="261"/>
      <c r="E28" s="260" t="s">
        <v>201</v>
      </c>
      <c r="F28" s="261"/>
      <c r="G28" s="258">
        <v>0</v>
      </c>
      <c r="H28" s="259"/>
      <c r="I28" s="258">
        <v>2</v>
      </c>
      <c r="J28" s="259"/>
      <c r="K28" s="8">
        <v>0</v>
      </c>
    </row>
    <row r="29" spans="1:20" x14ac:dyDescent="0.3">
      <c r="A29" s="101" t="s">
        <v>16</v>
      </c>
      <c r="B29" s="102"/>
      <c r="C29" s="411" t="s">
        <v>331</v>
      </c>
      <c r="D29" s="412"/>
      <c r="E29" s="260" t="s">
        <v>313</v>
      </c>
      <c r="F29" s="261"/>
      <c r="G29" s="258">
        <v>0</v>
      </c>
      <c r="H29" s="259"/>
      <c r="I29" s="258">
        <v>21</v>
      </c>
      <c r="J29" s="259"/>
      <c r="K29" s="8">
        <v>4</v>
      </c>
    </row>
    <row r="30" spans="1:20" x14ac:dyDescent="0.3">
      <c r="A30" s="101" t="s">
        <v>17</v>
      </c>
      <c r="B30" s="102"/>
      <c r="C30" s="272">
        <v>9</v>
      </c>
      <c r="D30" s="271"/>
      <c r="E30" s="258" t="s">
        <v>166</v>
      </c>
      <c r="F30" s="259"/>
      <c r="G30" s="258">
        <v>0</v>
      </c>
      <c r="H30" s="259"/>
      <c r="I30" s="258">
        <v>5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14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12</v>
      </c>
      <c r="D32" s="259"/>
      <c r="E32" s="260" t="s">
        <v>177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330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296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336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308</v>
      </c>
      <c r="D40" s="259"/>
      <c r="E40" s="276" t="s">
        <v>309</v>
      </c>
      <c r="F40" s="277"/>
      <c r="G40" s="258">
        <v>6</v>
      </c>
      <c r="H40" s="259"/>
      <c r="I40" s="258" t="s">
        <v>310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332</v>
      </c>
      <c r="D42" s="271"/>
      <c r="E42" s="276" t="s">
        <v>333</v>
      </c>
      <c r="F42" s="277"/>
      <c r="G42" s="258">
        <v>0</v>
      </c>
      <c r="H42" s="259"/>
      <c r="I42" s="258" t="s">
        <v>243</v>
      </c>
      <c r="J42" s="259"/>
      <c r="K42" s="8" t="s">
        <v>316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299</v>
      </c>
      <c r="D49" s="146"/>
      <c r="E49" s="145" t="s">
        <v>306</v>
      </c>
      <c r="F49" s="146"/>
      <c r="G49" s="145" t="s">
        <v>322</v>
      </c>
      <c r="H49" s="146"/>
      <c r="I49" s="145" t="s">
        <v>330</v>
      </c>
      <c r="J49" s="146"/>
    </row>
    <row r="50" spans="1:11" x14ac:dyDescent="0.3">
      <c r="A50" s="284" t="s">
        <v>30</v>
      </c>
      <c r="B50" s="285"/>
      <c r="C50" s="300">
        <v>13775</v>
      </c>
      <c r="D50" s="301"/>
      <c r="E50" s="300">
        <v>13736</v>
      </c>
      <c r="F50" s="301"/>
      <c r="G50" s="300">
        <v>13708</v>
      </c>
      <c r="H50" s="301"/>
      <c r="I50" s="300">
        <v>13672</v>
      </c>
      <c r="J50" s="301"/>
    </row>
    <row r="51" spans="1:11" x14ac:dyDescent="0.3">
      <c r="A51" s="284" t="s">
        <v>31</v>
      </c>
      <c r="B51" s="285"/>
      <c r="C51" s="286">
        <v>8642</v>
      </c>
      <c r="D51" s="287"/>
      <c r="E51" s="286">
        <v>8713</v>
      </c>
      <c r="F51" s="287"/>
      <c r="G51" s="286">
        <v>8741</v>
      </c>
      <c r="H51" s="287"/>
      <c r="I51" s="286">
        <v>8763</v>
      </c>
      <c r="J51" s="287"/>
    </row>
    <row r="52" spans="1:11" x14ac:dyDescent="0.3">
      <c r="A52" s="284" t="s">
        <v>32</v>
      </c>
      <c r="B52" s="285"/>
      <c r="C52" s="300">
        <v>115022</v>
      </c>
      <c r="D52" s="301"/>
      <c r="E52" s="300">
        <v>114913</v>
      </c>
      <c r="F52" s="301"/>
      <c r="G52" s="300">
        <v>114791</v>
      </c>
      <c r="H52" s="301"/>
      <c r="I52" s="300">
        <v>114708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51497</v>
      </c>
      <c r="D54" s="301"/>
      <c r="E54" s="300">
        <v>51445</v>
      </c>
      <c r="F54" s="301"/>
      <c r="G54" s="300">
        <v>51405</v>
      </c>
      <c r="H54" s="301"/>
      <c r="I54" s="300">
        <v>51378</v>
      </c>
      <c r="J54" s="301"/>
    </row>
    <row r="55" spans="1:11" x14ac:dyDescent="0.3">
      <c r="A55" s="284" t="s">
        <v>53</v>
      </c>
      <c r="B55" s="285"/>
      <c r="C55" s="286">
        <v>4090</v>
      </c>
      <c r="D55" s="287"/>
      <c r="E55" s="286">
        <v>4115</v>
      </c>
      <c r="F55" s="287"/>
      <c r="G55" s="286">
        <v>4132</v>
      </c>
      <c r="H55" s="287"/>
      <c r="I55" s="286">
        <v>4146</v>
      </c>
      <c r="J55" s="287"/>
    </row>
    <row r="56" spans="1:11" x14ac:dyDescent="0.3">
      <c r="A56" s="284" t="s">
        <v>49</v>
      </c>
      <c r="B56" s="285"/>
      <c r="C56" s="300">
        <v>12515</v>
      </c>
      <c r="D56" s="301"/>
      <c r="E56" s="300">
        <v>12694</v>
      </c>
      <c r="F56" s="301"/>
      <c r="G56" s="300">
        <v>12879</v>
      </c>
      <c r="H56" s="301"/>
      <c r="I56" s="300">
        <v>13018</v>
      </c>
      <c r="J56" s="301"/>
      <c r="K56" s="11"/>
    </row>
    <row r="57" spans="1:11" x14ac:dyDescent="0.3">
      <c r="A57" s="284" t="s">
        <v>35</v>
      </c>
      <c r="B57" s="285"/>
      <c r="C57" s="286">
        <v>1711</v>
      </c>
      <c r="D57" s="287"/>
      <c r="E57" s="286">
        <v>1751</v>
      </c>
      <c r="F57" s="287"/>
      <c r="G57" s="286">
        <v>1790</v>
      </c>
      <c r="H57" s="287"/>
      <c r="I57" s="286">
        <v>1826</v>
      </c>
      <c r="J57" s="287"/>
    </row>
    <row r="58" spans="1:11" x14ac:dyDescent="0.3">
      <c r="A58" s="120" t="s">
        <v>36</v>
      </c>
      <c r="B58" s="121"/>
      <c r="C58" s="122">
        <f>SUM(C50:D57)</f>
        <v>207491</v>
      </c>
      <c r="D58" s="123"/>
      <c r="E58" s="122">
        <f>SUM(E50:F57)</f>
        <v>207606</v>
      </c>
      <c r="F58" s="123"/>
      <c r="G58" s="122">
        <f>SUM(G50:H57)</f>
        <v>207685</v>
      </c>
      <c r="H58" s="123"/>
      <c r="I58" s="122">
        <f>SUM(I50:J57)</f>
        <v>207750</v>
      </c>
      <c r="J58" s="123"/>
    </row>
    <row r="60" spans="1:11" x14ac:dyDescent="0.3">
      <c r="A60" s="124" t="s">
        <v>37</v>
      </c>
      <c r="B60" s="125"/>
      <c r="C60" s="130" t="s">
        <v>299</v>
      </c>
      <c r="D60" s="131"/>
      <c r="E60" s="130" t="s">
        <v>306</v>
      </c>
      <c r="F60" s="131"/>
      <c r="G60" s="130" t="s">
        <v>322</v>
      </c>
      <c r="H60" s="131"/>
      <c r="I60" s="130" t="s">
        <v>330</v>
      </c>
      <c r="J60" s="131"/>
    </row>
    <row r="61" spans="1:11" x14ac:dyDescent="0.3">
      <c r="A61" s="126"/>
      <c r="B61" s="127"/>
      <c r="C61" s="288">
        <v>136831</v>
      </c>
      <c r="D61" s="289"/>
      <c r="E61" s="288">
        <v>136929</v>
      </c>
      <c r="F61" s="289"/>
      <c r="G61" s="288">
        <v>137003</v>
      </c>
      <c r="H61" s="289"/>
      <c r="I61" s="288">
        <v>137068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x14ac:dyDescent="0.3">
      <c r="A66" s="112" t="s">
        <v>9</v>
      </c>
      <c r="B66" s="113"/>
      <c r="C66" s="114" t="s">
        <v>165</v>
      </c>
      <c r="D66" s="115"/>
      <c r="E66" s="114" t="s">
        <v>207</v>
      </c>
      <c r="F66" s="115"/>
      <c r="G66" s="114" t="s">
        <v>239</v>
      </c>
      <c r="H66" s="115"/>
      <c r="I66" s="114" t="s">
        <v>293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26961</v>
      </c>
      <c r="D69" s="287"/>
      <c r="E69" s="286">
        <v>27298</v>
      </c>
      <c r="F69" s="287"/>
      <c r="G69" s="286">
        <v>27548</v>
      </c>
      <c r="H69" s="287"/>
      <c r="I69" s="286">
        <v>27824</v>
      </c>
      <c r="J69" s="287"/>
    </row>
    <row r="70" spans="1:10" x14ac:dyDescent="0.3">
      <c r="A70" s="101" t="s">
        <v>13</v>
      </c>
      <c r="B70" s="102"/>
      <c r="C70" s="286">
        <v>6631</v>
      </c>
      <c r="D70" s="287"/>
      <c r="E70" s="286">
        <v>6661</v>
      </c>
      <c r="F70" s="287"/>
      <c r="G70" s="286">
        <v>6721</v>
      </c>
      <c r="H70" s="287"/>
      <c r="I70" s="286">
        <v>6783</v>
      </c>
      <c r="J70" s="287"/>
    </row>
    <row r="71" spans="1:10" x14ac:dyDescent="0.3">
      <c r="A71" s="107" t="s">
        <v>14</v>
      </c>
      <c r="B71" s="108"/>
      <c r="C71" s="286">
        <v>5617</v>
      </c>
      <c r="D71" s="287"/>
      <c r="E71" s="286">
        <v>5694</v>
      </c>
      <c r="F71" s="287"/>
      <c r="G71" s="286">
        <v>5742</v>
      </c>
      <c r="H71" s="287"/>
      <c r="I71" s="286">
        <v>5813</v>
      </c>
      <c r="J71" s="287"/>
    </row>
    <row r="72" spans="1:10" x14ac:dyDescent="0.3">
      <c r="A72" s="107" t="s">
        <v>41</v>
      </c>
      <c r="B72" s="108"/>
      <c r="C72" s="286">
        <v>1120</v>
      </c>
      <c r="D72" s="287"/>
      <c r="E72" s="286">
        <v>1201</v>
      </c>
      <c r="F72" s="287"/>
      <c r="G72" s="286">
        <v>1228</v>
      </c>
      <c r="H72" s="287"/>
      <c r="I72" s="286">
        <v>1247</v>
      </c>
      <c r="J72" s="287"/>
    </row>
    <row r="73" spans="1:10" x14ac:dyDescent="0.3">
      <c r="A73" s="101" t="s">
        <v>15</v>
      </c>
      <c r="B73" s="102"/>
      <c r="C73" s="286">
        <v>4011</v>
      </c>
      <c r="D73" s="287"/>
      <c r="E73" s="286">
        <v>4090</v>
      </c>
      <c r="F73" s="287"/>
      <c r="G73" s="286">
        <v>4147</v>
      </c>
      <c r="H73" s="287"/>
      <c r="I73" s="286">
        <v>4242</v>
      </c>
      <c r="J73" s="287"/>
    </row>
    <row r="74" spans="1:10" x14ac:dyDescent="0.3">
      <c r="A74" s="107" t="s">
        <v>16</v>
      </c>
      <c r="B74" s="108"/>
      <c r="C74" s="286">
        <v>4483</v>
      </c>
      <c r="D74" s="287"/>
      <c r="E74" s="286">
        <v>4551</v>
      </c>
      <c r="F74" s="287"/>
      <c r="G74" s="286">
        <v>4580</v>
      </c>
      <c r="H74" s="287"/>
      <c r="I74" s="286">
        <v>4634</v>
      </c>
      <c r="J74" s="287"/>
    </row>
    <row r="75" spans="1:10" x14ac:dyDescent="0.3">
      <c r="A75" s="101" t="s">
        <v>17</v>
      </c>
      <c r="B75" s="102"/>
      <c r="C75" s="286">
        <v>6309</v>
      </c>
      <c r="D75" s="287"/>
      <c r="E75" s="286">
        <v>6464</v>
      </c>
      <c r="F75" s="287"/>
      <c r="G75" s="286">
        <v>6627</v>
      </c>
      <c r="H75" s="287"/>
      <c r="I75" s="286">
        <v>6774</v>
      </c>
      <c r="J75" s="287"/>
    </row>
    <row r="76" spans="1:10" x14ac:dyDescent="0.3">
      <c r="A76" s="107" t="s">
        <v>18</v>
      </c>
      <c r="B76" s="108"/>
      <c r="C76" s="286">
        <v>1389</v>
      </c>
      <c r="D76" s="287"/>
      <c r="E76" s="286">
        <v>1390</v>
      </c>
      <c r="F76" s="287"/>
      <c r="G76" s="286">
        <v>1435</v>
      </c>
      <c r="H76" s="287"/>
      <c r="I76" s="286">
        <v>1469</v>
      </c>
      <c r="J76" s="287"/>
    </row>
    <row r="77" spans="1:10" x14ac:dyDescent="0.3">
      <c r="A77" s="101" t="s">
        <v>19</v>
      </c>
      <c r="B77" s="102"/>
      <c r="C77" s="286">
        <v>4922</v>
      </c>
      <c r="D77" s="287"/>
      <c r="E77" s="286">
        <v>5008</v>
      </c>
      <c r="F77" s="287"/>
      <c r="G77" s="286">
        <v>5125</v>
      </c>
      <c r="H77" s="287"/>
      <c r="I77" s="286">
        <v>5202</v>
      </c>
      <c r="J77" s="287"/>
    </row>
    <row r="78" spans="1:10" x14ac:dyDescent="0.3">
      <c r="A78" s="105" t="s">
        <v>42</v>
      </c>
      <c r="B78" s="106"/>
      <c r="C78" s="103">
        <f>SUM(C69:C77)</f>
        <v>61443</v>
      </c>
      <c r="D78" s="104"/>
      <c r="E78" s="103">
        <f>SUM(E69:E77)</f>
        <v>62357</v>
      </c>
      <c r="F78" s="104"/>
      <c r="G78" s="103">
        <f>SUM(G69:G77)</f>
        <v>63153</v>
      </c>
      <c r="H78" s="104"/>
      <c r="I78" s="103">
        <f>SUM(I69:I77)</f>
        <v>63988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338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5526</v>
      </c>
      <c r="D5" s="299"/>
      <c r="E5" s="298">
        <v>3226</v>
      </c>
      <c r="F5" s="299"/>
      <c r="G5" s="298">
        <v>2628</v>
      </c>
      <c r="H5" s="299"/>
      <c r="I5" s="298">
        <v>9119</v>
      </c>
      <c r="J5" s="299"/>
      <c r="K5" s="302">
        <v>158</v>
      </c>
      <c r="L5" s="303"/>
      <c r="M5" s="12">
        <v>7420</v>
      </c>
      <c r="N5" s="10">
        <v>1354</v>
      </c>
      <c r="O5" s="12">
        <v>198</v>
      </c>
      <c r="P5" s="10">
        <v>1684</v>
      </c>
      <c r="Q5" s="10">
        <v>1116</v>
      </c>
    </row>
    <row r="6" spans="1:18" ht="13.5" customHeight="1" x14ac:dyDescent="0.3">
      <c r="A6" s="211" t="s">
        <v>11</v>
      </c>
      <c r="B6" s="212"/>
      <c r="C6" s="298">
        <v>1269</v>
      </c>
      <c r="D6" s="299"/>
      <c r="E6" s="298">
        <v>7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4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443</v>
      </c>
      <c r="D7" s="240"/>
      <c r="E7" s="239">
        <v>33</v>
      </c>
      <c r="F7" s="240"/>
      <c r="G7" s="239">
        <v>7</v>
      </c>
      <c r="H7" s="240"/>
      <c r="I7" s="239">
        <v>380</v>
      </c>
      <c r="J7" s="240"/>
      <c r="K7" s="239">
        <v>92</v>
      </c>
      <c r="L7" s="240"/>
      <c r="M7" s="1">
        <v>541</v>
      </c>
      <c r="N7" s="1">
        <v>38</v>
      </c>
      <c r="O7" s="1">
        <v>1</v>
      </c>
      <c r="P7" s="1">
        <v>15</v>
      </c>
      <c r="Q7" s="1">
        <v>15</v>
      </c>
    </row>
    <row r="8" spans="1:18" x14ac:dyDescent="0.3">
      <c r="A8" s="101" t="s">
        <v>13</v>
      </c>
      <c r="B8" s="102"/>
      <c r="C8" s="239">
        <v>365</v>
      </c>
      <c r="D8" s="240"/>
      <c r="E8" s="239">
        <v>0</v>
      </c>
      <c r="F8" s="240"/>
      <c r="G8" s="239">
        <v>6</v>
      </c>
      <c r="H8" s="240"/>
      <c r="I8" s="239">
        <v>187</v>
      </c>
      <c r="J8" s="240"/>
      <c r="K8" s="239">
        <v>0</v>
      </c>
      <c r="L8" s="240"/>
      <c r="M8" s="1">
        <v>161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349</v>
      </c>
      <c r="D9" s="240"/>
      <c r="E9" s="239">
        <v>213</v>
      </c>
      <c r="F9" s="240"/>
      <c r="G9" s="239">
        <v>0</v>
      </c>
      <c r="H9" s="240"/>
      <c r="I9" s="239">
        <v>195</v>
      </c>
      <c r="J9" s="240"/>
      <c r="K9" s="239">
        <v>24</v>
      </c>
      <c r="L9" s="240"/>
      <c r="M9" s="1">
        <v>119</v>
      </c>
      <c r="N9" s="1">
        <v>30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546</v>
      </c>
      <c r="D10" s="240"/>
      <c r="E10" s="239">
        <v>74</v>
      </c>
      <c r="F10" s="240"/>
      <c r="G10" s="239">
        <v>93</v>
      </c>
      <c r="H10" s="240"/>
      <c r="I10" s="239">
        <v>146</v>
      </c>
      <c r="J10" s="240"/>
      <c r="K10" s="239">
        <v>3</v>
      </c>
      <c r="L10" s="240"/>
      <c r="M10" s="1">
        <v>123</v>
      </c>
      <c r="N10" s="1">
        <v>60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452</v>
      </c>
      <c r="D11" s="246"/>
      <c r="E11" s="239">
        <v>14</v>
      </c>
      <c r="F11" s="240"/>
      <c r="G11" s="239">
        <v>0</v>
      </c>
      <c r="H11" s="240"/>
      <c r="I11" s="239">
        <v>160</v>
      </c>
      <c r="J11" s="240"/>
      <c r="K11" s="239">
        <v>87</v>
      </c>
      <c r="L11" s="240"/>
      <c r="M11" s="1">
        <v>140</v>
      </c>
      <c r="N11" s="1">
        <v>139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265</v>
      </c>
      <c r="D12" s="246"/>
      <c r="E12" s="239">
        <v>0</v>
      </c>
      <c r="F12" s="240"/>
      <c r="G12" s="239">
        <v>0</v>
      </c>
      <c r="H12" s="240"/>
      <c r="I12" s="239">
        <v>177</v>
      </c>
      <c r="J12" s="240"/>
      <c r="K12" s="239">
        <v>0</v>
      </c>
      <c r="L12" s="240"/>
      <c r="M12" s="1">
        <v>135</v>
      </c>
      <c r="N12" s="1">
        <v>76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301</v>
      </c>
      <c r="D13" s="246"/>
      <c r="E13" s="239">
        <v>0</v>
      </c>
      <c r="F13" s="240"/>
      <c r="G13" s="239">
        <v>0</v>
      </c>
      <c r="H13" s="240"/>
      <c r="I13" s="239">
        <v>89</v>
      </c>
      <c r="J13" s="240"/>
      <c r="K13" s="239">
        <v>2</v>
      </c>
      <c r="L13" s="240"/>
      <c r="M13" s="1">
        <v>100</v>
      </c>
      <c r="N13" s="1">
        <v>54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308</v>
      </c>
      <c r="D14" s="248"/>
      <c r="E14" s="247">
        <v>12</v>
      </c>
      <c r="F14" s="248"/>
      <c r="G14" s="247">
        <v>10</v>
      </c>
      <c r="H14" s="248"/>
      <c r="I14" s="239">
        <v>180</v>
      </c>
      <c r="J14" s="240"/>
      <c r="K14" s="247">
        <v>0</v>
      </c>
      <c r="L14" s="248"/>
      <c r="M14" s="2">
        <v>178</v>
      </c>
      <c r="N14" s="2">
        <v>22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5">
        <v>2470</v>
      </c>
      <c r="P15" s="35">
        <v>2182</v>
      </c>
      <c r="Q15" s="35">
        <v>1990</v>
      </c>
    </row>
    <row r="16" spans="1:18" ht="15" thickBot="1" x14ac:dyDescent="0.35">
      <c r="A16" s="199" t="s">
        <v>20</v>
      </c>
      <c r="B16" s="200"/>
      <c r="C16" s="201">
        <f>SUM(C5:D15)</f>
        <v>9824</v>
      </c>
      <c r="D16" s="202"/>
      <c r="E16" s="201">
        <f>SUM(E5:F15)</f>
        <v>3579</v>
      </c>
      <c r="F16" s="202"/>
      <c r="G16" s="201">
        <f>SUM(G5:H15)</f>
        <v>2744</v>
      </c>
      <c r="H16" s="202"/>
      <c r="I16" s="201">
        <f>SUM(I5:J15)</f>
        <v>10633</v>
      </c>
      <c r="J16" s="202"/>
      <c r="K16" s="201">
        <f>SUM(K5:L15)</f>
        <v>366</v>
      </c>
      <c r="L16" s="202"/>
      <c r="M16" s="3">
        <f>SUM(M5:M15)</f>
        <v>8921</v>
      </c>
      <c r="N16" s="4">
        <f>SUM(N5:N15)</f>
        <v>1788</v>
      </c>
      <c r="O16" s="4">
        <f>SUM(O5:O15)</f>
        <v>2751</v>
      </c>
      <c r="P16" s="4">
        <f>SUM(P5:P15)</f>
        <v>3923</v>
      </c>
      <c r="Q16" s="5">
        <f>SUM(Q5:Q15)</f>
        <v>3129</v>
      </c>
    </row>
    <row r="17" spans="1:20" ht="15" thickBot="1" x14ac:dyDescent="0.35">
      <c r="A17" s="190" t="s">
        <v>21</v>
      </c>
      <c r="B17" s="191"/>
      <c r="C17" s="251">
        <v>5326</v>
      </c>
      <c r="D17" s="252"/>
      <c r="E17" s="253">
        <v>3226</v>
      </c>
      <c r="F17" s="254"/>
      <c r="G17" s="255">
        <v>2628</v>
      </c>
      <c r="H17" s="256"/>
      <c r="I17" s="255">
        <v>9119</v>
      </c>
      <c r="J17" s="256"/>
      <c r="K17" s="253">
        <v>158</v>
      </c>
      <c r="L17" s="254"/>
      <c r="M17" s="30">
        <v>7400</v>
      </c>
      <c r="N17" s="30">
        <v>1354</v>
      </c>
      <c r="O17" s="36">
        <v>198</v>
      </c>
      <c r="P17" s="37">
        <v>1684</v>
      </c>
      <c r="Q17" s="37">
        <v>1116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338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47</v>
      </c>
      <c r="D25" s="259"/>
      <c r="E25" s="260" t="s">
        <v>344</v>
      </c>
      <c r="F25" s="261"/>
      <c r="G25" s="258">
        <v>0</v>
      </c>
      <c r="H25" s="259"/>
      <c r="I25" s="258">
        <v>133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17</v>
      </c>
      <c r="D26" s="259"/>
      <c r="E26" s="260" t="s">
        <v>25</v>
      </c>
      <c r="F26" s="261"/>
      <c r="G26" s="258">
        <v>0</v>
      </c>
      <c r="H26" s="259"/>
      <c r="I26" s="258">
        <v>68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87</v>
      </c>
      <c r="D27" s="259"/>
      <c r="E27" s="260" t="s">
        <v>103</v>
      </c>
      <c r="F27" s="261"/>
      <c r="G27" s="258">
        <v>1</v>
      </c>
      <c r="H27" s="259"/>
      <c r="I27" s="258">
        <v>56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334</v>
      </c>
      <c r="D28" s="261"/>
      <c r="E28" s="260" t="s">
        <v>285</v>
      </c>
      <c r="F28" s="261"/>
      <c r="G28" s="258">
        <v>0</v>
      </c>
      <c r="H28" s="259"/>
      <c r="I28" s="258">
        <v>2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341</v>
      </c>
      <c r="D29" s="412"/>
      <c r="E29" s="260" t="s">
        <v>313</v>
      </c>
      <c r="F29" s="261"/>
      <c r="G29" s="258">
        <v>0</v>
      </c>
      <c r="H29" s="259"/>
      <c r="I29" s="258">
        <v>21</v>
      </c>
      <c r="J29" s="259"/>
      <c r="K29" s="8">
        <v>4</v>
      </c>
    </row>
    <row r="30" spans="1:20" x14ac:dyDescent="0.3">
      <c r="A30" s="101" t="s">
        <v>17</v>
      </c>
      <c r="B30" s="102"/>
      <c r="C30" s="272">
        <v>9</v>
      </c>
      <c r="D30" s="271"/>
      <c r="E30" s="258" t="s">
        <v>166</v>
      </c>
      <c r="F30" s="259"/>
      <c r="G30" s="258">
        <v>0</v>
      </c>
      <c r="H30" s="259"/>
      <c r="I30" s="258">
        <v>5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14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15</v>
      </c>
      <c r="D32" s="259"/>
      <c r="E32" s="260" t="s">
        <v>319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338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284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340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339</v>
      </c>
      <c r="D40" s="259"/>
      <c r="E40" s="276" t="s">
        <v>309</v>
      </c>
      <c r="F40" s="277"/>
      <c r="G40" s="258">
        <v>6</v>
      </c>
      <c r="H40" s="259"/>
      <c r="I40" s="258" t="s">
        <v>300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342</v>
      </c>
      <c r="D42" s="271"/>
      <c r="E42" s="276" t="s">
        <v>343</v>
      </c>
      <c r="F42" s="277"/>
      <c r="G42" s="258">
        <v>0</v>
      </c>
      <c r="H42" s="259"/>
      <c r="I42" s="258" t="s">
        <v>243</v>
      </c>
      <c r="J42" s="259"/>
      <c r="K42" s="8" t="s">
        <v>316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306</v>
      </c>
      <c r="D49" s="146"/>
      <c r="E49" s="145" t="s">
        <v>322</v>
      </c>
      <c r="F49" s="146"/>
      <c r="G49" s="145" t="s">
        <v>330</v>
      </c>
      <c r="H49" s="146"/>
      <c r="I49" s="145" t="s">
        <v>338</v>
      </c>
      <c r="J49" s="146"/>
    </row>
    <row r="50" spans="1:11" x14ac:dyDescent="0.3">
      <c r="A50" s="284" t="s">
        <v>30</v>
      </c>
      <c r="B50" s="285"/>
      <c r="C50" s="300">
        <v>13736</v>
      </c>
      <c r="D50" s="301"/>
      <c r="E50" s="300">
        <v>13708</v>
      </c>
      <c r="F50" s="301"/>
      <c r="G50" s="300">
        <v>13672</v>
      </c>
      <c r="H50" s="301"/>
      <c r="I50" s="300">
        <v>13617</v>
      </c>
      <c r="J50" s="301"/>
    </row>
    <row r="51" spans="1:11" x14ac:dyDescent="0.3">
      <c r="A51" s="284" t="s">
        <v>31</v>
      </c>
      <c r="B51" s="285"/>
      <c r="C51" s="286">
        <v>8713</v>
      </c>
      <c r="D51" s="287"/>
      <c r="E51" s="286">
        <v>8741</v>
      </c>
      <c r="F51" s="287"/>
      <c r="G51" s="286">
        <v>8763</v>
      </c>
      <c r="H51" s="287"/>
      <c r="I51" s="286">
        <v>8795</v>
      </c>
      <c r="J51" s="287"/>
    </row>
    <row r="52" spans="1:11" x14ac:dyDescent="0.3">
      <c r="A52" s="284" t="s">
        <v>32</v>
      </c>
      <c r="B52" s="285"/>
      <c r="C52" s="300">
        <v>114913</v>
      </c>
      <c r="D52" s="301"/>
      <c r="E52" s="300">
        <v>114791</v>
      </c>
      <c r="F52" s="301"/>
      <c r="G52" s="300">
        <v>114708</v>
      </c>
      <c r="H52" s="301"/>
      <c r="I52" s="300">
        <v>114617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51445</v>
      </c>
      <c r="D54" s="301"/>
      <c r="E54" s="300">
        <v>51405</v>
      </c>
      <c r="F54" s="301"/>
      <c r="G54" s="300">
        <v>51378</v>
      </c>
      <c r="H54" s="301"/>
      <c r="I54" s="300">
        <v>51332</v>
      </c>
      <c r="J54" s="301"/>
    </row>
    <row r="55" spans="1:11" x14ac:dyDescent="0.3">
      <c r="A55" s="284" t="s">
        <v>53</v>
      </c>
      <c r="B55" s="285"/>
      <c r="C55" s="286">
        <v>4115</v>
      </c>
      <c r="D55" s="287"/>
      <c r="E55" s="286">
        <v>4132</v>
      </c>
      <c r="F55" s="287"/>
      <c r="G55" s="286">
        <v>4146</v>
      </c>
      <c r="H55" s="287"/>
      <c r="I55" s="286">
        <v>4169</v>
      </c>
      <c r="J55" s="287"/>
    </row>
    <row r="56" spans="1:11" x14ac:dyDescent="0.3">
      <c r="A56" s="284" t="s">
        <v>49</v>
      </c>
      <c r="B56" s="285"/>
      <c r="C56" s="300">
        <v>12694</v>
      </c>
      <c r="D56" s="301"/>
      <c r="E56" s="300">
        <v>12879</v>
      </c>
      <c r="F56" s="301"/>
      <c r="G56" s="300">
        <v>13018</v>
      </c>
      <c r="H56" s="301"/>
      <c r="I56" s="300">
        <v>13261</v>
      </c>
      <c r="J56" s="301"/>
      <c r="K56" s="11"/>
    </row>
    <row r="57" spans="1:11" x14ac:dyDescent="0.3">
      <c r="A57" s="284" t="s">
        <v>35</v>
      </c>
      <c r="B57" s="285"/>
      <c r="C57" s="286">
        <v>1751</v>
      </c>
      <c r="D57" s="287"/>
      <c r="E57" s="286">
        <v>1790</v>
      </c>
      <c r="F57" s="287"/>
      <c r="G57" s="286">
        <v>1826</v>
      </c>
      <c r="H57" s="287"/>
      <c r="I57" s="286">
        <v>1889</v>
      </c>
      <c r="J57" s="287"/>
    </row>
    <row r="58" spans="1:11" x14ac:dyDescent="0.3">
      <c r="A58" s="120" t="s">
        <v>36</v>
      </c>
      <c r="B58" s="121"/>
      <c r="C58" s="122">
        <f>SUM(C50:D57)</f>
        <v>207606</v>
      </c>
      <c r="D58" s="123"/>
      <c r="E58" s="122">
        <f>SUM(E50:F57)</f>
        <v>207685</v>
      </c>
      <c r="F58" s="123"/>
      <c r="G58" s="122">
        <f>SUM(G50:H57)</f>
        <v>207750</v>
      </c>
      <c r="H58" s="123"/>
      <c r="I58" s="122">
        <f>SUM(I50:J57)</f>
        <v>207919</v>
      </c>
      <c r="J58" s="123"/>
    </row>
    <row r="60" spans="1:11" x14ac:dyDescent="0.3">
      <c r="A60" s="124" t="s">
        <v>37</v>
      </c>
      <c r="B60" s="125"/>
      <c r="C60" s="130" t="s">
        <v>306</v>
      </c>
      <c r="D60" s="131"/>
      <c r="E60" s="130" t="s">
        <v>322</v>
      </c>
      <c r="F60" s="131"/>
      <c r="G60" s="130" t="s">
        <v>330</v>
      </c>
      <c r="H60" s="131"/>
      <c r="I60" s="130" t="s">
        <v>338</v>
      </c>
      <c r="J60" s="131"/>
    </row>
    <row r="61" spans="1:11" x14ac:dyDescent="0.3">
      <c r="A61" s="126"/>
      <c r="B61" s="127"/>
      <c r="C61" s="288">
        <v>136929</v>
      </c>
      <c r="D61" s="289"/>
      <c r="E61" s="288">
        <v>137003</v>
      </c>
      <c r="F61" s="289"/>
      <c r="G61" s="288">
        <v>137068</v>
      </c>
      <c r="H61" s="289"/>
      <c r="I61" s="288">
        <v>137158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207</v>
      </c>
      <c r="D66" s="115"/>
      <c r="E66" s="114" t="s">
        <v>239</v>
      </c>
      <c r="F66" s="115"/>
      <c r="G66" s="114" t="s">
        <v>293</v>
      </c>
      <c r="H66" s="115"/>
      <c r="I66" s="114" t="s">
        <v>330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27298</v>
      </c>
      <c r="D69" s="287"/>
      <c r="E69" s="286">
        <v>27548</v>
      </c>
      <c r="F69" s="287"/>
      <c r="G69" s="286">
        <v>27824</v>
      </c>
      <c r="H69" s="287"/>
      <c r="I69" s="286">
        <v>28056</v>
      </c>
      <c r="J69" s="287"/>
    </row>
    <row r="70" spans="1:10" x14ac:dyDescent="0.3">
      <c r="A70" s="101" t="s">
        <v>13</v>
      </c>
      <c r="B70" s="102"/>
      <c r="C70" s="286">
        <v>6661</v>
      </c>
      <c r="D70" s="287"/>
      <c r="E70" s="286">
        <v>6721</v>
      </c>
      <c r="F70" s="287"/>
      <c r="G70" s="286">
        <v>6783</v>
      </c>
      <c r="H70" s="287"/>
      <c r="I70" s="286">
        <v>6827</v>
      </c>
      <c r="J70" s="287"/>
    </row>
    <row r="71" spans="1:10" x14ac:dyDescent="0.3">
      <c r="A71" s="107" t="s">
        <v>14</v>
      </c>
      <c r="B71" s="108"/>
      <c r="C71" s="286">
        <v>5694</v>
      </c>
      <c r="D71" s="287"/>
      <c r="E71" s="286">
        <v>5742</v>
      </c>
      <c r="F71" s="287"/>
      <c r="G71" s="286">
        <v>5813</v>
      </c>
      <c r="H71" s="287"/>
      <c r="I71" s="286">
        <v>5890</v>
      </c>
      <c r="J71" s="287"/>
    </row>
    <row r="72" spans="1:10" x14ac:dyDescent="0.3">
      <c r="A72" s="107" t="s">
        <v>41</v>
      </c>
      <c r="B72" s="108"/>
      <c r="C72" s="286">
        <v>1201</v>
      </c>
      <c r="D72" s="287"/>
      <c r="E72" s="286">
        <v>1228</v>
      </c>
      <c r="F72" s="287"/>
      <c r="G72" s="286">
        <v>1247</v>
      </c>
      <c r="H72" s="287"/>
      <c r="I72" s="286">
        <v>1283</v>
      </c>
      <c r="J72" s="287"/>
    </row>
    <row r="73" spans="1:10" x14ac:dyDescent="0.3">
      <c r="A73" s="101" t="s">
        <v>15</v>
      </c>
      <c r="B73" s="102"/>
      <c r="C73" s="286">
        <v>4090</v>
      </c>
      <c r="D73" s="287"/>
      <c r="E73" s="286">
        <v>4147</v>
      </c>
      <c r="F73" s="287"/>
      <c r="G73" s="286">
        <v>4242</v>
      </c>
      <c r="H73" s="287"/>
      <c r="I73" s="286">
        <v>4273</v>
      </c>
      <c r="J73" s="287"/>
    </row>
    <row r="74" spans="1:10" x14ac:dyDescent="0.3">
      <c r="A74" s="107" t="s">
        <v>16</v>
      </c>
      <c r="B74" s="108"/>
      <c r="C74" s="286">
        <v>4551</v>
      </c>
      <c r="D74" s="287"/>
      <c r="E74" s="286">
        <v>4580</v>
      </c>
      <c r="F74" s="287"/>
      <c r="G74" s="286">
        <v>4634</v>
      </c>
      <c r="H74" s="287"/>
      <c r="I74" s="286">
        <v>4667</v>
      </c>
      <c r="J74" s="287"/>
    </row>
    <row r="75" spans="1:10" x14ac:dyDescent="0.3">
      <c r="A75" s="101" t="s">
        <v>17</v>
      </c>
      <c r="B75" s="102"/>
      <c r="C75" s="286">
        <v>6464</v>
      </c>
      <c r="D75" s="287"/>
      <c r="E75" s="286">
        <v>6627</v>
      </c>
      <c r="F75" s="287"/>
      <c r="G75" s="286">
        <v>6774</v>
      </c>
      <c r="H75" s="287"/>
      <c r="I75" s="286">
        <v>6888</v>
      </c>
      <c r="J75" s="287"/>
    </row>
    <row r="76" spans="1:10" x14ac:dyDescent="0.3">
      <c r="A76" s="107" t="s">
        <v>18</v>
      </c>
      <c r="B76" s="108"/>
      <c r="C76" s="286">
        <v>1390</v>
      </c>
      <c r="D76" s="287"/>
      <c r="E76" s="286">
        <v>1435</v>
      </c>
      <c r="F76" s="287"/>
      <c r="G76" s="286">
        <v>1469</v>
      </c>
      <c r="H76" s="287"/>
      <c r="I76" s="286">
        <v>1489</v>
      </c>
      <c r="J76" s="287"/>
    </row>
    <row r="77" spans="1:10" x14ac:dyDescent="0.3">
      <c r="A77" s="101" t="s">
        <v>19</v>
      </c>
      <c r="B77" s="102"/>
      <c r="C77" s="286">
        <v>5008</v>
      </c>
      <c r="D77" s="287"/>
      <c r="E77" s="286">
        <v>5125</v>
      </c>
      <c r="F77" s="287"/>
      <c r="G77" s="286">
        <v>5202</v>
      </c>
      <c r="H77" s="287"/>
      <c r="I77" s="286">
        <v>5282</v>
      </c>
      <c r="J77" s="287"/>
    </row>
    <row r="78" spans="1:10" x14ac:dyDescent="0.3">
      <c r="A78" s="105" t="s">
        <v>42</v>
      </c>
      <c r="B78" s="106"/>
      <c r="C78" s="103">
        <f>SUM(C69:C77)</f>
        <v>62357</v>
      </c>
      <c r="D78" s="104"/>
      <c r="E78" s="103">
        <f>SUM(E69:E77)</f>
        <v>63153</v>
      </c>
      <c r="F78" s="104"/>
      <c r="G78" s="103">
        <f>SUM(G69:G77)</f>
        <v>63988</v>
      </c>
      <c r="H78" s="104"/>
      <c r="I78" s="103">
        <f>SUM(I69:I77)</f>
        <v>64655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78"/>
  <sheetViews>
    <sheetView workbookViewId="0">
      <selection activeCell="O28" sqref="O28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345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9776</v>
      </c>
      <c r="D5" s="299"/>
      <c r="E5" s="298">
        <v>3226</v>
      </c>
      <c r="F5" s="299"/>
      <c r="G5" s="298">
        <v>2628</v>
      </c>
      <c r="H5" s="299"/>
      <c r="I5" s="298">
        <v>8739</v>
      </c>
      <c r="J5" s="299"/>
      <c r="K5" s="302">
        <v>158</v>
      </c>
      <c r="L5" s="303"/>
      <c r="M5" s="12">
        <v>7210</v>
      </c>
      <c r="N5" s="10">
        <v>1234</v>
      </c>
      <c r="O5" s="12">
        <v>68</v>
      </c>
      <c r="P5" s="10">
        <v>1424</v>
      </c>
      <c r="Q5" s="10">
        <v>846</v>
      </c>
    </row>
    <row r="6" spans="1:18" ht="13.5" customHeight="1" x14ac:dyDescent="0.3">
      <c r="A6" s="211" t="s">
        <v>11</v>
      </c>
      <c r="B6" s="212"/>
      <c r="C6" s="298">
        <v>1269</v>
      </c>
      <c r="D6" s="299"/>
      <c r="E6" s="298">
        <v>7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4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437</v>
      </c>
      <c r="D7" s="240"/>
      <c r="E7" s="239">
        <v>31</v>
      </c>
      <c r="F7" s="240"/>
      <c r="G7" s="239">
        <v>7</v>
      </c>
      <c r="H7" s="240"/>
      <c r="I7" s="239">
        <v>229</v>
      </c>
      <c r="J7" s="240"/>
      <c r="K7" s="239">
        <v>126</v>
      </c>
      <c r="L7" s="240"/>
      <c r="M7" s="1">
        <v>470</v>
      </c>
      <c r="N7" s="1">
        <v>40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269</v>
      </c>
      <c r="D8" s="240"/>
      <c r="E8" s="239">
        <v>0</v>
      </c>
      <c r="F8" s="240"/>
      <c r="G8" s="239">
        <v>2</v>
      </c>
      <c r="H8" s="240"/>
      <c r="I8" s="239">
        <v>157</v>
      </c>
      <c r="J8" s="240"/>
      <c r="K8" s="239">
        <v>0</v>
      </c>
      <c r="L8" s="240"/>
      <c r="M8" s="1">
        <v>149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432</v>
      </c>
      <c r="D9" s="240"/>
      <c r="E9" s="239">
        <v>178</v>
      </c>
      <c r="F9" s="240"/>
      <c r="G9" s="239">
        <v>0</v>
      </c>
      <c r="H9" s="240"/>
      <c r="I9" s="239">
        <v>99</v>
      </c>
      <c r="J9" s="240"/>
      <c r="K9" s="239">
        <v>24</v>
      </c>
      <c r="L9" s="240"/>
      <c r="M9" s="1">
        <v>88</v>
      </c>
      <c r="N9" s="1">
        <v>30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500</v>
      </c>
      <c r="D10" s="240"/>
      <c r="E10" s="239">
        <v>65</v>
      </c>
      <c r="F10" s="240"/>
      <c r="G10" s="239">
        <v>92</v>
      </c>
      <c r="H10" s="240"/>
      <c r="I10" s="239">
        <v>305</v>
      </c>
      <c r="J10" s="240"/>
      <c r="K10" s="239">
        <v>2</v>
      </c>
      <c r="L10" s="240"/>
      <c r="M10" s="1">
        <v>142</v>
      </c>
      <c r="N10" s="1">
        <v>110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439</v>
      </c>
      <c r="D11" s="246"/>
      <c r="E11" s="239">
        <v>14</v>
      </c>
      <c r="F11" s="240"/>
      <c r="G11" s="239">
        <v>0</v>
      </c>
      <c r="H11" s="240"/>
      <c r="I11" s="239">
        <v>155</v>
      </c>
      <c r="J11" s="240"/>
      <c r="K11" s="239">
        <v>81</v>
      </c>
      <c r="L11" s="240"/>
      <c r="M11" s="1">
        <v>131</v>
      </c>
      <c r="N11" s="1">
        <v>130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445</v>
      </c>
      <c r="D12" s="246"/>
      <c r="E12" s="239">
        <v>0</v>
      </c>
      <c r="F12" s="240"/>
      <c r="G12" s="239">
        <v>0</v>
      </c>
      <c r="H12" s="240"/>
      <c r="I12" s="239">
        <v>332</v>
      </c>
      <c r="J12" s="240"/>
      <c r="K12" s="239">
        <v>0</v>
      </c>
      <c r="L12" s="240"/>
      <c r="M12" s="1">
        <v>110</v>
      </c>
      <c r="N12" s="1">
        <v>75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276</v>
      </c>
      <c r="D13" s="246"/>
      <c r="E13" s="239">
        <v>0</v>
      </c>
      <c r="F13" s="240"/>
      <c r="G13" s="239">
        <v>0</v>
      </c>
      <c r="H13" s="240"/>
      <c r="I13" s="239">
        <v>48</v>
      </c>
      <c r="J13" s="240"/>
      <c r="K13" s="239">
        <v>0</v>
      </c>
      <c r="L13" s="240"/>
      <c r="M13" s="1">
        <v>89</v>
      </c>
      <c r="N13" s="1">
        <v>54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275</v>
      </c>
      <c r="D14" s="248"/>
      <c r="E14" s="247">
        <v>8</v>
      </c>
      <c r="F14" s="248"/>
      <c r="G14" s="247">
        <v>8</v>
      </c>
      <c r="H14" s="248"/>
      <c r="I14" s="239">
        <v>154</v>
      </c>
      <c r="J14" s="240"/>
      <c r="K14" s="247">
        <v>0</v>
      </c>
      <c r="L14" s="248"/>
      <c r="M14" s="2">
        <v>151</v>
      </c>
      <c r="N14" s="2">
        <v>22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5">
        <v>2245</v>
      </c>
      <c r="P15" s="35">
        <v>2228</v>
      </c>
      <c r="Q15" s="35">
        <v>2003</v>
      </c>
    </row>
    <row r="16" spans="1:18" ht="15" thickBot="1" x14ac:dyDescent="0.35">
      <c r="A16" s="199" t="s">
        <v>20</v>
      </c>
      <c r="B16" s="200"/>
      <c r="C16" s="201">
        <f>SUM(C5:D15)</f>
        <v>14118</v>
      </c>
      <c r="D16" s="202"/>
      <c r="E16" s="201">
        <f>SUM(E5:F15)</f>
        <v>3529</v>
      </c>
      <c r="F16" s="202"/>
      <c r="G16" s="201">
        <f>SUM(G5:H15)</f>
        <v>2737</v>
      </c>
      <c r="H16" s="202"/>
      <c r="I16" s="201">
        <f>SUM(I5:J15)</f>
        <v>10218</v>
      </c>
      <c r="J16" s="202"/>
      <c r="K16" s="201">
        <f>SUM(K5:L15)</f>
        <v>391</v>
      </c>
      <c r="L16" s="202"/>
      <c r="M16" s="3">
        <f>SUM(M5:M15)</f>
        <v>8544</v>
      </c>
      <c r="N16" s="4">
        <f>SUM(N5:N15)</f>
        <v>1710</v>
      </c>
      <c r="O16" s="4">
        <f>SUM(O5:O15)</f>
        <v>2395</v>
      </c>
      <c r="P16" s="4">
        <f>SUM(P5:P15)</f>
        <v>3694</v>
      </c>
      <c r="Q16" s="5">
        <f>SUM(Q5:Q15)</f>
        <v>2857</v>
      </c>
    </row>
    <row r="17" spans="1:20" x14ac:dyDescent="0.3">
      <c r="A17" s="190" t="s">
        <v>21</v>
      </c>
      <c r="B17" s="191"/>
      <c r="C17" s="298">
        <v>9776</v>
      </c>
      <c r="D17" s="299"/>
      <c r="E17" s="298">
        <v>3226</v>
      </c>
      <c r="F17" s="299"/>
      <c r="G17" s="298">
        <v>2628</v>
      </c>
      <c r="H17" s="299"/>
      <c r="I17" s="298">
        <v>8739</v>
      </c>
      <c r="J17" s="299"/>
      <c r="K17" s="302">
        <v>158</v>
      </c>
      <c r="L17" s="303"/>
      <c r="M17" s="12">
        <v>7210</v>
      </c>
      <c r="N17" s="10">
        <v>1234</v>
      </c>
      <c r="O17" s="12">
        <v>68</v>
      </c>
      <c r="P17" s="10">
        <v>1424</v>
      </c>
      <c r="Q17" s="10">
        <v>846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345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37</v>
      </c>
      <c r="D25" s="259"/>
      <c r="E25" s="260" t="s">
        <v>337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11</v>
      </c>
      <c r="D26" s="259"/>
      <c r="E26" s="260" t="s">
        <v>25</v>
      </c>
      <c r="F26" s="261"/>
      <c r="G26" s="258">
        <v>0</v>
      </c>
      <c r="H26" s="259"/>
      <c r="I26" s="258">
        <v>73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92</v>
      </c>
      <c r="D27" s="259"/>
      <c r="E27" s="260" t="s">
        <v>348</v>
      </c>
      <c r="F27" s="261"/>
      <c r="G27" s="258">
        <v>1</v>
      </c>
      <c r="H27" s="259"/>
      <c r="I27" s="258">
        <v>61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334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346</v>
      </c>
      <c r="D29" s="412"/>
      <c r="E29" s="260" t="s">
        <v>313</v>
      </c>
      <c r="F29" s="261"/>
      <c r="G29" s="258">
        <v>0</v>
      </c>
      <c r="H29" s="259"/>
      <c r="I29" s="258">
        <v>21</v>
      </c>
      <c r="J29" s="259"/>
      <c r="K29" s="8">
        <v>4</v>
      </c>
    </row>
    <row r="30" spans="1:20" x14ac:dyDescent="0.3">
      <c r="A30" s="101" t="s">
        <v>17</v>
      </c>
      <c r="B30" s="102"/>
      <c r="C30" s="272">
        <v>3</v>
      </c>
      <c r="D30" s="271"/>
      <c r="E30" s="258" t="s">
        <v>166</v>
      </c>
      <c r="F30" s="259"/>
      <c r="G30" s="258">
        <v>0</v>
      </c>
      <c r="H30" s="259"/>
      <c r="I30" s="258">
        <v>5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10</v>
      </c>
      <c r="D32" s="259"/>
      <c r="E32" s="260" t="s">
        <v>285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345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196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351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349</v>
      </c>
      <c r="D40" s="259"/>
      <c r="E40" s="276" t="s">
        <v>350</v>
      </c>
      <c r="F40" s="277"/>
      <c r="G40" s="258">
        <v>6</v>
      </c>
      <c r="H40" s="259"/>
      <c r="I40" s="258" t="s">
        <v>310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347</v>
      </c>
      <c r="D42" s="271"/>
      <c r="E42" s="276" t="s">
        <v>343</v>
      </c>
      <c r="F42" s="277"/>
      <c r="G42" s="258">
        <v>0</v>
      </c>
      <c r="H42" s="259"/>
      <c r="I42" s="258" t="s">
        <v>243</v>
      </c>
      <c r="J42" s="259"/>
      <c r="K42" s="8" t="s">
        <v>316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287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322</v>
      </c>
      <c r="D49" s="146"/>
      <c r="E49" s="145" t="s">
        <v>330</v>
      </c>
      <c r="F49" s="146"/>
      <c r="G49" s="145" t="s">
        <v>338</v>
      </c>
      <c r="H49" s="146"/>
      <c r="I49" s="145" t="s">
        <v>345</v>
      </c>
      <c r="J49" s="146"/>
    </row>
    <row r="50" spans="1:11" x14ac:dyDescent="0.3">
      <c r="A50" s="284" t="s">
        <v>30</v>
      </c>
      <c r="B50" s="285"/>
      <c r="C50" s="300">
        <v>13708</v>
      </c>
      <c r="D50" s="301"/>
      <c r="E50" s="300">
        <v>13672</v>
      </c>
      <c r="F50" s="301"/>
      <c r="G50" s="300">
        <v>13617</v>
      </c>
      <c r="H50" s="301"/>
      <c r="I50" s="300">
        <v>13583</v>
      </c>
      <c r="J50" s="301"/>
    </row>
    <row r="51" spans="1:11" x14ac:dyDescent="0.3">
      <c r="A51" s="284" t="s">
        <v>31</v>
      </c>
      <c r="B51" s="285"/>
      <c r="C51" s="286">
        <v>8741</v>
      </c>
      <c r="D51" s="287"/>
      <c r="E51" s="286">
        <v>8763</v>
      </c>
      <c r="F51" s="287"/>
      <c r="G51" s="286">
        <v>8795</v>
      </c>
      <c r="H51" s="287"/>
      <c r="I51" s="286">
        <v>8811</v>
      </c>
      <c r="J51" s="287"/>
    </row>
    <row r="52" spans="1:11" x14ac:dyDescent="0.3">
      <c r="A52" s="284" t="s">
        <v>32</v>
      </c>
      <c r="B52" s="285"/>
      <c r="C52" s="300">
        <v>114791</v>
      </c>
      <c r="D52" s="301"/>
      <c r="E52" s="300">
        <v>114708</v>
      </c>
      <c r="F52" s="301"/>
      <c r="G52" s="300">
        <v>114617</v>
      </c>
      <c r="H52" s="301"/>
      <c r="I52" s="300">
        <v>114600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51405</v>
      </c>
      <c r="D54" s="301"/>
      <c r="E54" s="300">
        <v>51378</v>
      </c>
      <c r="F54" s="301"/>
      <c r="G54" s="300">
        <v>51332</v>
      </c>
      <c r="H54" s="301"/>
      <c r="I54" s="300">
        <v>51306</v>
      </c>
      <c r="J54" s="301"/>
    </row>
    <row r="55" spans="1:11" x14ac:dyDescent="0.3">
      <c r="A55" s="284" t="s">
        <v>53</v>
      </c>
      <c r="B55" s="285"/>
      <c r="C55" s="286">
        <v>4132</v>
      </c>
      <c r="D55" s="287"/>
      <c r="E55" s="286">
        <v>4146</v>
      </c>
      <c r="F55" s="287"/>
      <c r="G55" s="286">
        <v>4169</v>
      </c>
      <c r="H55" s="287"/>
      <c r="I55" s="286">
        <v>4194</v>
      </c>
      <c r="J55" s="287"/>
    </row>
    <row r="56" spans="1:11" x14ac:dyDescent="0.3">
      <c r="A56" s="284" t="s">
        <v>49</v>
      </c>
      <c r="B56" s="285"/>
      <c r="C56" s="300">
        <v>12879</v>
      </c>
      <c r="D56" s="301"/>
      <c r="E56" s="300">
        <v>13018</v>
      </c>
      <c r="F56" s="301"/>
      <c r="G56" s="300">
        <v>13261</v>
      </c>
      <c r="H56" s="301"/>
      <c r="I56" s="300">
        <v>13444</v>
      </c>
      <c r="J56" s="301"/>
      <c r="K56" s="11"/>
    </row>
    <row r="57" spans="1:11" x14ac:dyDescent="0.3">
      <c r="A57" s="284" t="s">
        <v>35</v>
      </c>
      <c r="B57" s="285"/>
      <c r="C57" s="286">
        <v>1790</v>
      </c>
      <c r="D57" s="287"/>
      <c r="E57" s="286">
        <v>1826</v>
      </c>
      <c r="F57" s="287"/>
      <c r="G57" s="286">
        <v>1889</v>
      </c>
      <c r="H57" s="287"/>
      <c r="I57" s="286">
        <v>1928</v>
      </c>
      <c r="J57" s="287"/>
    </row>
    <row r="58" spans="1:11" x14ac:dyDescent="0.3">
      <c r="A58" s="120" t="s">
        <v>36</v>
      </c>
      <c r="B58" s="121"/>
      <c r="C58" s="122">
        <f>SUM(C50:D57)</f>
        <v>207685</v>
      </c>
      <c r="D58" s="123"/>
      <c r="E58" s="122">
        <f>SUM(E50:F57)</f>
        <v>207750</v>
      </c>
      <c r="F58" s="123"/>
      <c r="G58" s="122">
        <f>SUM(G50:H57)</f>
        <v>207919</v>
      </c>
      <c r="H58" s="123"/>
      <c r="I58" s="122">
        <f>SUM(I50:J57)</f>
        <v>208105</v>
      </c>
      <c r="J58" s="123"/>
    </row>
    <row r="60" spans="1:11" x14ac:dyDescent="0.3">
      <c r="A60" s="124" t="s">
        <v>37</v>
      </c>
      <c r="B60" s="125"/>
      <c r="C60" s="130" t="s">
        <v>322</v>
      </c>
      <c r="D60" s="131"/>
      <c r="E60" s="130" t="s">
        <v>330</v>
      </c>
      <c r="F60" s="131"/>
      <c r="G60" s="130" t="s">
        <v>338</v>
      </c>
      <c r="H60" s="131"/>
      <c r="I60" s="130" t="s">
        <v>345</v>
      </c>
      <c r="J60" s="131"/>
    </row>
    <row r="61" spans="1:11" x14ac:dyDescent="0.3">
      <c r="A61" s="126"/>
      <c r="B61" s="127"/>
      <c r="C61" s="288">
        <v>137003</v>
      </c>
      <c r="D61" s="289"/>
      <c r="E61" s="288">
        <v>137068</v>
      </c>
      <c r="F61" s="289"/>
      <c r="G61" s="288">
        <v>137158</v>
      </c>
      <c r="H61" s="289"/>
      <c r="I61" s="288">
        <v>137270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207</v>
      </c>
      <c r="D66" s="115"/>
      <c r="E66" s="114" t="s">
        <v>239</v>
      </c>
      <c r="F66" s="115"/>
      <c r="G66" s="114" t="s">
        <v>293</v>
      </c>
      <c r="H66" s="115"/>
      <c r="I66" s="114" t="s">
        <v>330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27298</v>
      </c>
      <c r="D69" s="287"/>
      <c r="E69" s="286">
        <v>27548</v>
      </c>
      <c r="F69" s="287"/>
      <c r="G69" s="286">
        <v>27824</v>
      </c>
      <c r="H69" s="287"/>
      <c r="I69" s="286">
        <v>28056</v>
      </c>
      <c r="J69" s="287"/>
    </row>
    <row r="70" spans="1:10" x14ac:dyDescent="0.3">
      <c r="A70" s="101" t="s">
        <v>13</v>
      </c>
      <c r="B70" s="102"/>
      <c r="C70" s="286">
        <v>6661</v>
      </c>
      <c r="D70" s="287"/>
      <c r="E70" s="286">
        <v>6721</v>
      </c>
      <c r="F70" s="287"/>
      <c r="G70" s="286">
        <v>6783</v>
      </c>
      <c r="H70" s="287"/>
      <c r="I70" s="286">
        <v>6827</v>
      </c>
      <c r="J70" s="287"/>
    </row>
    <row r="71" spans="1:10" x14ac:dyDescent="0.3">
      <c r="A71" s="107" t="s">
        <v>14</v>
      </c>
      <c r="B71" s="108"/>
      <c r="C71" s="286">
        <v>5694</v>
      </c>
      <c r="D71" s="287"/>
      <c r="E71" s="286">
        <v>5742</v>
      </c>
      <c r="F71" s="287"/>
      <c r="G71" s="286">
        <v>5813</v>
      </c>
      <c r="H71" s="287"/>
      <c r="I71" s="286">
        <v>5890</v>
      </c>
      <c r="J71" s="287"/>
    </row>
    <row r="72" spans="1:10" x14ac:dyDescent="0.3">
      <c r="A72" s="107" t="s">
        <v>41</v>
      </c>
      <c r="B72" s="108"/>
      <c r="C72" s="286">
        <v>1201</v>
      </c>
      <c r="D72" s="287"/>
      <c r="E72" s="286">
        <v>1228</v>
      </c>
      <c r="F72" s="287"/>
      <c r="G72" s="286">
        <v>1247</v>
      </c>
      <c r="H72" s="287"/>
      <c r="I72" s="286">
        <v>1283</v>
      </c>
      <c r="J72" s="287"/>
    </row>
    <row r="73" spans="1:10" x14ac:dyDescent="0.3">
      <c r="A73" s="101" t="s">
        <v>15</v>
      </c>
      <c r="B73" s="102"/>
      <c r="C73" s="286">
        <v>4090</v>
      </c>
      <c r="D73" s="287"/>
      <c r="E73" s="286">
        <v>4147</v>
      </c>
      <c r="F73" s="287"/>
      <c r="G73" s="286">
        <v>4242</v>
      </c>
      <c r="H73" s="287"/>
      <c r="I73" s="286">
        <v>4273</v>
      </c>
      <c r="J73" s="287"/>
    </row>
    <row r="74" spans="1:10" x14ac:dyDescent="0.3">
      <c r="A74" s="107" t="s">
        <v>16</v>
      </c>
      <c r="B74" s="108"/>
      <c r="C74" s="286">
        <v>4551</v>
      </c>
      <c r="D74" s="287"/>
      <c r="E74" s="286">
        <v>4580</v>
      </c>
      <c r="F74" s="287"/>
      <c r="G74" s="286">
        <v>4634</v>
      </c>
      <c r="H74" s="287"/>
      <c r="I74" s="286">
        <v>4667</v>
      </c>
      <c r="J74" s="287"/>
    </row>
    <row r="75" spans="1:10" x14ac:dyDescent="0.3">
      <c r="A75" s="101" t="s">
        <v>17</v>
      </c>
      <c r="B75" s="102"/>
      <c r="C75" s="286">
        <v>6464</v>
      </c>
      <c r="D75" s="287"/>
      <c r="E75" s="286">
        <v>6627</v>
      </c>
      <c r="F75" s="287"/>
      <c r="G75" s="286">
        <v>6774</v>
      </c>
      <c r="H75" s="287"/>
      <c r="I75" s="286">
        <v>6888</v>
      </c>
      <c r="J75" s="287"/>
    </row>
    <row r="76" spans="1:10" x14ac:dyDescent="0.3">
      <c r="A76" s="107" t="s">
        <v>18</v>
      </c>
      <c r="B76" s="108"/>
      <c r="C76" s="286">
        <v>1390</v>
      </c>
      <c r="D76" s="287"/>
      <c r="E76" s="286">
        <v>1435</v>
      </c>
      <c r="F76" s="287"/>
      <c r="G76" s="286">
        <v>1469</v>
      </c>
      <c r="H76" s="287"/>
      <c r="I76" s="286">
        <v>1489</v>
      </c>
      <c r="J76" s="287"/>
    </row>
    <row r="77" spans="1:10" x14ac:dyDescent="0.3">
      <c r="A77" s="101" t="s">
        <v>19</v>
      </c>
      <c r="B77" s="102"/>
      <c r="C77" s="286">
        <v>5008</v>
      </c>
      <c r="D77" s="287"/>
      <c r="E77" s="286">
        <v>5125</v>
      </c>
      <c r="F77" s="287"/>
      <c r="G77" s="286">
        <v>5202</v>
      </c>
      <c r="H77" s="287"/>
      <c r="I77" s="286">
        <v>5282</v>
      </c>
      <c r="J77" s="287"/>
    </row>
    <row r="78" spans="1:10" x14ac:dyDescent="0.3">
      <c r="A78" s="105" t="s">
        <v>42</v>
      </c>
      <c r="B78" s="106"/>
      <c r="C78" s="103">
        <f>SUM(C69:C77)</f>
        <v>62357</v>
      </c>
      <c r="D78" s="104"/>
      <c r="E78" s="103">
        <f>SUM(E69:E77)</f>
        <v>63153</v>
      </c>
      <c r="F78" s="104"/>
      <c r="G78" s="103">
        <f>SUM(G69:G77)</f>
        <v>63988</v>
      </c>
      <c r="H78" s="104"/>
      <c r="I78" s="103">
        <f>SUM(I69:I77)</f>
        <v>64655</v>
      </c>
      <c r="J78" s="104"/>
    </row>
  </sheetData>
  <mergeCells count="312"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K17:L17"/>
    <mergeCell ref="I17:J17"/>
    <mergeCell ref="G17:H17"/>
    <mergeCell ref="E17:F17"/>
    <mergeCell ref="C17:D17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78"/>
  <sheetViews>
    <sheetView workbookViewId="0">
      <selection activeCell="T22" sqref="T22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352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9606</v>
      </c>
      <c r="D5" s="299"/>
      <c r="E5" s="298">
        <v>3226</v>
      </c>
      <c r="F5" s="299"/>
      <c r="G5" s="298">
        <v>2628</v>
      </c>
      <c r="H5" s="299"/>
      <c r="I5" s="298">
        <v>8399</v>
      </c>
      <c r="J5" s="299"/>
      <c r="K5" s="302">
        <v>38</v>
      </c>
      <c r="L5" s="303"/>
      <c r="M5" s="12">
        <v>6910</v>
      </c>
      <c r="N5" s="10">
        <v>1214</v>
      </c>
      <c r="O5" s="12">
        <v>1398</v>
      </c>
      <c r="P5" s="10">
        <v>914</v>
      </c>
      <c r="Q5" s="10">
        <v>446</v>
      </c>
    </row>
    <row r="6" spans="1:18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453</v>
      </c>
      <c r="D7" s="240"/>
      <c r="E7" s="239">
        <v>29</v>
      </c>
      <c r="F7" s="240"/>
      <c r="G7" s="239">
        <v>7</v>
      </c>
      <c r="H7" s="240"/>
      <c r="I7" s="239">
        <v>416</v>
      </c>
      <c r="J7" s="240"/>
      <c r="K7" s="239">
        <v>229</v>
      </c>
      <c r="L7" s="240"/>
      <c r="M7" s="1">
        <v>463</v>
      </c>
      <c r="N7" s="1">
        <v>40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214</v>
      </c>
      <c r="D8" s="240"/>
      <c r="E8" s="239">
        <v>0</v>
      </c>
      <c r="F8" s="240"/>
      <c r="G8" s="239">
        <v>0</v>
      </c>
      <c r="H8" s="240"/>
      <c r="I8" s="239">
        <v>106</v>
      </c>
      <c r="J8" s="240"/>
      <c r="K8" s="239">
        <v>0</v>
      </c>
      <c r="L8" s="240"/>
      <c r="M8" s="1">
        <v>134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415</v>
      </c>
      <c r="D9" s="240"/>
      <c r="E9" s="239">
        <v>160</v>
      </c>
      <c r="F9" s="240"/>
      <c r="G9" s="239">
        <v>0</v>
      </c>
      <c r="H9" s="240"/>
      <c r="I9" s="239">
        <v>99</v>
      </c>
      <c r="J9" s="240"/>
      <c r="K9" s="239">
        <v>130</v>
      </c>
      <c r="L9" s="240"/>
      <c r="M9" s="1">
        <v>211</v>
      </c>
      <c r="N9" s="1">
        <v>30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390</v>
      </c>
      <c r="D10" s="240"/>
      <c r="E10" s="239">
        <v>55</v>
      </c>
      <c r="F10" s="240"/>
      <c r="G10" s="239">
        <v>72</v>
      </c>
      <c r="H10" s="240"/>
      <c r="I10" s="239">
        <v>300</v>
      </c>
      <c r="J10" s="240"/>
      <c r="K10" s="239">
        <v>2</v>
      </c>
      <c r="L10" s="240"/>
      <c r="M10" s="1">
        <v>133</v>
      </c>
      <c r="N10" s="1">
        <v>102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402</v>
      </c>
      <c r="D11" s="246"/>
      <c r="E11" s="239">
        <v>14</v>
      </c>
      <c r="F11" s="240"/>
      <c r="G11" s="239">
        <v>0</v>
      </c>
      <c r="H11" s="240"/>
      <c r="I11" s="239">
        <v>148</v>
      </c>
      <c r="J11" s="240"/>
      <c r="K11" s="239">
        <v>74</v>
      </c>
      <c r="L11" s="240"/>
      <c r="M11" s="1">
        <v>125</v>
      </c>
      <c r="N11" s="1">
        <v>128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403</v>
      </c>
      <c r="D12" s="246"/>
      <c r="E12" s="239">
        <v>0</v>
      </c>
      <c r="F12" s="240"/>
      <c r="G12" s="239">
        <v>0</v>
      </c>
      <c r="H12" s="240"/>
      <c r="I12" s="239">
        <v>298</v>
      </c>
      <c r="J12" s="240"/>
      <c r="K12" s="239">
        <v>0</v>
      </c>
      <c r="L12" s="240"/>
      <c r="M12" s="1">
        <v>90</v>
      </c>
      <c r="N12" s="1">
        <v>72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272</v>
      </c>
      <c r="D13" s="246"/>
      <c r="E13" s="239">
        <v>0</v>
      </c>
      <c r="F13" s="240"/>
      <c r="G13" s="239">
        <v>0</v>
      </c>
      <c r="H13" s="240"/>
      <c r="I13" s="239">
        <v>47</v>
      </c>
      <c r="J13" s="240"/>
      <c r="K13" s="239">
        <v>0</v>
      </c>
      <c r="L13" s="240"/>
      <c r="M13" s="1">
        <v>84</v>
      </c>
      <c r="N13" s="1">
        <v>54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298</v>
      </c>
      <c r="D14" s="248"/>
      <c r="E14" s="247">
        <v>0</v>
      </c>
      <c r="F14" s="248"/>
      <c r="G14" s="247">
        <v>0</v>
      </c>
      <c r="H14" s="248"/>
      <c r="I14" s="239">
        <v>151</v>
      </c>
      <c r="J14" s="240"/>
      <c r="K14" s="247">
        <v>0</v>
      </c>
      <c r="L14" s="248"/>
      <c r="M14" s="2">
        <v>168</v>
      </c>
      <c r="N14" s="2">
        <v>22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5">
        <v>2838</v>
      </c>
      <c r="P15" s="35">
        <v>2492</v>
      </c>
      <c r="Q15" s="35">
        <v>2098</v>
      </c>
    </row>
    <row r="16" spans="1:18" ht="15" thickBot="1" x14ac:dyDescent="0.35">
      <c r="A16" s="199" t="s">
        <v>20</v>
      </c>
      <c r="B16" s="200"/>
      <c r="C16" s="201">
        <f>SUM(C5:D15)</f>
        <v>13412</v>
      </c>
      <c r="D16" s="202"/>
      <c r="E16" s="201">
        <f>SUM(E5:F15)</f>
        <v>3484</v>
      </c>
      <c r="F16" s="202"/>
      <c r="G16" s="201">
        <f>SUM(G5:H15)</f>
        <v>2707</v>
      </c>
      <c r="H16" s="202"/>
      <c r="I16" s="201">
        <f>SUM(I5:J15)</f>
        <v>9964</v>
      </c>
      <c r="J16" s="202"/>
      <c r="K16" s="201">
        <f>SUM(K5:L15)</f>
        <v>473</v>
      </c>
      <c r="L16" s="202"/>
      <c r="M16" s="3">
        <f>SUM(M5:M15)</f>
        <v>8318</v>
      </c>
      <c r="N16" s="4">
        <f>SUM(N5:N15)</f>
        <v>1677</v>
      </c>
      <c r="O16" s="4">
        <f>SUM(O5:O15)</f>
        <v>4318</v>
      </c>
      <c r="P16" s="4">
        <f>SUM(P5:P15)</f>
        <v>3448</v>
      </c>
      <c r="Q16" s="5">
        <f>SUM(Q5:Q15)</f>
        <v>2552</v>
      </c>
    </row>
    <row r="17" spans="1:20" x14ac:dyDescent="0.3">
      <c r="A17" s="190" t="s">
        <v>21</v>
      </c>
      <c r="B17" s="191"/>
      <c r="C17" s="298">
        <v>9606</v>
      </c>
      <c r="D17" s="299"/>
      <c r="E17" s="298">
        <v>3226</v>
      </c>
      <c r="F17" s="299"/>
      <c r="G17" s="298">
        <v>2628</v>
      </c>
      <c r="H17" s="299"/>
      <c r="I17" s="298">
        <v>8399</v>
      </c>
      <c r="J17" s="299"/>
      <c r="K17" s="302">
        <v>38</v>
      </c>
      <c r="L17" s="303"/>
      <c r="M17" s="12">
        <v>6910</v>
      </c>
      <c r="N17" s="10">
        <v>1214</v>
      </c>
      <c r="O17" s="12">
        <v>1398</v>
      </c>
      <c r="P17" s="10">
        <v>914</v>
      </c>
      <c r="Q17" s="10">
        <v>446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352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60</v>
      </c>
      <c r="D25" s="259"/>
      <c r="E25" s="260" t="s">
        <v>359</v>
      </c>
      <c r="F25" s="261"/>
      <c r="G25" s="258">
        <v>0</v>
      </c>
      <c r="H25" s="259"/>
      <c r="I25" s="258">
        <v>195</v>
      </c>
      <c r="J25" s="259"/>
      <c r="K25" s="8">
        <v>0</v>
      </c>
    </row>
    <row r="26" spans="1:20" x14ac:dyDescent="0.3">
      <c r="A26" s="101" t="s">
        <v>13</v>
      </c>
      <c r="B26" s="102"/>
      <c r="C26" s="258">
        <v>11</v>
      </c>
      <c r="D26" s="259"/>
      <c r="E26" s="260" t="s">
        <v>25</v>
      </c>
      <c r="F26" s="261"/>
      <c r="G26" s="258">
        <v>0</v>
      </c>
      <c r="H26" s="259"/>
      <c r="I26" s="258">
        <v>76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84</v>
      </c>
      <c r="D27" s="259"/>
      <c r="E27" s="260" t="s">
        <v>353</v>
      </c>
      <c r="F27" s="261"/>
      <c r="G27" s="258">
        <v>1</v>
      </c>
      <c r="H27" s="259"/>
      <c r="I27" s="258">
        <v>52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334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356</v>
      </c>
      <c r="D29" s="412"/>
      <c r="E29" s="260" t="s">
        <v>313</v>
      </c>
      <c r="F29" s="261"/>
      <c r="G29" s="258">
        <v>0</v>
      </c>
      <c r="H29" s="259"/>
      <c r="I29" s="258">
        <v>17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4</v>
      </c>
      <c r="D30" s="271"/>
      <c r="E30" s="258" t="s">
        <v>90</v>
      </c>
      <c r="F30" s="259"/>
      <c r="G30" s="258">
        <v>0</v>
      </c>
      <c r="H30" s="259"/>
      <c r="I30" s="258">
        <v>3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16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9</v>
      </c>
      <c r="D32" s="259"/>
      <c r="E32" s="260" t="s">
        <v>177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352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196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360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354</v>
      </c>
      <c r="D40" s="259"/>
      <c r="E40" s="276" t="s">
        <v>355</v>
      </c>
      <c r="F40" s="277"/>
      <c r="G40" s="258">
        <v>6</v>
      </c>
      <c r="H40" s="259"/>
      <c r="I40" s="258" t="s">
        <v>310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357</v>
      </c>
      <c r="D42" s="271"/>
      <c r="E42" s="276" t="s">
        <v>343</v>
      </c>
      <c r="F42" s="277"/>
      <c r="G42" s="258">
        <v>0</v>
      </c>
      <c r="H42" s="259"/>
      <c r="I42" s="258" t="s">
        <v>243</v>
      </c>
      <c r="J42" s="259"/>
      <c r="K42" s="8" t="s">
        <v>236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358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330</v>
      </c>
      <c r="D49" s="146"/>
      <c r="E49" s="145" t="s">
        <v>338</v>
      </c>
      <c r="F49" s="146"/>
      <c r="G49" s="145" t="s">
        <v>345</v>
      </c>
      <c r="H49" s="146"/>
      <c r="I49" s="145" t="s">
        <v>352</v>
      </c>
      <c r="J49" s="146"/>
    </row>
    <row r="50" spans="1:11" x14ac:dyDescent="0.3">
      <c r="A50" s="284" t="s">
        <v>30</v>
      </c>
      <c r="B50" s="285"/>
      <c r="C50" s="300">
        <v>13672</v>
      </c>
      <c r="D50" s="301"/>
      <c r="E50" s="300">
        <v>13617</v>
      </c>
      <c r="F50" s="301"/>
      <c r="G50" s="300">
        <v>13583</v>
      </c>
      <c r="H50" s="301"/>
      <c r="I50" s="300">
        <v>13561</v>
      </c>
      <c r="J50" s="301"/>
    </row>
    <row r="51" spans="1:11" x14ac:dyDescent="0.3">
      <c r="A51" s="284" t="s">
        <v>31</v>
      </c>
      <c r="B51" s="285"/>
      <c r="C51" s="286">
        <v>8763</v>
      </c>
      <c r="D51" s="287"/>
      <c r="E51" s="286">
        <v>8795</v>
      </c>
      <c r="F51" s="287"/>
      <c r="G51" s="286">
        <v>8811</v>
      </c>
      <c r="H51" s="287"/>
      <c r="I51" s="286">
        <v>8820</v>
      </c>
      <c r="J51" s="287"/>
    </row>
    <row r="52" spans="1:11" x14ac:dyDescent="0.3">
      <c r="A52" s="284" t="s">
        <v>32</v>
      </c>
      <c r="B52" s="285"/>
      <c r="C52" s="300">
        <v>114708</v>
      </c>
      <c r="D52" s="301"/>
      <c r="E52" s="300">
        <v>114617</v>
      </c>
      <c r="F52" s="301"/>
      <c r="G52" s="300">
        <v>114600</v>
      </c>
      <c r="H52" s="301"/>
      <c r="I52" s="300">
        <v>114510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51378</v>
      </c>
      <c r="D54" s="301"/>
      <c r="E54" s="300">
        <v>51332</v>
      </c>
      <c r="F54" s="301"/>
      <c r="G54" s="300">
        <v>51306</v>
      </c>
      <c r="H54" s="301"/>
      <c r="I54" s="300">
        <v>51255</v>
      </c>
      <c r="J54" s="301"/>
    </row>
    <row r="55" spans="1:11" x14ac:dyDescent="0.3">
      <c r="A55" s="284" t="s">
        <v>53</v>
      </c>
      <c r="B55" s="285"/>
      <c r="C55" s="286">
        <v>4146</v>
      </c>
      <c r="D55" s="287"/>
      <c r="E55" s="286">
        <v>4169</v>
      </c>
      <c r="F55" s="287"/>
      <c r="G55" s="286">
        <v>4194</v>
      </c>
      <c r="H55" s="287"/>
      <c r="I55" s="286">
        <v>4231</v>
      </c>
      <c r="J55" s="287"/>
    </row>
    <row r="56" spans="1:11" x14ac:dyDescent="0.3">
      <c r="A56" s="284" t="s">
        <v>49</v>
      </c>
      <c r="B56" s="285"/>
      <c r="C56" s="300">
        <v>13018</v>
      </c>
      <c r="D56" s="301"/>
      <c r="E56" s="300">
        <v>13261</v>
      </c>
      <c r="F56" s="301"/>
      <c r="G56" s="300">
        <v>13444</v>
      </c>
      <c r="H56" s="301"/>
      <c r="I56" s="300">
        <v>13602</v>
      </c>
      <c r="J56" s="301"/>
      <c r="K56" s="11"/>
    </row>
    <row r="57" spans="1:11" x14ac:dyDescent="0.3">
      <c r="A57" s="284" t="s">
        <v>35</v>
      </c>
      <c r="B57" s="285"/>
      <c r="C57" s="286">
        <v>1826</v>
      </c>
      <c r="D57" s="287"/>
      <c r="E57" s="286">
        <v>1889</v>
      </c>
      <c r="F57" s="287"/>
      <c r="G57" s="286">
        <v>1928</v>
      </c>
      <c r="H57" s="287"/>
      <c r="I57" s="286">
        <v>1964</v>
      </c>
      <c r="J57" s="287"/>
    </row>
    <row r="58" spans="1:11" x14ac:dyDescent="0.3">
      <c r="A58" s="120" t="s">
        <v>36</v>
      </c>
      <c r="B58" s="121"/>
      <c r="C58" s="122">
        <f>SUM(C50:D57)</f>
        <v>207750</v>
      </c>
      <c r="D58" s="123"/>
      <c r="E58" s="122">
        <f>SUM(E50:F57)</f>
        <v>207919</v>
      </c>
      <c r="F58" s="123"/>
      <c r="G58" s="122">
        <f>SUM(G50:H57)</f>
        <v>208105</v>
      </c>
      <c r="H58" s="123"/>
      <c r="I58" s="122">
        <f>SUM(I50:J57)</f>
        <v>208182</v>
      </c>
      <c r="J58" s="123"/>
    </row>
    <row r="60" spans="1:11" x14ac:dyDescent="0.3">
      <c r="A60" s="124" t="s">
        <v>37</v>
      </c>
      <c r="B60" s="125"/>
      <c r="C60" s="130" t="s">
        <v>330</v>
      </c>
      <c r="D60" s="131"/>
      <c r="E60" s="130" t="s">
        <v>338</v>
      </c>
      <c r="F60" s="131"/>
      <c r="G60" s="130" t="s">
        <v>345</v>
      </c>
      <c r="H60" s="131"/>
      <c r="I60" s="130" t="s">
        <v>352</v>
      </c>
      <c r="J60" s="131"/>
    </row>
    <row r="61" spans="1:11" x14ac:dyDescent="0.3">
      <c r="A61" s="126"/>
      <c r="B61" s="127"/>
      <c r="C61" s="288">
        <v>137068</v>
      </c>
      <c r="D61" s="289"/>
      <c r="E61" s="288">
        <v>137158</v>
      </c>
      <c r="F61" s="289"/>
      <c r="G61" s="288">
        <v>137270</v>
      </c>
      <c r="H61" s="289"/>
      <c r="I61" s="288">
        <v>137424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207</v>
      </c>
      <c r="D66" s="115"/>
      <c r="E66" s="114" t="s">
        <v>239</v>
      </c>
      <c r="F66" s="115"/>
      <c r="G66" s="114" t="s">
        <v>293</v>
      </c>
      <c r="H66" s="115"/>
      <c r="I66" s="114" t="s">
        <v>330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27298</v>
      </c>
      <c r="D69" s="287"/>
      <c r="E69" s="286">
        <v>27548</v>
      </c>
      <c r="F69" s="287"/>
      <c r="G69" s="286">
        <v>27824</v>
      </c>
      <c r="H69" s="287"/>
      <c r="I69" s="286">
        <v>28056</v>
      </c>
      <c r="J69" s="287"/>
    </row>
    <row r="70" spans="1:10" x14ac:dyDescent="0.3">
      <c r="A70" s="101" t="s">
        <v>13</v>
      </c>
      <c r="B70" s="102"/>
      <c r="C70" s="286">
        <v>6661</v>
      </c>
      <c r="D70" s="287"/>
      <c r="E70" s="286">
        <v>6721</v>
      </c>
      <c r="F70" s="287"/>
      <c r="G70" s="286">
        <v>6783</v>
      </c>
      <c r="H70" s="287"/>
      <c r="I70" s="286">
        <v>6827</v>
      </c>
      <c r="J70" s="287"/>
    </row>
    <row r="71" spans="1:10" x14ac:dyDescent="0.3">
      <c r="A71" s="107" t="s">
        <v>14</v>
      </c>
      <c r="B71" s="108"/>
      <c r="C71" s="286">
        <v>5694</v>
      </c>
      <c r="D71" s="287"/>
      <c r="E71" s="286">
        <v>5742</v>
      </c>
      <c r="F71" s="287"/>
      <c r="G71" s="286">
        <v>5813</v>
      </c>
      <c r="H71" s="287"/>
      <c r="I71" s="286">
        <v>5890</v>
      </c>
      <c r="J71" s="287"/>
    </row>
    <row r="72" spans="1:10" x14ac:dyDescent="0.3">
      <c r="A72" s="107" t="s">
        <v>41</v>
      </c>
      <c r="B72" s="108"/>
      <c r="C72" s="286">
        <v>1201</v>
      </c>
      <c r="D72" s="287"/>
      <c r="E72" s="286">
        <v>1228</v>
      </c>
      <c r="F72" s="287"/>
      <c r="G72" s="286">
        <v>1247</v>
      </c>
      <c r="H72" s="287"/>
      <c r="I72" s="286">
        <v>1283</v>
      </c>
      <c r="J72" s="287"/>
    </row>
    <row r="73" spans="1:10" x14ac:dyDescent="0.3">
      <c r="A73" s="101" t="s">
        <v>15</v>
      </c>
      <c r="B73" s="102"/>
      <c r="C73" s="286">
        <v>4090</v>
      </c>
      <c r="D73" s="287"/>
      <c r="E73" s="286">
        <v>4147</v>
      </c>
      <c r="F73" s="287"/>
      <c r="G73" s="286">
        <v>4242</v>
      </c>
      <c r="H73" s="287"/>
      <c r="I73" s="286">
        <v>4273</v>
      </c>
      <c r="J73" s="287"/>
    </row>
    <row r="74" spans="1:10" x14ac:dyDescent="0.3">
      <c r="A74" s="107" t="s">
        <v>16</v>
      </c>
      <c r="B74" s="108"/>
      <c r="C74" s="286">
        <v>4551</v>
      </c>
      <c r="D74" s="287"/>
      <c r="E74" s="286">
        <v>4580</v>
      </c>
      <c r="F74" s="287"/>
      <c r="G74" s="286">
        <v>4634</v>
      </c>
      <c r="H74" s="287"/>
      <c r="I74" s="286">
        <v>4667</v>
      </c>
      <c r="J74" s="287"/>
    </row>
    <row r="75" spans="1:10" x14ac:dyDescent="0.3">
      <c r="A75" s="101" t="s">
        <v>17</v>
      </c>
      <c r="B75" s="102"/>
      <c r="C75" s="286">
        <v>6464</v>
      </c>
      <c r="D75" s="287"/>
      <c r="E75" s="286">
        <v>6627</v>
      </c>
      <c r="F75" s="287"/>
      <c r="G75" s="286">
        <v>6774</v>
      </c>
      <c r="H75" s="287"/>
      <c r="I75" s="286">
        <v>6888</v>
      </c>
      <c r="J75" s="287"/>
    </row>
    <row r="76" spans="1:10" x14ac:dyDescent="0.3">
      <c r="A76" s="107" t="s">
        <v>18</v>
      </c>
      <c r="B76" s="108"/>
      <c r="C76" s="286">
        <v>1390</v>
      </c>
      <c r="D76" s="287"/>
      <c r="E76" s="286">
        <v>1435</v>
      </c>
      <c r="F76" s="287"/>
      <c r="G76" s="286">
        <v>1469</v>
      </c>
      <c r="H76" s="287"/>
      <c r="I76" s="286">
        <v>1489</v>
      </c>
      <c r="J76" s="287"/>
    </row>
    <row r="77" spans="1:10" x14ac:dyDescent="0.3">
      <c r="A77" s="101" t="s">
        <v>19</v>
      </c>
      <c r="B77" s="102"/>
      <c r="C77" s="286">
        <v>5008</v>
      </c>
      <c r="D77" s="287"/>
      <c r="E77" s="286">
        <v>5125</v>
      </c>
      <c r="F77" s="287"/>
      <c r="G77" s="286">
        <v>5202</v>
      </c>
      <c r="H77" s="287"/>
      <c r="I77" s="286">
        <v>5282</v>
      </c>
      <c r="J77" s="287"/>
    </row>
    <row r="78" spans="1:10" x14ac:dyDescent="0.3">
      <c r="A78" s="105" t="s">
        <v>42</v>
      </c>
      <c r="B78" s="106"/>
      <c r="C78" s="103">
        <f>SUM(C69:C77)</f>
        <v>62357</v>
      </c>
      <c r="D78" s="104"/>
      <c r="E78" s="103">
        <f>SUM(E69:E77)</f>
        <v>63153</v>
      </c>
      <c r="F78" s="104"/>
      <c r="G78" s="103">
        <f>SUM(G69:G77)</f>
        <v>63988</v>
      </c>
      <c r="H78" s="104"/>
      <c r="I78" s="103">
        <f>SUM(I69:I77)</f>
        <v>64655</v>
      </c>
      <c r="J78" s="104"/>
    </row>
  </sheetData>
  <mergeCells count="312"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7:B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K17:L17"/>
    <mergeCell ref="I17:J17"/>
    <mergeCell ref="G17:H17"/>
    <mergeCell ref="E17:F17"/>
    <mergeCell ref="C17:D1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78"/>
  <sheetViews>
    <sheetView workbookViewId="0">
      <selection activeCell="P28" sqref="P28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8506</v>
      </c>
      <c r="D5" s="299"/>
      <c r="E5" s="298">
        <v>3226</v>
      </c>
      <c r="F5" s="299"/>
      <c r="G5" s="298">
        <v>2268</v>
      </c>
      <c r="H5" s="299"/>
      <c r="I5" s="298">
        <v>8179</v>
      </c>
      <c r="J5" s="299"/>
      <c r="K5" s="302">
        <v>38</v>
      </c>
      <c r="L5" s="303"/>
      <c r="M5" s="12">
        <v>6810</v>
      </c>
      <c r="N5" s="10">
        <v>1214</v>
      </c>
      <c r="O5" s="12">
        <v>1398</v>
      </c>
      <c r="P5" s="10">
        <v>914</v>
      </c>
      <c r="Q5" s="10">
        <v>446</v>
      </c>
    </row>
    <row r="6" spans="1:18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610</v>
      </c>
      <c r="D7" s="240"/>
      <c r="E7" s="239">
        <v>28</v>
      </c>
      <c r="F7" s="240"/>
      <c r="G7" s="239">
        <v>7</v>
      </c>
      <c r="H7" s="240"/>
      <c r="I7" s="239">
        <v>552</v>
      </c>
      <c r="J7" s="240"/>
      <c r="K7" s="239">
        <v>211</v>
      </c>
      <c r="L7" s="240"/>
      <c r="M7" s="1">
        <v>604</v>
      </c>
      <c r="N7" s="1">
        <v>47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425</v>
      </c>
      <c r="D8" s="240"/>
      <c r="E8" s="239">
        <v>0</v>
      </c>
      <c r="F8" s="240"/>
      <c r="G8" s="239">
        <v>0</v>
      </c>
      <c r="H8" s="240"/>
      <c r="I8" s="239">
        <v>292</v>
      </c>
      <c r="J8" s="240"/>
      <c r="K8" s="239">
        <v>0</v>
      </c>
      <c r="L8" s="240"/>
      <c r="M8" s="1">
        <v>125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224</v>
      </c>
      <c r="D9" s="240"/>
      <c r="E9" s="239">
        <v>252</v>
      </c>
      <c r="F9" s="240"/>
      <c r="G9" s="239">
        <v>0</v>
      </c>
      <c r="H9" s="240"/>
      <c r="I9" s="239">
        <v>87</v>
      </c>
      <c r="J9" s="240"/>
      <c r="K9" s="239">
        <v>15</v>
      </c>
      <c r="L9" s="240"/>
      <c r="M9" s="1">
        <v>242</v>
      </c>
      <c r="N9" s="1">
        <v>100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508</v>
      </c>
      <c r="D10" s="240"/>
      <c r="E10" s="239">
        <v>55</v>
      </c>
      <c r="F10" s="240"/>
      <c r="G10" s="239">
        <v>67</v>
      </c>
      <c r="H10" s="240"/>
      <c r="I10" s="239">
        <v>270</v>
      </c>
      <c r="J10" s="240"/>
      <c r="K10" s="239">
        <v>2</v>
      </c>
      <c r="L10" s="240"/>
      <c r="M10" s="1">
        <v>114</v>
      </c>
      <c r="N10" s="1">
        <v>91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247</v>
      </c>
      <c r="D11" s="246"/>
      <c r="E11" s="239">
        <v>14</v>
      </c>
      <c r="F11" s="240"/>
      <c r="G11" s="239">
        <v>0</v>
      </c>
      <c r="H11" s="240"/>
      <c r="I11" s="239">
        <v>141</v>
      </c>
      <c r="J11" s="240"/>
      <c r="K11" s="239">
        <v>70</v>
      </c>
      <c r="L11" s="240"/>
      <c r="M11" s="1">
        <v>121</v>
      </c>
      <c r="N11" s="1">
        <v>125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283</v>
      </c>
      <c r="D12" s="246"/>
      <c r="E12" s="239">
        <v>0</v>
      </c>
      <c r="F12" s="240"/>
      <c r="G12" s="239">
        <v>0</v>
      </c>
      <c r="H12" s="240"/>
      <c r="I12" s="239">
        <v>250</v>
      </c>
      <c r="J12" s="240"/>
      <c r="K12" s="239">
        <v>0</v>
      </c>
      <c r="L12" s="240"/>
      <c r="M12" s="1">
        <v>45</v>
      </c>
      <c r="N12" s="1">
        <v>70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285</v>
      </c>
      <c r="D13" s="246"/>
      <c r="E13" s="239">
        <v>0</v>
      </c>
      <c r="F13" s="240"/>
      <c r="G13" s="239">
        <v>0</v>
      </c>
      <c r="H13" s="240"/>
      <c r="I13" s="239">
        <v>40</v>
      </c>
      <c r="J13" s="240"/>
      <c r="K13" s="239">
        <v>0</v>
      </c>
      <c r="L13" s="240"/>
      <c r="M13" s="1">
        <v>80</v>
      </c>
      <c r="N13" s="1">
        <v>53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324</v>
      </c>
      <c r="D14" s="248"/>
      <c r="E14" s="247">
        <v>14</v>
      </c>
      <c r="F14" s="248"/>
      <c r="G14" s="247">
        <v>13</v>
      </c>
      <c r="H14" s="248"/>
      <c r="I14" s="239">
        <v>151</v>
      </c>
      <c r="J14" s="240"/>
      <c r="K14" s="247">
        <v>0</v>
      </c>
      <c r="L14" s="248"/>
      <c r="M14" s="2">
        <v>164</v>
      </c>
      <c r="N14" s="2">
        <v>20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5">
        <v>2519</v>
      </c>
      <c r="P15" s="35">
        <v>2496</v>
      </c>
      <c r="Q15" s="35">
        <v>1881</v>
      </c>
    </row>
    <row r="16" spans="1:18" ht="15" thickBot="1" x14ac:dyDescent="0.35">
      <c r="A16" s="199" t="s">
        <v>20</v>
      </c>
      <c r="B16" s="200"/>
      <c r="C16" s="201">
        <f>SUM(C5:D15)</f>
        <v>12371</v>
      </c>
      <c r="D16" s="202"/>
      <c r="E16" s="201">
        <f>SUM(E5:F15)</f>
        <v>3589</v>
      </c>
      <c r="F16" s="202"/>
      <c r="G16" s="201">
        <f>SUM(G5:H15)</f>
        <v>2355</v>
      </c>
      <c r="H16" s="202"/>
      <c r="I16" s="201">
        <f>SUM(I5:J15)</f>
        <v>9962</v>
      </c>
      <c r="J16" s="202"/>
      <c r="K16" s="201">
        <f>SUM(K5:L15)</f>
        <v>336</v>
      </c>
      <c r="L16" s="202"/>
      <c r="M16" s="3">
        <f>SUM(M5:M15)</f>
        <v>8305</v>
      </c>
      <c r="N16" s="4">
        <f>SUM(N5:N15)</f>
        <v>1735</v>
      </c>
      <c r="O16" s="4">
        <f>SUM(O5:O15)</f>
        <v>3999</v>
      </c>
      <c r="P16" s="4">
        <f>SUM(P5:P15)</f>
        <v>3452</v>
      </c>
      <c r="Q16" s="5">
        <f>SUM(Q5:Q15)</f>
        <v>2335</v>
      </c>
    </row>
    <row r="17" spans="1:20" x14ac:dyDescent="0.3">
      <c r="A17" s="190" t="s">
        <v>21</v>
      </c>
      <c r="B17" s="191"/>
      <c r="C17" s="298">
        <v>8506</v>
      </c>
      <c r="D17" s="299"/>
      <c r="E17" s="298">
        <v>3226</v>
      </c>
      <c r="F17" s="299"/>
      <c r="G17" s="298">
        <v>2268</v>
      </c>
      <c r="H17" s="299"/>
      <c r="I17" s="298">
        <v>8179</v>
      </c>
      <c r="J17" s="299"/>
      <c r="K17" s="302">
        <v>38</v>
      </c>
      <c r="L17" s="303"/>
      <c r="M17" s="12">
        <v>6810</v>
      </c>
      <c r="N17" s="10">
        <v>1214</v>
      </c>
      <c r="O17" s="12">
        <v>1398</v>
      </c>
      <c r="P17" s="10">
        <v>914</v>
      </c>
      <c r="Q17" s="10">
        <v>446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361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37</v>
      </c>
      <c r="D25" s="259"/>
      <c r="E25" s="260" t="s">
        <v>362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13</v>
      </c>
      <c r="D26" s="259"/>
      <c r="E26" s="260" t="s">
        <v>25</v>
      </c>
      <c r="F26" s="261"/>
      <c r="G26" s="258">
        <v>0</v>
      </c>
      <c r="H26" s="259"/>
      <c r="I26" s="258">
        <v>78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57</v>
      </c>
      <c r="D27" s="259"/>
      <c r="E27" s="260" t="s">
        <v>327</v>
      </c>
      <c r="F27" s="261"/>
      <c r="G27" s="258">
        <v>1</v>
      </c>
      <c r="H27" s="259"/>
      <c r="I27" s="258">
        <v>53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365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356</v>
      </c>
      <c r="D29" s="412"/>
      <c r="E29" s="260" t="s">
        <v>313</v>
      </c>
      <c r="F29" s="261"/>
      <c r="G29" s="258">
        <v>0</v>
      </c>
      <c r="H29" s="259"/>
      <c r="I29" s="258">
        <v>17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3</v>
      </c>
      <c r="D30" s="271"/>
      <c r="E30" s="258" t="s">
        <v>90</v>
      </c>
      <c r="F30" s="259"/>
      <c r="G30" s="258">
        <v>0</v>
      </c>
      <c r="H30" s="259"/>
      <c r="I30" s="258">
        <v>3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17</v>
      </c>
      <c r="D31" s="271"/>
      <c r="E31" s="260" t="s">
        <v>25</v>
      </c>
      <c r="F31" s="261"/>
      <c r="G31" s="258">
        <v>0</v>
      </c>
      <c r="H31" s="259"/>
      <c r="I31" s="258">
        <v>5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4</v>
      </c>
      <c r="D32" s="259"/>
      <c r="E32" s="260" t="s">
        <v>191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361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363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366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364</v>
      </c>
      <c r="D40" s="259"/>
      <c r="E40" s="276" t="s">
        <v>113</v>
      </c>
      <c r="F40" s="277"/>
      <c r="G40" s="258">
        <v>6</v>
      </c>
      <c r="H40" s="259"/>
      <c r="I40" s="258" t="s">
        <v>316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357</v>
      </c>
      <c r="D42" s="271"/>
      <c r="E42" s="276" t="s">
        <v>343</v>
      </c>
      <c r="F42" s="277"/>
      <c r="G42" s="258">
        <v>0</v>
      </c>
      <c r="H42" s="259"/>
      <c r="I42" s="258" t="s">
        <v>243</v>
      </c>
      <c r="J42" s="259"/>
      <c r="K42" s="8" t="s">
        <v>236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321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338</v>
      </c>
      <c r="D49" s="146"/>
      <c r="E49" s="145" t="s">
        <v>345</v>
      </c>
      <c r="F49" s="146"/>
      <c r="G49" s="145" t="s">
        <v>352</v>
      </c>
      <c r="H49" s="146"/>
      <c r="I49" s="145" t="s">
        <v>361</v>
      </c>
      <c r="J49" s="146"/>
    </row>
    <row r="50" spans="1:11" x14ac:dyDescent="0.3">
      <c r="A50" s="284" t="s">
        <v>30</v>
      </c>
      <c r="B50" s="285"/>
      <c r="C50" s="300">
        <v>13617</v>
      </c>
      <c r="D50" s="301"/>
      <c r="E50" s="300">
        <v>13583</v>
      </c>
      <c r="F50" s="301"/>
      <c r="G50" s="300">
        <v>13561</v>
      </c>
      <c r="H50" s="301"/>
      <c r="I50" s="300">
        <v>13516</v>
      </c>
      <c r="J50" s="301"/>
    </row>
    <row r="51" spans="1:11" x14ac:dyDescent="0.3">
      <c r="A51" s="284" t="s">
        <v>31</v>
      </c>
      <c r="B51" s="285"/>
      <c r="C51" s="286">
        <v>8795</v>
      </c>
      <c r="D51" s="287"/>
      <c r="E51" s="286">
        <v>8811</v>
      </c>
      <c r="F51" s="287"/>
      <c r="G51" s="286">
        <v>8820</v>
      </c>
      <c r="H51" s="287"/>
      <c r="I51" s="286">
        <v>8822</v>
      </c>
      <c r="J51" s="287"/>
    </row>
    <row r="52" spans="1:11" x14ac:dyDescent="0.3">
      <c r="A52" s="284" t="s">
        <v>32</v>
      </c>
      <c r="B52" s="285"/>
      <c r="C52" s="300">
        <v>114617</v>
      </c>
      <c r="D52" s="301"/>
      <c r="E52" s="300">
        <v>114600</v>
      </c>
      <c r="F52" s="301"/>
      <c r="G52" s="300">
        <v>114510</v>
      </c>
      <c r="H52" s="301"/>
      <c r="I52" s="300">
        <v>114506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51332</v>
      </c>
      <c r="D54" s="301"/>
      <c r="E54" s="300">
        <v>51306</v>
      </c>
      <c r="F54" s="301"/>
      <c r="G54" s="300">
        <v>51255</v>
      </c>
      <c r="H54" s="301"/>
      <c r="I54" s="300">
        <v>51217</v>
      </c>
      <c r="J54" s="301"/>
    </row>
    <row r="55" spans="1:11" x14ac:dyDescent="0.3">
      <c r="A55" s="284" t="s">
        <v>53</v>
      </c>
      <c r="B55" s="285"/>
      <c r="C55" s="286">
        <v>4169</v>
      </c>
      <c r="D55" s="287"/>
      <c r="E55" s="286">
        <v>4194</v>
      </c>
      <c r="F55" s="287"/>
      <c r="G55" s="286">
        <v>4231</v>
      </c>
      <c r="H55" s="287"/>
      <c r="I55" s="286">
        <v>4238</v>
      </c>
      <c r="J55" s="287"/>
    </row>
    <row r="56" spans="1:11" x14ac:dyDescent="0.3">
      <c r="A56" s="284" t="s">
        <v>49</v>
      </c>
      <c r="B56" s="285"/>
      <c r="C56" s="300">
        <v>13261</v>
      </c>
      <c r="D56" s="301"/>
      <c r="E56" s="300">
        <v>13444</v>
      </c>
      <c r="F56" s="301"/>
      <c r="G56" s="300">
        <v>13602</v>
      </c>
      <c r="H56" s="301"/>
      <c r="I56" s="300">
        <v>13862</v>
      </c>
      <c r="J56" s="301"/>
      <c r="K56" s="11"/>
    </row>
    <row r="57" spans="1:11" x14ac:dyDescent="0.3">
      <c r="A57" s="284" t="s">
        <v>35</v>
      </c>
      <c r="B57" s="285"/>
      <c r="C57" s="286">
        <v>1889</v>
      </c>
      <c r="D57" s="287"/>
      <c r="E57" s="286">
        <v>1928</v>
      </c>
      <c r="F57" s="287"/>
      <c r="G57" s="286">
        <v>1964</v>
      </c>
      <c r="H57" s="287"/>
      <c r="I57" s="286">
        <v>1989</v>
      </c>
      <c r="J57" s="287"/>
    </row>
    <row r="58" spans="1:11" x14ac:dyDescent="0.3">
      <c r="A58" s="120" t="s">
        <v>36</v>
      </c>
      <c r="B58" s="121"/>
      <c r="C58" s="122">
        <f>SUM(C50:D57)</f>
        <v>207919</v>
      </c>
      <c r="D58" s="123"/>
      <c r="E58" s="122">
        <f>SUM(E50:F57)</f>
        <v>208105</v>
      </c>
      <c r="F58" s="123"/>
      <c r="G58" s="122">
        <f>SUM(G50:H57)</f>
        <v>208182</v>
      </c>
      <c r="H58" s="123"/>
      <c r="I58" s="122">
        <f>SUM(I50:J57)</f>
        <v>208389</v>
      </c>
      <c r="J58" s="123"/>
    </row>
    <row r="60" spans="1:11" x14ac:dyDescent="0.3">
      <c r="A60" s="124" t="s">
        <v>37</v>
      </c>
      <c r="B60" s="125"/>
      <c r="C60" s="130" t="s">
        <v>338</v>
      </c>
      <c r="D60" s="131"/>
      <c r="E60" s="130" t="s">
        <v>345</v>
      </c>
      <c r="F60" s="131"/>
      <c r="G60" s="130" t="s">
        <v>352</v>
      </c>
      <c r="H60" s="131"/>
      <c r="I60" s="130" t="s">
        <v>361</v>
      </c>
      <c r="J60" s="131"/>
    </row>
    <row r="61" spans="1:11" x14ac:dyDescent="0.3">
      <c r="A61" s="126"/>
      <c r="B61" s="127"/>
      <c r="C61" s="288">
        <v>137158</v>
      </c>
      <c r="D61" s="289"/>
      <c r="E61" s="288">
        <v>137270</v>
      </c>
      <c r="F61" s="289"/>
      <c r="G61" s="288">
        <v>137424</v>
      </c>
      <c r="H61" s="289"/>
      <c r="I61" s="288">
        <v>137497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207</v>
      </c>
      <c r="D66" s="115"/>
      <c r="E66" s="114" t="s">
        <v>239</v>
      </c>
      <c r="F66" s="115"/>
      <c r="G66" s="114" t="s">
        <v>293</v>
      </c>
      <c r="H66" s="115"/>
      <c r="I66" s="114" t="s">
        <v>330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27298</v>
      </c>
      <c r="D69" s="287"/>
      <c r="E69" s="286">
        <v>27548</v>
      </c>
      <c r="F69" s="287"/>
      <c r="G69" s="286">
        <v>27824</v>
      </c>
      <c r="H69" s="287"/>
      <c r="I69" s="286">
        <v>28056</v>
      </c>
      <c r="J69" s="287"/>
    </row>
    <row r="70" spans="1:10" x14ac:dyDescent="0.3">
      <c r="A70" s="101" t="s">
        <v>13</v>
      </c>
      <c r="B70" s="102"/>
      <c r="C70" s="286">
        <v>6661</v>
      </c>
      <c r="D70" s="287"/>
      <c r="E70" s="286">
        <v>6721</v>
      </c>
      <c r="F70" s="287"/>
      <c r="G70" s="286">
        <v>6783</v>
      </c>
      <c r="H70" s="287"/>
      <c r="I70" s="286">
        <v>6827</v>
      </c>
      <c r="J70" s="287"/>
    </row>
    <row r="71" spans="1:10" x14ac:dyDescent="0.3">
      <c r="A71" s="107" t="s">
        <v>14</v>
      </c>
      <c r="B71" s="108"/>
      <c r="C71" s="286">
        <v>5694</v>
      </c>
      <c r="D71" s="287"/>
      <c r="E71" s="286">
        <v>5742</v>
      </c>
      <c r="F71" s="287"/>
      <c r="G71" s="286">
        <v>5813</v>
      </c>
      <c r="H71" s="287"/>
      <c r="I71" s="286">
        <v>5890</v>
      </c>
      <c r="J71" s="287"/>
    </row>
    <row r="72" spans="1:10" x14ac:dyDescent="0.3">
      <c r="A72" s="107" t="s">
        <v>41</v>
      </c>
      <c r="B72" s="108"/>
      <c r="C72" s="286">
        <v>1201</v>
      </c>
      <c r="D72" s="287"/>
      <c r="E72" s="286">
        <v>1228</v>
      </c>
      <c r="F72" s="287"/>
      <c r="G72" s="286">
        <v>1247</v>
      </c>
      <c r="H72" s="287"/>
      <c r="I72" s="286">
        <v>1283</v>
      </c>
      <c r="J72" s="287"/>
    </row>
    <row r="73" spans="1:10" x14ac:dyDescent="0.3">
      <c r="A73" s="101" t="s">
        <v>15</v>
      </c>
      <c r="B73" s="102"/>
      <c r="C73" s="286">
        <v>4090</v>
      </c>
      <c r="D73" s="287"/>
      <c r="E73" s="286">
        <v>4147</v>
      </c>
      <c r="F73" s="287"/>
      <c r="G73" s="286">
        <v>4242</v>
      </c>
      <c r="H73" s="287"/>
      <c r="I73" s="286">
        <v>4273</v>
      </c>
      <c r="J73" s="287"/>
    </row>
    <row r="74" spans="1:10" x14ac:dyDescent="0.3">
      <c r="A74" s="107" t="s">
        <v>16</v>
      </c>
      <c r="B74" s="108"/>
      <c r="C74" s="286">
        <v>4551</v>
      </c>
      <c r="D74" s="287"/>
      <c r="E74" s="286">
        <v>4580</v>
      </c>
      <c r="F74" s="287"/>
      <c r="G74" s="286">
        <v>4634</v>
      </c>
      <c r="H74" s="287"/>
      <c r="I74" s="286">
        <v>4667</v>
      </c>
      <c r="J74" s="287"/>
    </row>
    <row r="75" spans="1:10" x14ac:dyDescent="0.3">
      <c r="A75" s="101" t="s">
        <v>17</v>
      </c>
      <c r="B75" s="102"/>
      <c r="C75" s="286">
        <v>6464</v>
      </c>
      <c r="D75" s="287"/>
      <c r="E75" s="286">
        <v>6627</v>
      </c>
      <c r="F75" s="287"/>
      <c r="G75" s="286">
        <v>6774</v>
      </c>
      <c r="H75" s="287"/>
      <c r="I75" s="286">
        <v>6888</v>
      </c>
      <c r="J75" s="287"/>
    </row>
    <row r="76" spans="1:10" x14ac:dyDescent="0.3">
      <c r="A76" s="107" t="s">
        <v>18</v>
      </c>
      <c r="B76" s="108"/>
      <c r="C76" s="286">
        <v>1390</v>
      </c>
      <c r="D76" s="287"/>
      <c r="E76" s="286">
        <v>1435</v>
      </c>
      <c r="F76" s="287"/>
      <c r="G76" s="286">
        <v>1469</v>
      </c>
      <c r="H76" s="287"/>
      <c r="I76" s="286">
        <v>1489</v>
      </c>
      <c r="J76" s="287"/>
    </row>
    <row r="77" spans="1:10" x14ac:dyDescent="0.3">
      <c r="A77" s="101" t="s">
        <v>19</v>
      </c>
      <c r="B77" s="102"/>
      <c r="C77" s="286">
        <v>5008</v>
      </c>
      <c r="D77" s="287"/>
      <c r="E77" s="286">
        <v>5125</v>
      </c>
      <c r="F77" s="287"/>
      <c r="G77" s="286">
        <v>5202</v>
      </c>
      <c r="H77" s="287"/>
      <c r="I77" s="286">
        <v>5282</v>
      </c>
      <c r="J77" s="287"/>
    </row>
    <row r="78" spans="1:10" x14ac:dyDescent="0.3">
      <c r="A78" s="105" t="s">
        <v>42</v>
      </c>
      <c r="B78" s="106"/>
      <c r="C78" s="103">
        <f>SUM(C69:C77)</f>
        <v>62357</v>
      </c>
      <c r="D78" s="104"/>
      <c r="E78" s="103">
        <f>SUM(E69:E77)</f>
        <v>63153</v>
      </c>
      <c r="F78" s="104"/>
      <c r="G78" s="103">
        <f>SUM(G69:G77)</f>
        <v>63988</v>
      </c>
      <c r="H78" s="104"/>
      <c r="I78" s="103">
        <f>SUM(I69:I77)</f>
        <v>64655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78"/>
  <sheetViews>
    <sheetView workbookViewId="0">
      <selection activeCell="Q21" sqref="Q21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367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7806</v>
      </c>
      <c r="D5" s="299"/>
      <c r="E5" s="298">
        <v>3126</v>
      </c>
      <c r="F5" s="299"/>
      <c r="G5" s="298">
        <v>2268</v>
      </c>
      <c r="H5" s="299"/>
      <c r="I5" s="298">
        <v>8059</v>
      </c>
      <c r="J5" s="299"/>
      <c r="K5" s="302">
        <v>38</v>
      </c>
      <c r="L5" s="303"/>
      <c r="M5" s="12">
        <v>6180</v>
      </c>
      <c r="N5" s="10">
        <v>1214</v>
      </c>
      <c r="O5" s="12">
        <v>973</v>
      </c>
      <c r="P5" s="10">
        <v>3469</v>
      </c>
      <c r="Q5" s="10">
        <v>3030</v>
      </c>
    </row>
    <row r="6" spans="1:18" ht="13.5" customHeight="1" x14ac:dyDescent="0.3">
      <c r="A6" s="211" t="s">
        <v>11</v>
      </c>
      <c r="B6" s="212"/>
      <c r="C6" s="298">
        <v>959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423</v>
      </c>
      <c r="D7" s="240"/>
      <c r="E7" s="239">
        <v>28</v>
      </c>
      <c r="F7" s="240"/>
      <c r="G7" s="239">
        <v>7</v>
      </c>
      <c r="H7" s="240"/>
      <c r="I7" s="239">
        <v>451</v>
      </c>
      <c r="J7" s="240"/>
      <c r="K7" s="239">
        <v>188</v>
      </c>
      <c r="L7" s="240"/>
      <c r="M7" s="1">
        <v>593</v>
      </c>
      <c r="N7" s="1">
        <v>47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262</v>
      </c>
      <c r="D8" s="240"/>
      <c r="E8" s="239">
        <v>0</v>
      </c>
      <c r="F8" s="240"/>
      <c r="G8" s="239">
        <v>0</v>
      </c>
      <c r="H8" s="240"/>
      <c r="I8" s="239">
        <v>319</v>
      </c>
      <c r="J8" s="240"/>
      <c r="K8" s="239">
        <v>0</v>
      </c>
      <c r="L8" s="240"/>
      <c r="M8" s="1">
        <v>95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453</v>
      </c>
      <c r="D9" s="240"/>
      <c r="E9" s="239">
        <v>217</v>
      </c>
      <c r="F9" s="240"/>
      <c r="G9" s="239">
        <v>0</v>
      </c>
      <c r="H9" s="240"/>
      <c r="I9" s="239">
        <v>87</v>
      </c>
      <c r="J9" s="240"/>
      <c r="K9" s="239">
        <v>12</v>
      </c>
      <c r="L9" s="240"/>
      <c r="M9" s="1">
        <v>213</v>
      </c>
      <c r="N9" s="1">
        <v>100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434</v>
      </c>
      <c r="D10" s="240"/>
      <c r="E10" s="239">
        <v>54</v>
      </c>
      <c r="F10" s="240"/>
      <c r="G10" s="239">
        <v>65</v>
      </c>
      <c r="H10" s="240"/>
      <c r="I10" s="239">
        <v>221</v>
      </c>
      <c r="J10" s="240"/>
      <c r="K10" s="239">
        <v>2</v>
      </c>
      <c r="L10" s="240"/>
      <c r="M10" s="1">
        <v>184</v>
      </c>
      <c r="N10" s="1">
        <v>90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407</v>
      </c>
      <c r="D11" s="246"/>
      <c r="E11" s="239">
        <v>14</v>
      </c>
      <c r="F11" s="240"/>
      <c r="G11" s="239">
        <v>0</v>
      </c>
      <c r="H11" s="240"/>
      <c r="I11" s="239">
        <v>121</v>
      </c>
      <c r="J11" s="240"/>
      <c r="K11" s="239">
        <v>65</v>
      </c>
      <c r="L11" s="240"/>
      <c r="M11" s="1">
        <v>119</v>
      </c>
      <c r="N11" s="1">
        <v>118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238</v>
      </c>
      <c r="D12" s="246"/>
      <c r="E12" s="239">
        <v>0</v>
      </c>
      <c r="F12" s="240"/>
      <c r="G12" s="239">
        <v>0</v>
      </c>
      <c r="H12" s="240"/>
      <c r="I12" s="239">
        <v>210</v>
      </c>
      <c r="J12" s="240"/>
      <c r="K12" s="239">
        <v>0</v>
      </c>
      <c r="L12" s="240"/>
      <c r="M12" s="1">
        <v>415</v>
      </c>
      <c r="N12" s="1">
        <v>68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269</v>
      </c>
      <c r="D13" s="246"/>
      <c r="E13" s="239">
        <v>136</v>
      </c>
      <c r="F13" s="240"/>
      <c r="G13" s="239">
        <v>0</v>
      </c>
      <c r="H13" s="240"/>
      <c r="I13" s="239">
        <v>36</v>
      </c>
      <c r="J13" s="240"/>
      <c r="K13" s="239">
        <v>0</v>
      </c>
      <c r="L13" s="240"/>
      <c r="M13" s="1">
        <v>108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241</v>
      </c>
      <c r="D14" s="248"/>
      <c r="E14" s="247">
        <v>0</v>
      </c>
      <c r="F14" s="248"/>
      <c r="G14" s="247">
        <v>0</v>
      </c>
      <c r="H14" s="248"/>
      <c r="I14" s="239">
        <v>235</v>
      </c>
      <c r="J14" s="240"/>
      <c r="K14" s="247">
        <v>0</v>
      </c>
      <c r="L14" s="248"/>
      <c r="M14" s="2">
        <v>255</v>
      </c>
      <c r="N14" s="2">
        <v>18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2441</v>
      </c>
      <c r="P15" s="10">
        <v>2441</v>
      </c>
      <c r="Q15" s="10">
        <v>1962</v>
      </c>
    </row>
    <row r="16" spans="1:18" ht="15" thickBot="1" x14ac:dyDescent="0.35">
      <c r="A16" s="199" t="s">
        <v>20</v>
      </c>
      <c r="B16" s="200"/>
      <c r="C16" s="201">
        <f>SUM(C5:D15)</f>
        <v>11492</v>
      </c>
      <c r="D16" s="202"/>
      <c r="E16" s="201">
        <f>SUM(E5:F15)</f>
        <v>3575</v>
      </c>
      <c r="F16" s="202"/>
      <c r="G16" s="201">
        <f>SUM(G5:H15)</f>
        <v>2340</v>
      </c>
      <c r="H16" s="202"/>
      <c r="I16" s="201">
        <f>SUM(I5:J15)</f>
        <v>9739</v>
      </c>
      <c r="J16" s="202"/>
      <c r="K16" s="201">
        <f>SUM(K5:L15)</f>
        <v>305</v>
      </c>
      <c r="L16" s="202"/>
      <c r="M16" s="3">
        <f>SUM(M5:M15)</f>
        <v>8162</v>
      </c>
      <c r="N16" s="4">
        <f>SUM(N5:N15)</f>
        <v>1719</v>
      </c>
      <c r="O16" s="4">
        <f>SUM(O5:O15)</f>
        <v>3496</v>
      </c>
      <c r="P16" s="4">
        <f>SUM(P5:P15)</f>
        <v>5952</v>
      </c>
      <c r="Q16" s="5">
        <f>SUM(Q5:Q15)</f>
        <v>5000</v>
      </c>
    </row>
    <row r="17" spans="1:20" x14ac:dyDescent="0.3">
      <c r="A17" s="190" t="s">
        <v>21</v>
      </c>
      <c r="B17" s="191"/>
      <c r="C17" s="298">
        <v>7806</v>
      </c>
      <c r="D17" s="299"/>
      <c r="E17" s="298">
        <v>3126</v>
      </c>
      <c r="F17" s="299"/>
      <c r="G17" s="298">
        <v>2268</v>
      </c>
      <c r="H17" s="299"/>
      <c r="I17" s="298">
        <v>8059</v>
      </c>
      <c r="J17" s="299"/>
      <c r="K17" s="302">
        <v>38</v>
      </c>
      <c r="L17" s="303"/>
      <c r="M17" s="12">
        <v>6180</v>
      </c>
      <c r="N17" s="10">
        <v>1214</v>
      </c>
      <c r="O17" s="12">
        <v>973</v>
      </c>
      <c r="P17" s="10">
        <v>973</v>
      </c>
      <c r="Q17" s="10">
        <v>3030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367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42</v>
      </c>
      <c r="D25" s="259"/>
      <c r="E25" s="260" t="s">
        <v>359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14</v>
      </c>
      <c r="D26" s="259"/>
      <c r="E26" s="260" t="s">
        <v>25</v>
      </c>
      <c r="F26" s="261"/>
      <c r="G26" s="258">
        <v>0</v>
      </c>
      <c r="H26" s="259"/>
      <c r="I26" s="258">
        <v>79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58</v>
      </c>
      <c r="D27" s="259"/>
      <c r="E27" s="260" t="s">
        <v>353</v>
      </c>
      <c r="F27" s="261"/>
      <c r="G27" s="258">
        <v>1</v>
      </c>
      <c r="H27" s="259"/>
      <c r="I27" s="258">
        <v>57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374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369</v>
      </c>
      <c r="D29" s="412"/>
      <c r="E29" s="260" t="s">
        <v>313</v>
      </c>
      <c r="F29" s="261"/>
      <c r="G29" s="258">
        <v>0</v>
      </c>
      <c r="H29" s="259"/>
      <c r="I29" s="258">
        <v>17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5</v>
      </c>
      <c r="D30" s="271"/>
      <c r="E30" s="258" t="s">
        <v>90</v>
      </c>
      <c r="F30" s="259"/>
      <c r="G30" s="258">
        <v>0</v>
      </c>
      <c r="H30" s="259"/>
      <c r="I30" s="258">
        <v>1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13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11</v>
      </c>
      <c r="D32" s="259"/>
      <c r="E32" s="260" t="s">
        <v>319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367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375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372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373</v>
      </c>
      <c r="D40" s="259"/>
      <c r="E40" s="276" t="s">
        <v>173</v>
      </c>
      <c r="F40" s="277"/>
      <c r="G40" s="258">
        <v>8</v>
      </c>
      <c r="H40" s="259"/>
      <c r="I40" s="258" t="s">
        <v>213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370</v>
      </c>
      <c r="D42" s="271"/>
      <c r="E42" s="276" t="s">
        <v>371</v>
      </c>
      <c r="F42" s="277"/>
      <c r="G42" s="258">
        <v>0</v>
      </c>
      <c r="H42" s="259"/>
      <c r="I42" s="258" t="s">
        <v>243</v>
      </c>
      <c r="J42" s="259"/>
      <c r="K42" s="8" t="s">
        <v>236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321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345</v>
      </c>
      <c r="D49" s="146"/>
      <c r="E49" s="145" t="s">
        <v>352</v>
      </c>
      <c r="F49" s="146"/>
      <c r="G49" s="145" t="s">
        <v>361</v>
      </c>
      <c r="H49" s="146"/>
      <c r="I49" s="145" t="s">
        <v>367</v>
      </c>
      <c r="J49" s="146"/>
    </row>
    <row r="50" spans="1:11" x14ac:dyDescent="0.3">
      <c r="A50" s="284" t="s">
        <v>30</v>
      </c>
      <c r="B50" s="285"/>
      <c r="C50" s="300">
        <v>13583</v>
      </c>
      <c r="D50" s="301"/>
      <c r="E50" s="300">
        <v>13561</v>
      </c>
      <c r="F50" s="301"/>
      <c r="G50" s="300">
        <v>13516</v>
      </c>
      <c r="H50" s="301"/>
      <c r="I50" s="300">
        <v>13450</v>
      </c>
      <c r="J50" s="301"/>
    </row>
    <row r="51" spans="1:11" x14ac:dyDescent="0.3">
      <c r="A51" s="284" t="s">
        <v>31</v>
      </c>
      <c r="B51" s="285"/>
      <c r="C51" s="286">
        <v>8811</v>
      </c>
      <c r="D51" s="287"/>
      <c r="E51" s="286">
        <v>8820</v>
      </c>
      <c r="F51" s="287"/>
      <c r="G51" s="286">
        <v>8822</v>
      </c>
      <c r="H51" s="287"/>
      <c r="I51" s="286">
        <v>8831</v>
      </c>
      <c r="J51" s="287"/>
    </row>
    <row r="52" spans="1:11" x14ac:dyDescent="0.3">
      <c r="A52" s="284" t="s">
        <v>32</v>
      </c>
      <c r="B52" s="285"/>
      <c r="C52" s="300">
        <v>114600</v>
      </c>
      <c r="D52" s="301"/>
      <c r="E52" s="300">
        <v>114510</v>
      </c>
      <c r="F52" s="301"/>
      <c r="G52" s="300">
        <v>114506</v>
      </c>
      <c r="H52" s="301"/>
      <c r="I52" s="300">
        <v>114665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51306</v>
      </c>
      <c r="D54" s="301"/>
      <c r="E54" s="300">
        <v>51255</v>
      </c>
      <c r="F54" s="301"/>
      <c r="G54" s="300">
        <v>51217</v>
      </c>
      <c r="H54" s="301"/>
      <c r="I54" s="300">
        <v>51145</v>
      </c>
      <c r="J54" s="301"/>
    </row>
    <row r="55" spans="1:11" x14ac:dyDescent="0.3">
      <c r="A55" s="284" t="s">
        <v>53</v>
      </c>
      <c r="B55" s="285"/>
      <c r="C55" s="286">
        <v>4194</v>
      </c>
      <c r="D55" s="287"/>
      <c r="E55" s="286">
        <v>4231</v>
      </c>
      <c r="F55" s="287"/>
      <c r="G55" s="286">
        <v>4238</v>
      </c>
      <c r="H55" s="287"/>
      <c r="I55" s="286">
        <v>4259</v>
      </c>
      <c r="J55" s="287"/>
    </row>
    <row r="56" spans="1:11" x14ac:dyDescent="0.3">
      <c r="A56" s="284" t="s">
        <v>49</v>
      </c>
      <c r="B56" s="285"/>
      <c r="C56" s="300">
        <v>13444</v>
      </c>
      <c r="D56" s="301"/>
      <c r="E56" s="300">
        <v>13602</v>
      </c>
      <c r="F56" s="301"/>
      <c r="G56" s="300">
        <v>13862</v>
      </c>
      <c r="H56" s="301"/>
      <c r="I56" s="300">
        <v>14086</v>
      </c>
      <c r="J56" s="301"/>
      <c r="K56" s="11"/>
    </row>
    <row r="57" spans="1:11" x14ac:dyDescent="0.3">
      <c r="A57" s="284" t="s">
        <v>35</v>
      </c>
      <c r="B57" s="285"/>
      <c r="C57" s="286">
        <v>1928</v>
      </c>
      <c r="D57" s="287"/>
      <c r="E57" s="286">
        <v>1964</v>
      </c>
      <c r="F57" s="287"/>
      <c r="G57" s="286">
        <v>1989</v>
      </c>
      <c r="H57" s="287"/>
      <c r="I57" s="286">
        <v>2022</v>
      </c>
      <c r="J57" s="287"/>
    </row>
    <row r="58" spans="1:11" x14ac:dyDescent="0.3">
      <c r="A58" s="120" t="s">
        <v>36</v>
      </c>
      <c r="B58" s="121"/>
      <c r="C58" s="122">
        <f>SUM(C50:D57)</f>
        <v>208105</v>
      </c>
      <c r="D58" s="123"/>
      <c r="E58" s="122">
        <f>SUM(E50:F57)</f>
        <v>208182</v>
      </c>
      <c r="F58" s="123"/>
      <c r="G58" s="122">
        <f>SUM(G50:H57)</f>
        <v>208389</v>
      </c>
      <c r="H58" s="123"/>
      <c r="I58" s="122">
        <f>SUM(I50:J57)</f>
        <v>208697</v>
      </c>
      <c r="J58" s="123"/>
    </row>
    <row r="60" spans="1:11" x14ac:dyDescent="0.3">
      <c r="A60" s="124" t="s">
        <v>37</v>
      </c>
      <c r="B60" s="125"/>
      <c r="C60" s="130" t="s">
        <v>345</v>
      </c>
      <c r="D60" s="131"/>
      <c r="E60" s="130" t="s">
        <v>352</v>
      </c>
      <c r="F60" s="131"/>
      <c r="G60" s="130" t="s">
        <v>361</v>
      </c>
      <c r="H60" s="131"/>
      <c r="I60" s="130" t="s">
        <v>367</v>
      </c>
      <c r="J60" s="131"/>
    </row>
    <row r="61" spans="1:11" x14ac:dyDescent="0.3">
      <c r="A61" s="126"/>
      <c r="B61" s="127"/>
      <c r="C61" s="288">
        <v>137270</v>
      </c>
      <c r="D61" s="289"/>
      <c r="E61" s="288">
        <v>137424</v>
      </c>
      <c r="F61" s="289"/>
      <c r="G61" s="288">
        <v>137497</v>
      </c>
      <c r="H61" s="289"/>
      <c r="I61" s="288">
        <v>137534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239</v>
      </c>
      <c r="D66" s="115"/>
      <c r="E66" s="114" t="s">
        <v>293</v>
      </c>
      <c r="F66" s="115"/>
      <c r="G66" s="114" t="s">
        <v>330</v>
      </c>
      <c r="H66" s="115"/>
      <c r="I66" s="114" t="s">
        <v>368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27548</v>
      </c>
      <c r="D69" s="287"/>
      <c r="E69" s="286">
        <v>27824</v>
      </c>
      <c r="F69" s="287"/>
      <c r="G69" s="286">
        <v>28056</v>
      </c>
      <c r="H69" s="287"/>
      <c r="I69" s="286">
        <v>28330</v>
      </c>
      <c r="J69" s="287"/>
    </row>
    <row r="70" spans="1:10" x14ac:dyDescent="0.3">
      <c r="A70" s="101" t="s">
        <v>13</v>
      </c>
      <c r="B70" s="102"/>
      <c r="C70" s="286">
        <v>6721</v>
      </c>
      <c r="D70" s="287"/>
      <c r="E70" s="286">
        <v>6783</v>
      </c>
      <c r="F70" s="287"/>
      <c r="G70" s="286">
        <v>6827</v>
      </c>
      <c r="H70" s="287"/>
      <c r="I70" s="286">
        <v>6883</v>
      </c>
      <c r="J70" s="287"/>
    </row>
    <row r="71" spans="1:10" x14ac:dyDescent="0.3">
      <c r="A71" s="107" t="s">
        <v>14</v>
      </c>
      <c r="B71" s="108"/>
      <c r="C71" s="286">
        <v>5742</v>
      </c>
      <c r="D71" s="287"/>
      <c r="E71" s="286">
        <v>5813</v>
      </c>
      <c r="F71" s="287"/>
      <c r="G71" s="286">
        <v>5890</v>
      </c>
      <c r="H71" s="287"/>
      <c r="I71" s="286">
        <v>5939</v>
      </c>
      <c r="J71" s="287"/>
    </row>
    <row r="72" spans="1:10" x14ac:dyDescent="0.3">
      <c r="A72" s="107" t="s">
        <v>41</v>
      </c>
      <c r="B72" s="108"/>
      <c r="C72" s="286">
        <v>1228</v>
      </c>
      <c r="D72" s="287"/>
      <c r="E72" s="286">
        <v>1247</v>
      </c>
      <c r="F72" s="287"/>
      <c r="G72" s="286">
        <v>1283</v>
      </c>
      <c r="H72" s="287"/>
      <c r="I72" s="286">
        <v>1322</v>
      </c>
      <c r="J72" s="287"/>
    </row>
    <row r="73" spans="1:10" x14ac:dyDescent="0.3">
      <c r="A73" s="101" t="s">
        <v>15</v>
      </c>
      <c r="B73" s="102"/>
      <c r="C73" s="286">
        <v>4147</v>
      </c>
      <c r="D73" s="287"/>
      <c r="E73" s="286">
        <v>4242</v>
      </c>
      <c r="F73" s="287"/>
      <c r="G73" s="286">
        <v>4273</v>
      </c>
      <c r="H73" s="287"/>
      <c r="I73" s="286">
        <v>4325</v>
      </c>
      <c r="J73" s="287"/>
    </row>
    <row r="74" spans="1:10" x14ac:dyDescent="0.3">
      <c r="A74" s="107" t="s">
        <v>16</v>
      </c>
      <c r="B74" s="108"/>
      <c r="C74" s="286">
        <v>4580</v>
      </c>
      <c r="D74" s="287"/>
      <c r="E74" s="286">
        <v>4634</v>
      </c>
      <c r="F74" s="287"/>
      <c r="G74" s="286">
        <v>4667</v>
      </c>
      <c r="H74" s="287"/>
      <c r="I74" s="286">
        <v>4699</v>
      </c>
      <c r="J74" s="287"/>
    </row>
    <row r="75" spans="1:10" x14ac:dyDescent="0.3">
      <c r="A75" s="101" t="s">
        <v>17</v>
      </c>
      <c r="B75" s="102"/>
      <c r="C75" s="286">
        <v>6627</v>
      </c>
      <c r="D75" s="287"/>
      <c r="E75" s="286">
        <v>6774</v>
      </c>
      <c r="F75" s="287"/>
      <c r="G75" s="286">
        <v>6888</v>
      </c>
      <c r="H75" s="287"/>
      <c r="I75" s="286">
        <v>6930</v>
      </c>
      <c r="J75" s="287"/>
    </row>
    <row r="76" spans="1:10" x14ac:dyDescent="0.3">
      <c r="A76" s="107" t="s">
        <v>18</v>
      </c>
      <c r="B76" s="108"/>
      <c r="C76" s="286">
        <v>1435</v>
      </c>
      <c r="D76" s="287"/>
      <c r="E76" s="286">
        <v>1469</v>
      </c>
      <c r="F76" s="287"/>
      <c r="G76" s="286">
        <v>1489</v>
      </c>
      <c r="H76" s="287"/>
      <c r="I76" s="286">
        <v>1501</v>
      </c>
      <c r="J76" s="287"/>
    </row>
    <row r="77" spans="1:10" x14ac:dyDescent="0.3">
      <c r="A77" s="101" t="s">
        <v>19</v>
      </c>
      <c r="B77" s="102"/>
      <c r="C77" s="286">
        <v>5125</v>
      </c>
      <c r="D77" s="287"/>
      <c r="E77" s="286">
        <v>5202</v>
      </c>
      <c r="F77" s="287"/>
      <c r="G77" s="286">
        <v>5282</v>
      </c>
      <c r="H77" s="287"/>
      <c r="I77" s="286">
        <v>5384</v>
      </c>
      <c r="J77" s="287"/>
    </row>
    <row r="78" spans="1:10" x14ac:dyDescent="0.3">
      <c r="A78" s="105" t="s">
        <v>42</v>
      </c>
      <c r="B78" s="106"/>
      <c r="C78" s="103">
        <f>SUM(C69:C77)</f>
        <v>63153</v>
      </c>
      <c r="D78" s="104"/>
      <c r="E78" s="103">
        <f>SUM(E69:E77)</f>
        <v>63988</v>
      </c>
      <c r="F78" s="104"/>
      <c r="G78" s="103">
        <f>SUM(G69:G77)</f>
        <v>64655</v>
      </c>
      <c r="H78" s="104"/>
      <c r="I78" s="103">
        <f>SUM(I69:I77)</f>
        <v>65313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376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7256</v>
      </c>
      <c r="D5" s="299"/>
      <c r="E5" s="298">
        <v>3126</v>
      </c>
      <c r="F5" s="299"/>
      <c r="G5" s="298">
        <v>2148</v>
      </c>
      <c r="H5" s="299"/>
      <c r="I5" s="298">
        <v>8059</v>
      </c>
      <c r="J5" s="299"/>
      <c r="K5" s="302">
        <v>38</v>
      </c>
      <c r="L5" s="303"/>
      <c r="M5" s="12">
        <v>6180</v>
      </c>
      <c r="N5" s="10">
        <v>1214</v>
      </c>
      <c r="O5" s="12">
        <v>11283</v>
      </c>
      <c r="P5" s="10">
        <v>3059</v>
      </c>
      <c r="Q5" s="10">
        <v>2430</v>
      </c>
    </row>
    <row r="6" spans="1:18" ht="13.5" customHeight="1" x14ac:dyDescent="0.3">
      <c r="A6" s="211" t="s">
        <v>11</v>
      </c>
      <c r="B6" s="212"/>
      <c r="C6" s="298">
        <v>759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459</v>
      </c>
      <c r="D7" s="240"/>
      <c r="E7" s="239">
        <v>28</v>
      </c>
      <c r="F7" s="240"/>
      <c r="G7" s="239">
        <v>7</v>
      </c>
      <c r="H7" s="240"/>
      <c r="I7" s="239">
        <v>379</v>
      </c>
      <c r="J7" s="240"/>
      <c r="K7" s="239">
        <v>165</v>
      </c>
      <c r="L7" s="240"/>
      <c r="M7" s="1">
        <v>463</v>
      </c>
      <c r="N7" s="1">
        <v>45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194</v>
      </c>
      <c r="D8" s="240"/>
      <c r="E8" s="239">
        <v>0</v>
      </c>
      <c r="F8" s="240"/>
      <c r="G8" s="239">
        <v>240</v>
      </c>
      <c r="H8" s="240"/>
      <c r="I8" s="239">
        <v>32</v>
      </c>
      <c r="J8" s="240"/>
      <c r="K8" s="239">
        <v>0</v>
      </c>
      <c r="L8" s="240"/>
      <c r="M8" s="1">
        <v>87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295</v>
      </c>
      <c r="D9" s="240"/>
      <c r="E9" s="239">
        <v>271</v>
      </c>
      <c r="F9" s="240"/>
      <c r="G9" s="239">
        <v>0</v>
      </c>
      <c r="H9" s="240"/>
      <c r="I9" s="239">
        <v>87</v>
      </c>
      <c r="J9" s="240"/>
      <c r="K9" s="239">
        <v>11</v>
      </c>
      <c r="L9" s="240"/>
      <c r="M9" s="1">
        <v>210</v>
      </c>
      <c r="N9" s="1">
        <v>80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380</v>
      </c>
      <c r="D10" s="240"/>
      <c r="E10" s="239">
        <v>54</v>
      </c>
      <c r="F10" s="240"/>
      <c r="G10" s="239">
        <v>64</v>
      </c>
      <c r="H10" s="240"/>
      <c r="I10" s="239">
        <v>184</v>
      </c>
      <c r="J10" s="240"/>
      <c r="K10" s="239">
        <v>2</v>
      </c>
      <c r="L10" s="240"/>
      <c r="M10" s="1">
        <v>166</v>
      </c>
      <c r="N10" s="1">
        <v>80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352</v>
      </c>
      <c r="D11" s="246"/>
      <c r="E11" s="239">
        <v>14</v>
      </c>
      <c r="F11" s="240"/>
      <c r="G11" s="239">
        <v>0</v>
      </c>
      <c r="H11" s="240"/>
      <c r="I11" s="239">
        <v>115</v>
      </c>
      <c r="J11" s="240"/>
      <c r="K11" s="239">
        <v>52</v>
      </c>
      <c r="L11" s="240"/>
      <c r="M11" s="1">
        <v>111</v>
      </c>
      <c r="N11" s="1">
        <v>110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198</v>
      </c>
      <c r="D12" s="246"/>
      <c r="E12" s="239">
        <v>0</v>
      </c>
      <c r="F12" s="240"/>
      <c r="G12" s="239">
        <v>0</v>
      </c>
      <c r="H12" s="240"/>
      <c r="I12" s="239">
        <v>175</v>
      </c>
      <c r="J12" s="240"/>
      <c r="K12" s="239">
        <v>0</v>
      </c>
      <c r="L12" s="240"/>
      <c r="M12" s="1">
        <v>380</v>
      </c>
      <c r="N12" s="1">
        <v>67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258</v>
      </c>
      <c r="D13" s="246"/>
      <c r="E13" s="239">
        <v>126</v>
      </c>
      <c r="F13" s="240"/>
      <c r="G13" s="239">
        <v>0</v>
      </c>
      <c r="H13" s="240"/>
      <c r="I13" s="239">
        <v>20</v>
      </c>
      <c r="J13" s="240"/>
      <c r="K13" s="239">
        <v>0</v>
      </c>
      <c r="L13" s="240"/>
      <c r="M13" s="1">
        <v>104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350</v>
      </c>
      <c r="D14" s="248"/>
      <c r="E14" s="247">
        <v>0</v>
      </c>
      <c r="F14" s="248"/>
      <c r="G14" s="247">
        <v>0</v>
      </c>
      <c r="H14" s="248"/>
      <c r="I14" s="239">
        <v>190</v>
      </c>
      <c r="J14" s="240"/>
      <c r="K14" s="247">
        <v>0</v>
      </c>
      <c r="L14" s="248"/>
      <c r="M14" s="2">
        <v>210</v>
      </c>
      <c r="N14" s="2">
        <v>18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2820</v>
      </c>
      <c r="P15" s="10">
        <v>2606</v>
      </c>
      <c r="Q15" s="10">
        <v>2231</v>
      </c>
    </row>
    <row r="16" spans="1:18" ht="15" thickBot="1" x14ac:dyDescent="0.35">
      <c r="A16" s="199" t="s">
        <v>20</v>
      </c>
      <c r="B16" s="200"/>
      <c r="C16" s="201">
        <f>SUM(C5:D15)</f>
        <v>10501</v>
      </c>
      <c r="D16" s="202"/>
      <c r="E16" s="201">
        <f>SUM(E5:F15)</f>
        <v>3619</v>
      </c>
      <c r="F16" s="202"/>
      <c r="G16" s="201">
        <f>SUM(G5:H15)</f>
        <v>2459</v>
      </c>
      <c r="H16" s="202"/>
      <c r="I16" s="201">
        <f>SUM(I5:J15)</f>
        <v>9241</v>
      </c>
      <c r="J16" s="202"/>
      <c r="K16" s="201">
        <f>SUM(K5:L15)</f>
        <v>268</v>
      </c>
      <c r="L16" s="202"/>
      <c r="M16" s="3">
        <f>SUM(M5:M15)</f>
        <v>7911</v>
      </c>
      <c r="N16" s="4">
        <f>SUM(N5:N15)</f>
        <v>1678</v>
      </c>
      <c r="O16" s="4">
        <f>SUM(O5:O15)</f>
        <v>14185</v>
      </c>
      <c r="P16" s="4">
        <f>SUM(P5:P15)</f>
        <v>5707</v>
      </c>
      <c r="Q16" s="5">
        <f>SUM(Q5:Q15)</f>
        <v>4669</v>
      </c>
    </row>
    <row r="17" spans="1:20" x14ac:dyDescent="0.3">
      <c r="A17" s="190" t="s">
        <v>21</v>
      </c>
      <c r="B17" s="191"/>
      <c r="C17" s="298">
        <v>7256</v>
      </c>
      <c r="D17" s="299"/>
      <c r="E17" s="298">
        <v>3126</v>
      </c>
      <c r="F17" s="299"/>
      <c r="G17" s="298">
        <v>2148</v>
      </c>
      <c r="H17" s="299"/>
      <c r="I17" s="298">
        <v>8059</v>
      </c>
      <c r="J17" s="299"/>
      <c r="K17" s="302">
        <v>38</v>
      </c>
      <c r="L17" s="303"/>
      <c r="M17" s="12">
        <v>6180</v>
      </c>
      <c r="N17" s="10">
        <v>1214</v>
      </c>
      <c r="O17" s="12">
        <v>11283</v>
      </c>
      <c r="P17" s="10">
        <v>3059</v>
      </c>
      <c r="Q17" s="10">
        <v>2430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376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152</v>
      </c>
      <c r="D25" s="259"/>
      <c r="E25" s="260" t="s">
        <v>133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18</v>
      </c>
      <c r="D26" s="259"/>
      <c r="E26" s="260" t="s">
        <v>25</v>
      </c>
      <c r="F26" s="261"/>
      <c r="G26" s="258">
        <v>0</v>
      </c>
      <c r="H26" s="259"/>
      <c r="I26" s="258">
        <v>82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60</v>
      </c>
      <c r="D27" s="259"/>
      <c r="E27" s="260" t="s">
        <v>276</v>
      </c>
      <c r="F27" s="261"/>
      <c r="G27" s="258">
        <v>1</v>
      </c>
      <c r="H27" s="259"/>
      <c r="I27" s="258">
        <v>52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374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2</v>
      </c>
    </row>
    <row r="29" spans="1:20" x14ac:dyDescent="0.3">
      <c r="A29" s="101" t="s">
        <v>16</v>
      </c>
      <c r="B29" s="102"/>
      <c r="C29" s="411" t="s">
        <v>369</v>
      </c>
      <c r="D29" s="412"/>
      <c r="E29" s="260" t="s">
        <v>313</v>
      </c>
      <c r="F29" s="261"/>
      <c r="G29" s="258">
        <v>0</v>
      </c>
      <c r="H29" s="259"/>
      <c r="I29" s="258">
        <v>17</v>
      </c>
      <c r="J29" s="259"/>
      <c r="K29" s="8">
        <v>3</v>
      </c>
    </row>
    <row r="30" spans="1:20" x14ac:dyDescent="0.3">
      <c r="A30" s="101" t="s">
        <v>17</v>
      </c>
      <c r="B30" s="102"/>
      <c r="C30" s="272">
        <v>4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53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10</v>
      </c>
      <c r="D32" s="259"/>
      <c r="E32" s="260" t="s">
        <v>319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376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380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379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377</v>
      </c>
      <c r="D40" s="259"/>
      <c r="E40" s="276" t="s">
        <v>295</v>
      </c>
      <c r="F40" s="277"/>
      <c r="G40" s="258">
        <v>8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370</v>
      </c>
      <c r="D42" s="271"/>
      <c r="E42" s="276" t="s">
        <v>371</v>
      </c>
      <c r="F42" s="277"/>
      <c r="G42" s="258">
        <v>0</v>
      </c>
      <c r="H42" s="259"/>
      <c r="I42" s="258" t="s">
        <v>243</v>
      </c>
      <c r="J42" s="259"/>
      <c r="K42" s="8" t="s">
        <v>378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381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352</v>
      </c>
      <c r="D49" s="146"/>
      <c r="E49" s="145" t="s">
        <v>361</v>
      </c>
      <c r="F49" s="146"/>
      <c r="G49" s="145" t="s">
        <v>367</v>
      </c>
      <c r="H49" s="146"/>
      <c r="I49" s="145" t="s">
        <v>376</v>
      </c>
      <c r="J49" s="146"/>
    </row>
    <row r="50" spans="1:11" x14ac:dyDescent="0.3">
      <c r="A50" s="284" t="s">
        <v>30</v>
      </c>
      <c r="B50" s="285"/>
      <c r="C50" s="300">
        <v>13561</v>
      </c>
      <c r="D50" s="301"/>
      <c r="E50" s="300">
        <v>13516</v>
      </c>
      <c r="F50" s="301"/>
      <c r="G50" s="300">
        <v>13450</v>
      </c>
      <c r="H50" s="301"/>
      <c r="I50" s="300">
        <v>13409</v>
      </c>
      <c r="J50" s="301"/>
    </row>
    <row r="51" spans="1:11" x14ac:dyDescent="0.3">
      <c r="A51" s="284" t="s">
        <v>31</v>
      </c>
      <c r="B51" s="285"/>
      <c r="C51" s="286">
        <v>8820</v>
      </c>
      <c r="D51" s="287"/>
      <c r="E51" s="286">
        <v>8822</v>
      </c>
      <c r="F51" s="287"/>
      <c r="G51" s="286">
        <v>8831</v>
      </c>
      <c r="H51" s="287"/>
      <c r="I51" s="286">
        <v>114863</v>
      </c>
      <c r="J51" s="287"/>
    </row>
    <row r="52" spans="1:11" x14ac:dyDescent="0.3">
      <c r="A52" s="284" t="s">
        <v>32</v>
      </c>
      <c r="B52" s="285"/>
      <c r="C52" s="300">
        <v>114510</v>
      </c>
      <c r="D52" s="301"/>
      <c r="E52" s="300">
        <v>114506</v>
      </c>
      <c r="F52" s="301"/>
      <c r="G52" s="300">
        <v>114665</v>
      </c>
      <c r="H52" s="301"/>
      <c r="I52" s="300">
        <v>8835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51255</v>
      </c>
      <c r="D54" s="301"/>
      <c r="E54" s="300">
        <v>51217</v>
      </c>
      <c r="F54" s="301"/>
      <c r="G54" s="300">
        <v>51145</v>
      </c>
      <c r="H54" s="301"/>
      <c r="I54" s="300">
        <v>50987</v>
      </c>
      <c r="J54" s="301"/>
    </row>
    <row r="55" spans="1:11" x14ac:dyDescent="0.3">
      <c r="A55" s="284" t="s">
        <v>53</v>
      </c>
      <c r="B55" s="285"/>
      <c r="C55" s="286">
        <v>4231</v>
      </c>
      <c r="D55" s="287"/>
      <c r="E55" s="286">
        <v>4238</v>
      </c>
      <c r="F55" s="287"/>
      <c r="G55" s="286">
        <v>4259</v>
      </c>
      <c r="H55" s="287"/>
      <c r="I55" s="286">
        <v>4293</v>
      </c>
      <c r="J55" s="287"/>
    </row>
    <row r="56" spans="1:11" x14ac:dyDescent="0.3">
      <c r="A56" s="284" t="s">
        <v>49</v>
      </c>
      <c r="B56" s="285"/>
      <c r="C56" s="300">
        <v>13602</v>
      </c>
      <c r="D56" s="301"/>
      <c r="E56" s="300">
        <v>13862</v>
      </c>
      <c r="F56" s="301"/>
      <c r="G56" s="300">
        <v>14086</v>
      </c>
      <c r="H56" s="301"/>
      <c r="I56" s="300">
        <v>14295</v>
      </c>
      <c r="J56" s="301"/>
      <c r="K56" s="11"/>
    </row>
    <row r="57" spans="1:11" x14ac:dyDescent="0.3">
      <c r="A57" s="284" t="s">
        <v>35</v>
      </c>
      <c r="B57" s="285"/>
      <c r="C57" s="286">
        <v>1964</v>
      </c>
      <c r="D57" s="287"/>
      <c r="E57" s="286">
        <v>1989</v>
      </c>
      <c r="F57" s="287"/>
      <c r="G57" s="286">
        <v>2022</v>
      </c>
      <c r="H57" s="287"/>
      <c r="I57" s="286">
        <v>2048</v>
      </c>
      <c r="J57" s="287"/>
    </row>
    <row r="58" spans="1:11" x14ac:dyDescent="0.3">
      <c r="A58" s="120" t="s">
        <v>36</v>
      </c>
      <c r="B58" s="121"/>
      <c r="C58" s="122">
        <f>SUM(C50:D57)</f>
        <v>208182</v>
      </c>
      <c r="D58" s="123"/>
      <c r="E58" s="122">
        <f>SUM(E50:F57)</f>
        <v>208389</v>
      </c>
      <c r="F58" s="123"/>
      <c r="G58" s="122">
        <f>SUM(G50:H57)</f>
        <v>208697</v>
      </c>
      <c r="H58" s="123"/>
      <c r="I58" s="122">
        <f>SUM(I50:J57)</f>
        <v>208969</v>
      </c>
      <c r="J58" s="123"/>
    </row>
    <row r="60" spans="1:11" x14ac:dyDescent="0.3">
      <c r="A60" s="124" t="s">
        <v>37</v>
      </c>
      <c r="B60" s="125"/>
      <c r="C60" s="130" t="s">
        <v>352</v>
      </c>
      <c r="D60" s="131"/>
      <c r="E60" s="130" t="s">
        <v>361</v>
      </c>
      <c r="F60" s="131"/>
      <c r="G60" s="130" t="s">
        <v>367</v>
      </c>
      <c r="H60" s="131"/>
      <c r="I60" s="130" t="s">
        <v>376</v>
      </c>
      <c r="J60" s="131"/>
    </row>
    <row r="61" spans="1:11" x14ac:dyDescent="0.3">
      <c r="A61" s="126"/>
      <c r="B61" s="127"/>
      <c r="C61" s="288">
        <v>137424</v>
      </c>
      <c r="D61" s="289"/>
      <c r="E61" s="288">
        <v>137497</v>
      </c>
      <c r="F61" s="289"/>
      <c r="G61" s="288">
        <v>137534</v>
      </c>
      <c r="H61" s="289"/>
      <c r="I61" s="288">
        <v>137467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239</v>
      </c>
      <c r="D66" s="115"/>
      <c r="E66" s="114" t="s">
        <v>293</v>
      </c>
      <c r="F66" s="115"/>
      <c r="G66" s="114" t="s">
        <v>330</v>
      </c>
      <c r="H66" s="115"/>
      <c r="I66" s="114" t="s">
        <v>368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27548</v>
      </c>
      <c r="D69" s="287"/>
      <c r="E69" s="286">
        <v>27824</v>
      </c>
      <c r="F69" s="287"/>
      <c r="G69" s="286">
        <v>28056</v>
      </c>
      <c r="H69" s="287"/>
      <c r="I69" s="286">
        <v>28330</v>
      </c>
      <c r="J69" s="287"/>
    </row>
    <row r="70" spans="1:10" x14ac:dyDescent="0.3">
      <c r="A70" s="101" t="s">
        <v>13</v>
      </c>
      <c r="B70" s="102"/>
      <c r="C70" s="286">
        <v>6721</v>
      </c>
      <c r="D70" s="287"/>
      <c r="E70" s="286">
        <v>6783</v>
      </c>
      <c r="F70" s="287"/>
      <c r="G70" s="286">
        <v>6827</v>
      </c>
      <c r="H70" s="287"/>
      <c r="I70" s="286">
        <v>6883</v>
      </c>
      <c r="J70" s="287"/>
    </row>
    <row r="71" spans="1:10" x14ac:dyDescent="0.3">
      <c r="A71" s="107" t="s">
        <v>14</v>
      </c>
      <c r="B71" s="108"/>
      <c r="C71" s="286">
        <v>5742</v>
      </c>
      <c r="D71" s="287"/>
      <c r="E71" s="286">
        <v>5813</v>
      </c>
      <c r="F71" s="287"/>
      <c r="G71" s="286">
        <v>5890</v>
      </c>
      <c r="H71" s="287"/>
      <c r="I71" s="286">
        <v>5939</v>
      </c>
      <c r="J71" s="287"/>
    </row>
    <row r="72" spans="1:10" x14ac:dyDescent="0.3">
      <c r="A72" s="107" t="s">
        <v>41</v>
      </c>
      <c r="B72" s="108"/>
      <c r="C72" s="286">
        <v>1228</v>
      </c>
      <c r="D72" s="287"/>
      <c r="E72" s="286">
        <v>1247</v>
      </c>
      <c r="F72" s="287"/>
      <c r="G72" s="286">
        <v>1283</v>
      </c>
      <c r="H72" s="287"/>
      <c r="I72" s="286">
        <v>1322</v>
      </c>
      <c r="J72" s="287"/>
    </row>
    <row r="73" spans="1:10" x14ac:dyDescent="0.3">
      <c r="A73" s="101" t="s">
        <v>15</v>
      </c>
      <c r="B73" s="102"/>
      <c r="C73" s="286">
        <v>4147</v>
      </c>
      <c r="D73" s="287"/>
      <c r="E73" s="286">
        <v>4242</v>
      </c>
      <c r="F73" s="287"/>
      <c r="G73" s="286">
        <v>4273</v>
      </c>
      <c r="H73" s="287"/>
      <c r="I73" s="286">
        <v>4325</v>
      </c>
      <c r="J73" s="287"/>
    </row>
    <row r="74" spans="1:10" x14ac:dyDescent="0.3">
      <c r="A74" s="107" t="s">
        <v>16</v>
      </c>
      <c r="B74" s="108"/>
      <c r="C74" s="286">
        <v>4580</v>
      </c>
      <c r="D74" s="287"/>
      <c r="E74" s="286">
        <v>4634</v>
      </c>
      <c r="F74" s="287"/>
      <c r="G74" s="286">
        <v>4667</v>
      </c>
      <c r="H74" s="287"/>
      <c r="I74" s="286">
        <v>4699</v>
      </c>
      <c r="J74" s="287"/>
    </row>
    <row r="75" spans="1:10" x14ac:dyDescent="0.3">
      <c r="A75" s="101" t="s">
        <v>17</v>
      </c>
      <c r="B75" s="102"/>
      <c r="C75" s="286">
        <v>6627</v>
      </c>
      <c r="D75" s="287"/>
      <c r="E75" s="286">
        <v>6774</v>
      </c>
      <c r="F75" s="287"/>
      <c r="G75" s="286">
        <v>6888</v>
      </c>
      <c r="H75" s="287"/>
      <c r="I75" s="286">
        <v>6930</v>
      </c>
      <c r="J75" s="287"/>
    </row>
    <row r="76" spans="1:10" x14ac:dyDescent="0.3">
      <c r="A76" s="107" t="s">
        <v>18</v>
      </c>
      <c r="B76" s="108"/>
      <c r="C76" s="286">
        <v>1435</v>
      </c>
      <c r="D76" s="287"/>
      <c r="E76" s="286">
        <v>1469</v>
      </c>
      <c r="F76" s="287"/>
      <c r="G76" s="286">
        <v>1489</v>
      </c>
      <c r="H76" s="287"/>
      <c r="I76" s="286">
        <v>1501</v>
      </c>
      <c r="J76" s="287"/>
    </row>
    <row r="77" spans="1:10" x14ac:dyDescent="0.3">
      <c r="A77" s="101" t="s">
        <v>19</v>
      </c>
      <c r="B77" s="102"/>
      <c r="C77" s="286">
        <v>5125</v>
      </c>
      <c r="D77" s="287"/>
      <c r="E77" s="286">
        <v>5202</v>
      </c>
      <c r="F77" s="287"/>
      <c r="G77" s="286">
        <v>5282</v>
      </c>
      <c r="H77" s="287"/>
      <c r="I77" s="286">
        <v>5384</v>
      </c>
      <c r="J77" s="287"/>
    </row>
    <row r="78" spans="1:10" x14ac:dyDescent="0.3">
      <c r="A78" s="105" t="s">
        <v>42</v>
      </c>
      <c r="B78" s="106"/>
      <c r="C78" s="103">
        <f>SUM(C69:C77)</f>
        <v>63153</v>
      </c>
      <c r="D78" s="104"/>
      <c r="E78" s="103">
        <f>SUM(E69:E77)</f>
        <v>63988</v>
      </c>
      <c r="F78" s="104"/>
      <c r="G78" s="103">
        <f>SUM(G69:G77)</f>
        <v>64655</v>
      </c>
      <c r="H78" s="104"/>
      <c r="I78" s="103">
        <f>SUM(I69:I77)</f>
        <v>65313</v>
      </c>
      <c r="J78" s="104"/>
    </row>
  </sheetData>
  <mergeCells count="312">
    <mergeCell ref="A4:B4"/>
    <mergeCell ref="A2:B3"/>
    <mergeCell ref="C2:D3"/>
    <mergeCell ref="E2:F3"/>
    <mergeCell ref="G2:H3"/>
    <mergeCell ref="I2:J3"/>
    <mergeCell ref="K2:L3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P2:P3"/>
    <mergeCell ref="Q2:Q3"/>
    <mergeCell ref="C4:Q4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A17:B17"/>
    <mergeCell ref="C17:D17"/>
    <mergeCell ref="E17:F17"/>
    <mergeCell ref="G17:H17"/>
    <mergeCell ref="I17:J17"/>
    <mergeCell ref="K17:L17"/>
    <mergeCell ref="M2:M3"/>
    <mergeCell ref="N2:N3"/>
    <mergeCell ref="O2:O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78"/>
  <sheetViews>
    <sheetView workbookViewId="0">
      <selection activeCell="E16" sqref="E16:F1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382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7256</v>
      </c>
      <c r="D5" s="299"/>
      <c r="E5" s="298">
        <v>3126</v>
      </c>
      <c r="F5" s="299"/>
      <c r="G5" s="298">
        <v>2148</v>
      </c>
      <c r="H5" s="299"/>
      <c r="I5" s="298">
        <v>8059</v>
      </c>
      <c r="J5" s="299"/>
      <c r="K5" s="302">
        <v>38</v>
      </c>
      <c r="L5" s="303"/>
      <c r="M5" s="12">
        <v>6180</v>
      </c>
      <c r="N5" s="10">
        <v>1214</v>
      </c>
      <c r="O5" s="12">
        <v>10863</v>
      </c>
      <c r="P5" s="10">
        <v>2859</v>
      </c>
      <c r="Q5" s="10">
        <v>2230</v>
      </c>
    </row>
    <row r="6" spans="1:18" ht="13.5" customHeight="1" x14ac:dyDescent="0.3">
      <c r="A6" s="211" t="s">
        <v>11</v>
      </c>
      <c r="B6" s="212"/>
      <c r="C6" s="298">
        <v>759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330</v>
      </c>
      <c r="D7" s="240"/>
      <c r="E7" s="239">
        <v>27</v>
      </c>
      <c r="F7" s="240"/>
      <c r="G7" s="239">
        <v>6</v>
      </c>
      <c r="H7" s="240"/>
      <c r="I7" s="239">
        <v>248</v>
      </c>
      <c r="J7" s="240"/>
      <c r="K7" s="239">
        <v>126</v>
      </c>
      <c r="L7" s="240"/>
      <c r="M7" s="1">
        <v>334</v>
      </c>
      <c r="N7" s="1">
        <v>36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155</v>
      </c>
      <c r="D8" s="240"/>
      <c r="E8" s="239">
        <v>0</v>
      </c>
      <c r="F8" s="240"/>
      <c r="G8" s="239">
        <v>222</v>
      </c>
      <c r="H8" s="240"/>
      <c r="I8" s="239">
        <v>5</v>
      </c>
      <c r="J8" s="240"/>
      <c r="K8" s="239">
        <v>0</v>
      </c>
      <c r="L8" s="240"/>
      <c r="M8" s="1">
        <v>75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245</v>
      </c>
      <c r="D9" s="240"/>
      <c r="E9" s="239">
        <v>251</v>
      </c>
      <c r="F9" s="240"/>
      <c r="G9" s="239">
        <v>0</v>
      </c>
      <c r="H9" s="240"/>
      <c r="I9" s="239">
        <v>89</v>
      </c>
      <c r="J9" s="240"/>
      <c r="K9" s="239">
        <v>11</v>
      </c>
      <c r="L9" s="240"/>
      <c r="M9" s="1">
        <v>177</v>
      </c>
      <c r="N9" s="1">
        <v>76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354</v>
      </c>
      <c r="D10" s="240"/>
      <c r="E10" s="239">
        <v>54</v>
      </c>
      <c r="F10" s="240"/>
      <c r="G10" s="239">
        <v>63</v>
      </c>
      <c r="H10" s="240"/>
      <c r="I10" s="239">
        <v>165</v>
      </c>
      <c r="J10" s="240"/>
      <c r="K10" s="239">
        <v>1</v>
      </c>
      <c r="L10" s="240"/>
      <c r="M10" s="1">
        <v>153</v>
      </c>
      <c r="N10" s="1">
        <v>70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330</v>
      </c>
      <c r="D11" s="246"/>
      <c r="E11" s="239">
        <v>14</v>
      </c>
      <c r="F11" s="240"/>
      <c r="G11" s="239">
        <v>0</v>
      </c>
      <c r="H11" s="240"/>
      <c r="I11" s="239">
        <v>102</v>
      </c>
      <c r="J11" s="240"/>
      <c r="K11" s="239">
        <v>52</v>
      </c>
      <c r="L11" s="240"/>
      <c r="M11" s="1">
        <v>102</v>
      </c>
      <c r="N11" s="1">
        <v>100</v>
      </c>
      <c r="O11" s="1">
        <v>81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163</v>
      </c>
      <c r="D12" s="246"/>
      <c r="E12" s="239">
        <v>0</v>
      </c>
      <c r="F12" s="240"/>
      <c r="G12" s="239">
        <v>0</v>
      </c>
      <c r="H12" s="240"/>
      <c r="I12" s="239">
        <v>142</v>
      </c>
      <c r="J12" s="240"/>
      <c r="K12" s="239">
        <v>0</v>
      </c>
      <c r="L12" s="240"/>
      <c r="M12" s="1">
        <v>363</v>
      </c>
      <c r="N12" s="1">
        <v>66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250</v>
      </c>
      <c r="D13" s="246"/>
      <c r="E13" s="239">
        <v>121</v>
      </c>
      <c r="F13" s="240"/>
      <c r="G13" s="239">
        <v>0</v>
      </c>
      <c r="H13" s="240"/>
      <c r="I13" s="239">
        <v>12</v>
      </c>
      <c r="J13" s="240"/>
      <c r="K13" s="239">
        <v>0</v>
      </c>
      <c r="L13" s="240"/>
      <c r="M13" s="1">
        <v>104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285</v>
      </c>
      <c r="D14" s="248"/>
      <c r="E14" s="247">
        <v>13</v>
      </c>
      <c r="F14" s="248"/>
      <c r="G14" s="247">
        <v>13</v>
      </c>
      <c r="H14" s="248"/>
      <c r="I14" s="239">
        <v>145</v>
      </c>
      <c r="J14" s="240"/>
      <c r="K14" s="247">
        <v>0</v>
      </c>
      <c r="L14" s="248"/>
      <c r="M14" s="2">
        <v>160</v>
      </c>
      <c r="N14" s="2">
        <v>18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2722</v>
      </c>
      <c r="P15" s="10">
        <v>2504</v>
      </c>
      <c r="Q15" s="10">
        <v>2098</v>
      </c>
    </row>
    <row r="16" spans="1:18" ht="15" thickBot="1" x14ac:dyDescent="0.35">
      <c r="A16" s="199" t="s">
        <v>20</v>
      </c>
      <c r="B16" s="200"/>
      <c r="C16" s="201">
        <f>SUM(C5:D15)</f>
        <v>10127</v>
      </c>
      <c r="D16" s="202"/>
      <c r="E16" s="201">
        <f>SUM(E5:F15)</f>
        <v>3606</v>
      </c>
      <c r="F16" s="202"/>
      <c r="G16" s="201">
        <f>SUM(G5:H15)</f>
        <v>2452</v>
      </c>
      <c r="H16" s="202"/>
      <c r="I16" s="201">
        <f>SUM(I5:J15)</f>
        <v>8967</v>
      </c>
      <c r="J16" s="202"/>
      <c r="K16" s="201">
        <f>SUM(K5:L15)</f>
        <v>228</v>
      </c>
      <c r="L16" s="202"/>
      <c r="M16" s="3">
        <f>SUM(M5:M15)</f>
        <v>7648</v>
      </c>
      <c r="N16" s="4">
        <f>SUM(N5:N15)</f>
        <v>1644</v>
      </c>
      <c r="O16" s="4">
        <f>SUM(O5:O15)</f>
        <v>13666</v>
      </c>
      <c r="P16" s="4">
        <f>SUM(P5:P15)</f>
        <v>5405</v>
      </c>
      <c r="Q16" s="5">
        <f>SUM(Q5:Q15)</f>
        <v>4336</v>
      </c>
    </row>
    <row r="17" spans="1:20" x14ac:dyDescent="0.3">
      <c r="A17" s="190" t="s">
        <v>21</v>
      </c>
      <c r="B17" s="191"/>
      <c r="C17" s="298">
        <v>7256</v>
      </c>
      <c r="D17" s="299"/>
      <c r="E17" s="298">
        <v>3126</v>
      </c>
      <c r="F17" s="299"/>
      <c r="G17" s="298">
        <v>2148</v>
      </c>
      <c r="H17" s="299"/>
      <c r="I17" s="298">
        <v>8059</v>
      </c>
      <c r="J17" s="299"/>
      <c r="K17" s="302">
        <v>38</v>
      </c>
      <c r="L17" s="303"/>
      <c r="M17" s="12">
        <v>6180</v>
      </c>
      <c r="N17" s="10">
        <v>1214</v>
      </c>
      <c r="O17" s="12">
        <v>10863</v>
      </c>
      <c r="P17" s="10">
        <v>2859</v>
      </c>
      <c r="Q17" s="10">
        <v>2230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382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102</v>
      </c>
      <c r="D25" s="259"/>
      <c r="E25" s="260" t="s">
        <v>389</v>
      </c>
      <c r="F25" s="261"/>
      <c r="G25" s="258">
        <v>0</v>
      </c>
      <c r="H25" s="259"/>
      <c r="I25" s="258">
        <v>188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25</v>
      </c>
      <c r="D26" s="259"/>
      <c r="E26" s="260" t="s">
        <v>25</v>
      </c>
      <c r="F26" s="261"/>
      <c r="G26" s="258">
        <v>0</v>
      </c>
      <c r="H26" s="259"/>
      <c r="I26" s="258">
        <v>80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60</v>
      </c>
      <c r="D27" s="259"/>
      <c r="E27" s="260" t="s">
        <v>276</v>
      </c>
      <c r="F27" s="261"/>
      <c r="G27" s="258">
        <v>1</v>
      </c>
      <c r="H27" s="259"/>
      <c r="I27" s="258">
        <v>52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388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3</v>
      </c>
    </row>
    <row r="29" spans="1:20" x14ac:dyDescent="0.3">
      <c r="A29" s="101" t="s">
        <v>16</v>
      </c>
      <c r="B29" s="102"/>
      <c r="C29" s="411" t="s">
        <v>356</v>
      </c>
      <c r="D29" s="412"/>
      <c r="E29" s="260" t="s">
        <v>383</v>
      </c>
      <c r="F29" s="261"/>
      <c r="G29" s="258">
        <v>0</v>
      </c>
      <c r="H29" s="259"/>
      <c r="I29" s="258">
        <v>17</v>
      </c>
      <c r="J29" s="259"/>
      <c r="K29" s="8">
        <v>3</v>
      </c>
    </row>
    <row r="30" spans="1:20" x14ac:dyDescent="0.3">
      <c r="A30" s="101" t="s">
        <v>17</v>
      </c>
      <c r="B30" s="102"/>
      <c r="C30" s="272">
        <v>4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52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10</v>
      </c>
      <c r="D32" s="259"/>
      <c r="E32" s="260" t="s">
        <v>319</v>
      </c>
      <c r="F32" s="261"/>
      <c r="G32" s="258">
        <v>0</v>
      </c>
      <c r="H32" s="259"/>
      <c r="I32" s="258">
        <v>6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376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390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387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377</v>
      </c>
      <c r="D40" s="259"/>
      <c r="E40" s="276" t="s">
        <v>295</v>
      </c>
      <c r="F40" s="277"/>
      <c r="G40" s="258">
        <v>8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335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347</v>
      </c>
      <c r="D42" s="271"/>
      <c r="E42" s="276" t="s">
        <v>384</v>
      </c>
      <c r="F42" s="277"/>
      <c r="G42" s="258">
        <v>0</v>
      </c>
      <c r="H42" s="259"/>
      <c r="I42" s="258" t="s">
        <v>385</v>
      </c>
      <c r="J42" s="259"/>
      <c r="K42" s="8" t="s">
        <v>378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386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361</v>
      </c>
      <c r="D49" s="146"/>
      <c r="E49" s="145" t="s">
        <v>367</v>
      </c>
      <c r="F49" s="146"/>
      <c r="G49" s="145" t="s">
        <v>376</v>
      </c>
      <c r="H49" s="146"/>
      <c r="I49" s="145" t="s">
        <v>382</v>
      </c>
      <c r="J49" s="146"/>
    </row>
    <row r="50" spans="1:11" x14ac:dyDescent="0.3">
      <c r="A50" s="284" t="s">
        <v>30</v>
      </c>
      <c r="B50" s="285"/>
      <c r="C50" s="300">
        <v>13516</v>
      </c>
      <c r="D50" s="301"/>
      <c r="E50" s="300">
        <v>13450</v>
      </c>
      <c r="F50" s="301"/>
      <c r="G50" s="300">
        <v>13409</v>
      </c>
      <c r="H50" s="301"/>
      <c r="I50" s="300">
        <v>13379</v>
      </c>
      <c r="J50" s="301"/>
    </row>
    <row r="51" spans="1:11" x14ac:dyDescent="0.3">
      <c r="A51" s="284" t="s">
        <v>31</v>
      </c>
      <c r="B51" s="285"/>
      <c r="C51" s="286">
        <v>8822</v>
      </c>
      <c r="D51" s="287"/>
      <c r="E51" s="286">
        <v>8831</v>
      </c>
      <c r="F51" s="287"/>
      <c r="G51" s="286">
        <v>114863</v>
      </c>
      <c r="H51" s="287"/>
      <c r="I51" s="286">
        <v>8851</v>
      </c>
      <c r="J51" s="287"/>
    </row>
    <row r="52" spans="1:11" x14ac:dyDescent="0.3">
      <c r="A52" s="284" t="s">
        <v>32</v>
      </c>
      <c r="B52" s="285"/>
      <c r="C52" s="300">
        <v>114506</v>
      </c>
      <c r="D52" s="301"/>
      <c r="E52" s="300">
        <v>114665</v>
      </c>
      <c r="F52" s="301"/>
      <c r="G52" s="300">
        <v>8835</v>
      </c>
      <c r="H52" s="301"/>
      <c r="I52" s="300">
        <v>114978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51217</v>
      </c>
      <c r="D54" s="301"/>
      <c r="E54" s="300">
        <v>51145</v>
      </c>
      <c r="F54" s="301"/>
      <c r="G54" s="300">
        <v>50987</v>
      </c>
      <c r="H54" s="301"/>
      <c r="I54" s="300">
        <v>50955</v>
      </c>
      <c r="J54" s="301"/>
    </row>
    <row r="55" spans="1:11" x14ac:dyDescent="0.3">
      <c r="A55" s="284" t="s">
        <v>53</v>
      </c>
      <c r="B55" s="285"/>
      <c r="C55" s="286">
        <v>4238</v>
      </c>
      <c r="D55" s="287"/>
      <c r="E55" s="286">
        <v>4259</v>
      </c>
      <c r="F55" s="287"/>
      <c r="G55" s="286">
        <v>4293</v>
      </c>
      <c r="H55" s="287"/>
      <c r="I55" s="286">
        <v>4312</v>
      </c>
      <c r="J55" s="287"/>
    </row>
    <row r="56" spans="1:11" x14ac:dyDescent="0.3">
      <c r="A56" s="284" t="s">
        <v>49</v>
      </c>
      <c r="B56" s="285"/>
      <c r="C56" s="300">
        <v>13862</v>
      </c>
      <c r="D56" s="301"/>
      <c r="E56" s="300">
        <v>14086</v>
      </c>
      <c r="F56" s="301"/>
      <c r="G56" s="300">
        <v>14295</v>
      </c>
      <c r="H56" s="301"/>
      <c r="I56" s="300">
        <v>14506</v>
      </c>
      <c r="J56" s="301"/>
      <c r="K56" s="11"/>
    </row>
    <row r="57" spans="1:11" x14ac:dyDescent="0.3">
      <c r="A57" s="284" t="s">
        <v>35</v>
      </c>
      <c r="B57" s="285"/>
      <c r="C57" s="286">
        <v>1989</v>
      </c>
      <c r="D57" s="287"/>
      <c r="E57" s="286">
        <v>2022</v>
      </c>
      <c r="F57" s="287"/>
      <c r="G57" s="286">
        <v>2048</v>
      </c>
      <c r="H57" s="287"/>
      <c r="I57" s="286">
        <v>2105</v>
      </c>
      <c r="J57" s="287"/>
    </row>
    <row r="58" spans="1:11" x14ac:dyDescent="0.3">
      <c r="A58" s="120" t="s">
        <v>36</v>
      </c>
      <c r="B58" s="121"/>
      <c r="C58" s="122">
        <f>SUM(C50:D57)</f>
        <v>208389</v>
      </c>
      <c r="D58" s="123"/>
      <c r="E58" s="122">
        <f>SUM(E50:F57)</f>
        <v>208697</v>
      </c>
      <c r="F58" s="123"/>
      <c r="G58" s="122">
        <f>SUM(G50:H57)</f>
        <v>208969</v>
      </c>
      <c r="H58" s="123"/>
      <c r="I58" s="122">
        <f>SUM(I50:J57)</f>
        <v>209325</v>
      </c>
      <c r="J58" s="123"/>
    </row>
    <row r="60" spans="1:11" x14ac:dyDescent="0.3">
      <c r="A60" s="124" t="s">
        <v>37</v>
      </c>
      <c r="B60" s="125"/>
      <c r="C60" s="130" t="s">
        <v>361</v>
      </c>
      <c r="D60" s="131"/>
      <c r="E60" s="130" t="s">
        <v>367</v>
      </c>
      <c r="F60" s="131"/>
      <c r="G60" s="130" t="s">
        <v>376</v>
      </c>
      <c r="H60" s="131"/>
      <c r="I60" s="130" t="s">
        <v>382</v>
      </c>
      <c r="J60" s="131"/>
    </row>
    <row r="61" spans="1:11" x14ac:dyDescent="0.3">
      <c r="A61" s="126"/>
      <c r="B61" s="127"/>
      <c r="C61" s="288">
        <v>137497</v>
      </c>
      <c r="D61" s="289"/>
      <c r="E61" s="288">
        <v>137534</v>
      </c>
      <c r="F61" s="289"/>
      <c r="G61" s="288">
        <v>137467</v>
      </c>
      <c r="H61" s="289"/>
      <c r="I61" s="288">
        <v>137592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239</v>
      </c>
      <c r="D66" s="115"/>
      <c r="E66" s="114" t="s">
        <v>293</v>
      </c>
      <c r="F66" s="115"/>
      <c r="G66" s="114" t="s">
        <v>330</v>
      </c>
      <c r="H66" s="115"/>
      <c r="I66" s="114" t="s">
        <v>368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27548</v>
      </c>
      <c r="D69" s="287"/>
      <c r="E69" s="286">
        <v>27824</v>
      </c>
      <c r="F69" s="287"/>
      <c r="G69" s="286">
        <v>28056</v>
      </c>
      <c r="H69" s="287"/>
      <c r="I69" s="286">
        <v>28330</v>
      </c>
      <c r="J69" s="287"/>
    </row>
    <row r="70" spans="1:10" x14ac:dyDescent="0.3">
      <c r="A70" s="101" t="s">
        <v>13</v>
      </c>
      <c r="B70" s="102"/>
      <c r="C70" s="286">
        <v>6721</v>
      </c>
      <c r="D70" s="287"/>
      <c r="E70" s="286">
        <v>6783</v>
      </c>
      <c r="F70" s="287"/>
      <c r="G70" s="286">
        <v>6827</v>
      </c>
      <c r="H70" s="287"/>
      <c r="I70" s="286">
        <v>6883</v>
      </c>
      <c r="J70" s="287"/>
    </row>
    <row r="71" spans="1:10" x14ac:dyDescent="0.3">
      <c r="A71" s="107" t="s">
        <v>14</v>
      </c>
      <c r="B71" s="108"/>
      <c r="C71" s="286">
        <v>5742</v>
      </c>
      <c r="D71" s="287"/>
      <c r="E71" s="286">
        <v>5813</v>
      </c>
      <c r="F71" s="287"/>
      <c r="G71" s="286">
        <v>5890</v>
      </c>
      <c r="H71" s="287"/>
      <c r="I71" s="286">
        <v>5939</v>
      </c>
      <c r="J71" s="287"/>
    </row>
    <row r="72" spans="1:10" x14ac:dyDescent="0.3">
      <c r="A72" s="107" t="s">
        <v>41</v>
      </c>
      <c r="B72" s="108"/>
      <c r="C72" s="286">
        <v>1228</v>
      </c>
      <c r="D72" s="287"/>
      <c r="E72" s="286">
        <v>1247</v>
      </c>
      <c r="F72" s="287"/>
      <c r="G72" s="286">
        <v>1283</v>
      </c>
      <c r="H72" s="287"/>
      <c r="I72" s="286">
        <v>1322</v>
      </c>
      <c r="J72" s="287"/>
    </row>
    <row r="73" spans="1:10" x14ac:dyDescent="0.3">
      <c r="A73" s="101" t="s">
        <v>15</v>
      </c>
      <c r="B73" s="102"/>
      <c r="C73" s="286">
        <v>4147</v>
      </c>
      <c r="D73" s="287"/>
      <c r="E73" s="286">
        <v>4242</v>
      </c>
      <c r="F73" s="287"/>
      <c r="G73" s="286">
        <v>4273</v>
      </c>
      <c r="H73" s="287"/>
      <c r="I73" s="286">
        <v>4325</v>
      </c>
      <c r="J73" s="287"/>
    </row>
    <row r="74" spans="1:10" x14ac:dyDescent="0.3">
      <c r="A74" s="107" t="s">
        <v>16</v>
      </c>
      <c r="B74" s="108"/>
      <c r="C74" s="286">
        <v>4580</v>
      </c>
      <c r="D74" s="287"/>
      <c r="E74" s="286">
        <v>4634</v>
      </c>
      <c r="F74" s="287"/>
      <c r="G74" s="286">
        <v>4667</v>
      </c>
      <c r="H74" s="287"/>
      <c r="I74" s="286">
        <v>4699</v>
      </c>
      <c r="J74" s="287"/>
    </row>
    <row r="75" spans="1:10" x14ac:dyDescent="0.3">
      <c r="A75" s="101" t="s">
        <v>17</v>
      </c>
      <c r="B75" s="102"/>
      <c r="C75" s="286">
        <v>6627</v>
      </c>
      <c r="D75" s="287"/>
      <c r="E75" s="286">
        <v>6774</v>
      </c>
      <c r="F75" s="287"/>
      <c r="G75" s="286">
        <v>6888</v>
      </c>
      <c r="H75" s="287"/>
      <c r="I75" s="286">
        <v>6930</v>
      </c>
      <c r="J75" s="287"/>
    </row>
    <row r="76" spans="1:10" x14ac:dyDescent="0.3">
      <c r="A76" s="107" t="s">
        <v>18</v>
      </c>
      <c r="B76" s="108"/>
      <c r="C76" s="286">
        <v>1435</v>
      </c>
      <c r="D76" s="287"/>
      <c r="E76" s="286">
        <v>1469</v>
      </c>
      <c r="F76" s="287"/>
      <c r="G76" s="286">
        <v>1489</v>
      </c>
      <c r="H76" s="287"/>
      <c r="I76" s="286">
        <v>1501</v>
      </c>
      <c r="J76" s="287"/>
    </row>
    <row r="77" spans="1:10" x14ac:dyDescent="0.3">
      <c r="A77" s="101" t="s">
        <v>19</v>
      </c>
      <c r="B77" s="102"/>
      <c r="C77" s="286">
        <v>5125</v>
      </c>
      <c r="D77" s="287"/>
      <c r="E77" s="286">
        <v>5202</v>
      </c>
      <c r="F77" s="287"/>
      <c r="G77" s="286">
        <v>5282</v>
      </c>
      <c r="H77" s="287"/>
      <c r="I77" s="286">
        <v>5384</v>
      </c>
      <c r="J77" s="287"/>
    </row>
    <row r="78" spans="1:10" x14ac:dyDescent="0.3">
      <c r="A78" s="105" t="s">
        <v>42</v>
      </c>
      <c r="B78" s="106"/>
      <c r="C78" s="103">
        <f>SUM(C69:C77)</f>
        <v>63153</v>
      </c>
      <c r="D78" s="104"/>
      <c r="E78" s="103">
        <f>SUM(E69:E77)</f>
        <v>63988</v>
      </c>
      <c r="F78" s="104"/>
      <c r="G78" s="103">
        <f>SUM(G69:G77)</f>
        <v>64655</v>
      </c>
      <c r="H78" s="104"/>
      <c r="I78" s="103">
        <f>SUM(I69:I77)</f>
        <v>65313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78"/>
  <sheetViews>
    <sheetView workbookViewId="0">
      <selection activeCell="P28" sqref="P28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391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6406</v>
      </c>
      <c r="D5" s="299"/>
      <c r="E5" s="298">
        <v>3126</v>
      </c>
      <c r="F5" s="299"/>
      <c r="G5" s="298">
        <v>1908</v>
      </c>
      <c r="H5" s="299"/>
      <c r="I5" s="298">
        <v>7699</v>
      </c>
      <c r="J5" s="299"/>
      <c r="K5" s="302">
        <v>38</v>
      </c>
      <c r="L5" s="303"/>
      <c r="M5" s="12">
        <v>5420</v>
      </c>
      <c r="N5" s="10">
        <v>1064</v>
      </c>
      <c r="O5" s="12">
        <v>10283</v>
      </c>
      <c r="P5" s="10">
        <v>2669</v>
      </c>
      <c r="Q5" s="10">
        <v>1860</v>
      </c>
    </row>
    <row r="6" spans="1:18" ht="13.5" customHeight="1" x14ac:dyDescent="0.3">
      <c r="A6" s="211" t="s">
        <v>11</v>
      </c>
      <c r="B6" s="212"/>
      <c r="C6" s="298">
        <v>1060</v>
      </c>
      <c r="D6" s="299"/>
      <c r="E6" s="298">
        <v>6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5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252</v>
      </c>
      <c r="D7" s="240"/>
      <c r="E7" s="239">
        <v>26</v>
      </c>
      <c r="F7" s="240"/>
      <c r="G7" s="239">
        <v>6</v>
      </c>
      <c r="H7" s="240"/>
      <c r="I7" s="239">
        <v>274</v>
      </c>
      <c r="J7" s="240"/>
      <c r="K7" s="239">
        <v>98</v>
      </c>
      <c r="L7" s="240"/>
      <c r="M7" s="1">
        <v>425</v>
      </c>
      <c r="N7" s="1">
        <v>29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352</v>
      </c>
      <c r="D8" s="240"/>
      <c r="E8" s="239">
        <v>0</v>
      </c>
      <c r="F8" s="240"/>
      <c r="G8" s="239">
        <v>0</v>
      </c>
      <c r="H8" s="240"/>
      <c r="I8" s="239">
        <v>430</v>
      </c>
      <c r="J8" s="240"/>
      <c r="K8" s="239">
        <v>0</v>
      </c>
      <c r="L8" s="240"/>
      <c r="M8" s="1">
        <v>199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343</v>
      </c>
      <c r="D9" s="240"/>
      <c r="E9" s="239">
        <v>161</v>
      </c>
      <c r="F9" s="240"/>
      <c r="G9" s="239">
        <v>0</v>
      </c>
      <c r="H9" s="240"/>
      <c r="I9" s="239">
        <v>87</v>
      </c>
      <c r="J9" s="240"/>
      <c r="K9" s="239">
        <v>15</v>
      </c>
      <c r="L9" s="240"/>
      <c r="M9" s="1">
        <v>158</v>
      </c>
      <c r="N9" s="1">
        <v>80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293</v>
      </c>
      <c r="D10" s="240"/>
      <c r="E10" s="239">
        <v>45</v>
      </c>
      <c r="F10" s="240"/>
      <c r="G10" s="239">
        <v>62</v>
      </c>
      <c r="H10" s="240"/>
      <c r="I10" s="239">
        <v>123</v>
      </c>
      <c r="J10" s="240"/>
      <c r="K10" s="239">
        <v>0</v>
      </c>
      <c r="L10" s="240"/>
      <c r="M10" s="1">
        <v>141</v>
      </c>
      <c r="N10" s="1">
        <v>55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277</v>
      </c>
      <c r="D11" s="246"/>
      <c r="E11" s="239">
        <v>14</v>
      </c>
      <c r="F11" s="240"/>
      <c r="G11" s="239">
        <v>0</v>
      </c>
      <c r="H11" s="240"/>
      <c r="I11" s="239">
        <v>92</v>
      </c>
      <c r="J11" s="240"/>
      <c r="K11" s="239">
        <v>50</v>
      </c>
      <c r="L11" s="240"/>
      <c r="M11" s="1">
        <v>98</v>
      </c>
      <c r="N11" s="1">
        <v>87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43</v>
      </c>
      <c r="D12" s="246"/>
      <c r="E12" s="239">
        <v>0</v>
      </c>
      <c r="F12" s="240"/>
      <c r="G12" s="239">
        <v>0</v>
      </c>
      <c r="H12" s="240"/>
      <c r="I12" s="239">
        <v>107</v>
      </c>
      <c r="J12" s="240"/>
      <c r="K12" s="239">
        <v>0</v>
      </c>
      <c r="L12" s="240"/>
      <c r="M12" s="1">
        <v>336</v>
      </c>
      <c r="N12" s="1">
        <v>66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245</v>
      </c>
      <c r="D13" s="246"/>
      <c r="E13" s="239">
        <v>115</v>
      </c>
      <c r="F13" s="240"/>
      <c r="G13" s="239">
        <v>0</v>
      </c>
      <c r="H13" s="240"/>
      <c r="I13" s="239">
        <v>12</v>
      </c>
      <c r="J13" s="240"/>
      <c r="K13" s="239">
        <v>0</v>
      </c>
      <c r="L13" s="240"/>
      <c r="M13" s="1">
        <v>100</v>
      </c>
      <c r="N13" s="1">
        <v>48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237</v>
      </c>
      <c r="D14" s="248"/>
      <c r="E14" s="247">
        <v>12</v>
      </c>
      <c r="F14" s="248"/>
      <c r="G14" s="247">
        <v>13</v>
      </c>
      <c r="H14" s="248"/>
      <c r="I14" s="239">
        <v>71</v>
      </c>
      <c r="J14" s="240"/>
      <c r="K14" s="247">
        <v>0</v>
      </c>
      <c r="L14" s="248"/>
      <c r="M14" s="2">
        <v>88</v>
      </c>
      <c r="N14" s="2">
        <v>18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2987</v>
      </c>
      <c r="P15" s="10">
        <v>3012</v>
      </c>
      <c r="Q15" s="10">
        <v>2273</v>
      </c>
    </row>
    <row r="16" spans="1:18" ht="15" thickBot="1" x14ac:dyDescent="0.35">
      <c r="A16" s="199" t="s">
        <v>20</v>
      </c>
      <c r="B16" s="200"/>
      <c r="C16" s="201">
        <f>SUM(C5:D15)</f>
        <v>9508</v>
      </c>
      <c r="D16" s="202"/>
      <c r="E16" s="201">
        <f>SUM(E5:F15)</f>
        <v>3505</v>
      </c>
      <c r="F16" s="202"/>
      <c r="G16" s="201">
        <f>SUM(G5:H15)</f>
        <v>1989</v>
      </c>
      <c r="H16" s="202"/>
      <c r="I16" s="201">
        <f>SUM(I5:J15)</f>
        <v>8895</v>
      </c>
      <c r="J16" s="202"/>
      <c r="K16" s="201">
        <f>SUM(K5:L15)</f>
        <v>201</v>
      </c>
      <c r="L16" s="202"/>
      <c r="M16" s="3">
        <f>SUM(M5:M15)</f>
        <v>6970</v>
      </c>
      <c r="N16" s="4">
        <f>SUM(N5:N15)</f>
        <v>1462</v>
      </c>
      <c r="O16" s="4">
        <f>SUM(O5:O15)</f>
        <v>13352</v>
      </c>
      <c r="P16" s="4">
        <f>SUM(P5:P15)</f>
        <v>5723</v>
      </c>
      <c r="Q16" s="5">
        <f>SUM(Q5:Q15)</f>
        <v>4141</v>
      </c>
    </row>
    <row r="17" spans="1:20" x14ac:dyDescent="0.3">
      <c r="A17" s="190" t="s">
        <v>21</v>
      </c>
      <c r="B17" s="191"/>
      <c r="C17" s="298">
        <v>6346</v>
      </c>
      <c r="D17" s="299"/>
      <c r="E17" s="298">
        <v>3126</v>
      </c>
      <c r="F17" s="299"/>
      <c r="G17" s="298">
        <v>1908</v>
      </c>
      <c r="H17" s="299"/>
      <c r="I17" s="298">
        <v>7699</v>
      </c>
      <c r="J17" s="299"/>
      <c r="K17" s="302">
        <v>38</v>
      </c>
      <c r="L17" s="303"/>
      <c r="M17" s="12">
        <v>5420</v>
      </c>
      <c r="N17" s="10">
        <v>1064</v>
      </c>
      <c r="O17" s="12">
        <v>10283</v>
      </c>
      <c r="P17" s="10">
        <v>2669</v>
      </c>
      <c r="Q17" s="10">
        <v>1860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391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107</v>
      </c>
      <c r="D25" s="259"/>
      <c r="E25" s="260" t="s">
        <v>397</v>
      </c>
      <c r="F25" s="261"/>
      <c r="G25" s="258">
        <v>0</v>
      </c>
      <c r="H25" s="259"/>
      <c r="I25" s="258">
        <v>187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18</v>
      </c>
      <c r="D26" s="259"/>
      <c r="E26" s="260" t="s">
        <v>25</v>
      </c>
      <c r="F26" s="261"/>
      <c r="G26" s="258">
        <v>0</v>
      </c>
      <c r="H26" s="259"/>
      <c r="I26" s="258">
        <v>78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60</v>
      </c>
      <c r="D27" s="259"/>
      <c r="E27" s="260" t="s">
        <v>327</v>
      </c>
      <c r="F27" s="261"/>
      <c r="G27" s="258">
        <v>6</v>
      </c>
      <c r="H27" s="259"/>
      <c r="I27" s="258">
        <v>55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388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3</v>
      </c>
    </row>
    <row r="29" spans="1:20" x14ac:dyDescent="0.3">
      <c r="A29" s="101" t="s">
        <v>16</v>
      </c>
      <c r="B29" s="102"/>
      <c r="C29" s="411" t="s">
        <v>392</v>
      </c>
      <c r="D29" s="412"/>
      <c r="E29" s="260" t="s">
        <v>383</v>
      </c>
      <c r="F29" s="261"/>
      <c r="G29" s="258">
        <v>0</v>
      </c>
      <c r="H29" s="259"/>
      <c r="I29" s="258">
        <v>22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2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52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3</v>
      </c>
      <c r="D32" s="259"/>
      <c r="E32" s="260" t="s">
        <v>285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391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398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400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339</v>
      </c>
      <c r="D40" s="259"/>
      <c r="E40" s="276" t="s">
        <v>396</v>
      </c>
      <c r="F40" s="277"/>
      <c r="G40" s="258">
        <v>6</v>
      </c>
      <c r="H40" s="259"/>
      <c r="I40" s="258" t="s">
        <v>213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399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393</v>
      </c>
      <c r="D42" s="271"/>
      <c r="E42" s="276" t="s">
        <v>394</v>
      </c>
      <c r="F42" s="277"/>
      <c r="G42" s="258">
        <v>0</v>
      </c>
      <c r="H42" s="259"/>
      <c r="I42" s="258" t="s">
        <v>395</v>
      </c>
      <c r="J42" s="259"/>
      <c r="K42" s="8" t="s">
        <v>378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0</v>
      </c>
      <c r="D44" s="271"/>
      <c r="E44" s="258" t="s">
        <v>386</v>
      </c>
      <c r="F44" s="259"/>
      <c r="G44" s="258">
        <v>0</v>
      </c>
      <c r="H44" s="259"/>
      <c r="I44" s="258">
        <v>0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367</v>
      </c>
      <c r="D49" s="146"/>
      <c r="E49" s="145" t="s">
        <v>376</v>
      </c>
      <c r="F49" s="146"/>
      <c r="G49" s="145" t="s">
        <v>382</v>
      </c>
      <c r="H49" s="146"/>
      <c r="I49" s="145" t="s">
        <v>391</v>
      </c>
      <c r="J49" s="146"/>
    </row>
    <row r="50" spans="1:11" x14ac:dyDescent="0.3">
      <c r="A50" s="284" t="s">
        <v>30</v>
      </c>
      <c r="B50" s="285"/>
      <c r="C50" s="300">
        <v>13450</v>
      </c>
      <c r="D50" s="301"/>
      <c r="E50" s="300">
        <v>13409</v>
      </c>
      <c r="F50" s="301"/>
      <c r="G50" s="300">
        <v>13379</v>
      </c>
      <c r="H50" s="301"/>
      <c r="I50" s="300">
        <v>13323</v>
      </c>
      <c r="J50" s="301"/>
    </row>
    <row r="51" spans="1:11" x14ac:dyDescent="0.3">
      <c r="A51" s="284" t="s">
        <v>31</v>
      </c>
      <c r="B51" s="285"/>
      <c r="C51" s="286">
        <v>8831</v>
      </c>
      <c r="D51" s="287"/>
      <c r="E51" s="286">
        <v>114863</v>
      </c>
      <c r="F51" s="287"/>
      <c r="G51" s="286">
        <v>8851</v>
      </c>
      <c r="H51" s="287"/>
      <c r="I51" s="286">
        <v>8865</v>
      </c>
      <c r="J51" s="287"/>
    </row>
    <row r="52" spans="1:11" x14ac:dyDescent="0.3">
      <c r="A52" s="284" t="s">
        <v>32</v>
      </c>
      <c r="B52" s="285"/>
      <c r="C52" s="300">
        <v>114665</v>
      </c>
      <c r="D52" s="301"/>
      <c r="E52" s="300">
        <v>8835</v>
      </c>
      <c r="F52" s="301"/>
      <c r="G52" s="300">
        <v>114978</v>
      </c>
      <c r="H52" s="301"/>
      <c r="I52" s="300">
        <v>114901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51145</v>
      </c>
      <c r="D54" s="301"/>
      <c r="E54" s="300">
        <v>50987</v>
      </c>
      <c r="F54" s="301"/>
      <c r="G54" s="300">
        <v>50955</v>
      </c>
      <c r="H54" s="301"/>
      <c r="I54" s="300">
        <v>50920</v>
      </c>
      <c r="J54" s="301"/>
    </row>
    <row r="55" spans="1:11" x14ac:dyDescent="0.3">
      <c r="A55" s="284" t="s">
        <v>53</v>
      </c>
      <c r="B55" s="285"/>
      <c r="C55" s="286">
        <v>4259</v>
      </c>
      <c r="D55" s="287"/>
      <c r="E55" s="286">
        <v>4293</v>
      </c>
      <c r="F55" s="287"/>
      <c r="G55" s="286">
        <v>4312</v>
      </c>
      <c r="H55" s="287"/>
      <c r="I55" s="286">
        <v>4342</v>
      </c>
      <c r="J55" s="287"/>
    </row>
    <row r="56" spans="1:11" x14ac:dyDescent="0.3">
      <c r="A56" s="284" t="s">
        <v>49</v>
      </c>
      <c r="B56" s="285"/>
      <c r="C56" s="300">
        <v>14086</v>
      </c>
      <c r="D56" s="301"/>
      <c r="E56" s="300">
        <v>14295</v>
      </c>
      <c r="F56" s="301"/>
      <c r="G56" s="300">
        <v>14506</v>
      </c>
      <c r="H56" s="301"/>
      <c r="I56" s="300">
        <v>14718</v>
      </c>
      <c r="J56" s="301"/>
      <c r="K56" s="11"/>
    </row>
    <row r="57" spans="1:11" x14ac:dyDescent="0.3">
      <c r="A57" s="284" t="s">
        <v>35</v>
      </c>
      <c r="B57" s="285"/>
      <c r="C57" s="286">
        <v>2022</v>
      </c>
      <c r="D57" s="287"/>
      <c r="E57" s="286">
        <v>2048</v>
      </c>
      <c r="F57" s="287"/>
      <c r="G57" s="286">
        <v>2105</v>
      </c>
      <c r="H57" s="287"/>
      <c r="I57" s="286">
        <v>2181</v>
      </c>
      <c r="J57" s="287"/>
    </row>
    <row r="58" spans="1:11" x14ac:dyDescent="0.3">
      <c r="A58" s="120" t="s">
        <v>36</v>
      </c>
      <c r="B58" s="121"/>
      <c r="C58" s="122">
        <f>SUM(C50:D57)</f>
        <v>208697</v>
      </c>
      <c r="D58" s="123"/>
      <c r="E58" s="122">
        <f>SUM(E50:F57)</f>
        <v>208969</v>
      </c>
      <c r="F58" s="123"/>
      <c r="G58" s="122">
        <f>SUM(G50:H57)</f>
        <v>209325</v>
      </c>
      <c r="H58" s="123"/>
      <c r="I58" s="122">
        <f>SUM(I50:J57)</f>
        <v>209489</v>
      </c>
      <c r="J58" s="123"/>
    </row>
    <row r="60" spans="1:11" x14ac:dyDescent="0.3">
      <c r="A60" s="124" t="s">
        <v>37</v>
      </c>
      <c r="B60" s="125"/>
      <c r="C60" s="130" t="s">
        <v>367</v>
      </c>
      <c r="D60" s="131"/>
      <c r="E60" s="130" t="s">
        <v>376</v>
      </c>
      <c r="F60" s="131"/>
      <c r="G60" s="130" t="s">
        <v>382</v>
      </c>
      <c r="H60" s="131"/>
      <c r="I60" s="130" t="s">
        <v>391</v>
      </c>
      <c r="J60" s="131"/>
    </row>
    <row r="61" spans="1:11" x14ac:dyDescent="0.3">
      <c r="A61" s="126"/>
      <c r="B61" s="127"/>
      <c r="C61" s="288">
        <v>137534</v>
      </c>
      <c r="D61" s="289"/>
      <c r="E61" s="288">
        <v>137467</v>
      </c>
      <c r="F61" s="289"/>
      <c r="G61" s="288">
        <v>137592</v>
      </c>
      <c r="H61" s="289"/>
      <c r="I61" s="288">
        <v>137728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239</v>
      </c>
      <c r="D66" s="115"/>
      <c r="E66" s="114" t="s">
        <v>293</v>
      </c>
      <c r="F66" s="115"/>
      <c r="G66" s="114" t="s">
        <v>330</v>
      </c>
      <c r="H66" s="115"/>
      <c r="I66" s="114" t="s">
        <v>368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27548</v>
      </c>
      <c r="D69" s="287"/>
      <c r="E69" s="286">
        <v>27824</v>
      </c>
      <c r="F69" s="287"/>
      <c r="G69" s="286">
        <v>28056</v>
      </c>
      <c r="H69" s="287"/>
      <c r="I69" s="286">
        <v>28330</v>
      </c>
      <c r="J69" s="287"/>
    </row>
    <row r="70" spans="1:10" x14ac:dyDescent="0.3">
      <c r="A70" s="101" t="s">
        <v>13</v>
      </c>
      <c r="B70" s="102"/>
      <c r="C70" s="286">
        <v>6721</v>
      </c>
      <c r="D70" s="287"/>
      <c r="E70" s="286">
        <v>6783</v>
      </c>
      <c r="F70" s="287"/>
      <c r="G70" s="286">
        <v>6827</v>
      </c>
      <c r="H70" s="287"/>
      <c r="I70" s="286">
        <v>6883</v>
      </c>
      <c r="J70" s="287"/>
    </row>
    <row r="71" spans="1:10" x14ac:dyDescent="0.3">
      <c r="A71" s="107" t="s">
        <v>14</v>
      </c>
      <c r="B71" s="108"/>
      <c r="C71" s="286">
        <v>5742</v>
      </c>
      <c r="D71" s="287"/>
      <c r="E71" s="286">
        <v>5813</v>
      </c>
      <c r="F71" s="287"/>
      <c r="G71" s="286">
        <v>5890</v>
      </c>
      <c r="H71" s="287"/>
      <c r="I71" s="286">
        <v>5939</v>
      </c>
      <c r="J71" s="287"/>
    </row>
    <row r="72" spans="1:10" x14ac:dyDescent="0.3">
      <c r="A72" s="107" t="s">
        <v>41</v>
      </c>
      <c r="B72" s="108"/>
      <c r="C72" s="286">
        <v>1228</v>
      </c>
      <c r="D72" s="287"/>
      <c r="E72" s="286">
        <v>1247</v>
      </c>
      <c r="F72" s="287"/>
      <c r="G72" s="286">
        <v>1283</v>
      </c>
      <c r="H72" s="287"/>
      <c r="I72" s="286">
        <v>1322</v>
      </c>
      <c r="J72" s="287"/>
    </row>
    <row r="73" spans="1:10" x14ac:dyDescent="0.3">
      <c r="A73" s="101" t="s">
        <v>15</v>
      </c>
      <c r="B73" s="102"/>
      <c r="C73" s="286">
        <v>4147</v>
      </c>
      <c r="D73" s="287"/>
      <c r="E73" s="286">
        <v>4242</v>
      </c>
      <c r="F73" s="287"/>
      <c r="G73" s="286">
        <v>4273</v>
      </c>
      <c r="H73" s="287"/>
      <c r="I73" s="286">
        <v>4325</v>
      </c>
      <c r="J73" s="287"/>
    </row>
    <row r="74" spans="1:10" x14ac:dyDescent="0.3">
      <c r="A74" s="107" t="s">
        <v>16</v>
      </c>
      <c r="B74" s="108"/>
      <c r="C74" s="286">
        <v>4580</v>
      </c>
      <c r="D74" s="287"/>
      <c r="E74" s="286">
        <v>4634</v>
      </c>
      <c r="F74" s="287"/>
      <c r="G74" s="286">
        <v>4667</v>
      </c>
      <c r="H74" s="287"/>
      <c r="I74" s="286">
        <v>4699</v>
      </c>
      <c r="J74" s="287"/>
    </row>
    <row r="75" spans="1:10" x14ac:dyDescent="0.3">
      <c r="A75" s="101" t="s">
        <v>17</v>
      </c>
      <c r="B75" s="102"/>
      <c r="C75" s="286">
        <v>6627</v>
      </c>
      <c r="D75" s="287"/>
      <c r="E75" s="286">
        <v>6774</v>
      </c>
      <c r="F75" s="287"/>
      <c r="G75" s="286">
        <v>6888</v>
      </c>
      <c r="H75" s="287"/>
      <c r="I75" s="286">
        <v>6930</v>
      </c>
      <c r="J75" s="287"/>
    </row>
    <row r="76" spans="1:10" x14ac:dyDescent="0.3">
      <c r="A76" s="107" t="s">
        <v>18</v>
      </c>
      <c r="B76" s="108"/>
      <c r="C76" s="286">
        <v>1435</v>
      </c>
      <c r="D76" s="287"/>
      <c r="E76" s="286">
        <v>1469</v>
      </c>
      <c r="F76" s="287"/>
      <c r="G76" s="286">
        <v>1489</v>
      </c>
      <c r="H76" s="287"/>
      <c r="I76" s="286">
        <v>1501</v>
      </c>
      <c r="J76" s="287"/>
    </row>
    <row r="77" spans="1:10" x14ac:dyDescent="0.3">
      <c r="A77" s="101" t="s">
        <v>19</v>
      </c>
      <c r="B77" s="102"/>
      <c r="C77" s="286">
        <v>5125</v>
      </c>
      <c r="D77" s="287"/>
      <c r="E77" s="286">
        <v>5202</v>
      </c>
      <c r="F77" s="287"/>
      <c r="G77" s="286">
        <v>5282</v>
      </c>
      <c r="H77" s="287"/>
      <c r="I77" s="286">
        <v>5384</v>
      </c>
      <c r="J77" s="287"/>
    </row>
    <row r="78" spans="1:10" x14ac:dyDescent="0.3">
      <c r="A78" s="105" t="s">
        <v>42</v>
      </c>
      <c r="B78" s="106"/>
      <c r="C78" s="103">
        <f>SUM(C69:C77)</f>
        <v>63153</v>
      </c>
      <c r="D78" s="104"/>
      <c r="E78" s="103">
        <f>SUM(E69:E77)</f>
        <v>63988</v>
      </c>
      <c r="F78" s="104"/>
      <c r="G78" s="103">
        <f>SUM(G69:G77)</f>
        <v>64655</v>
      </c>
      <c r="H78" s="104"/>
      <c r="I78" s="103">
        <f>SUM(I69:I77)</f>
        <v>65313</v>
      </c>
      <c r="J78" s="104"/>
    </row>
  </sheetData>
  <mergeCells count="312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78"/>
  <sheetViews>
    <sheetView workbookViewId="0">
      <selection activeCell="N10" sqref="N10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401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5196</v>
      </c>
      <c r="D5" s="299"/>
      <c r="E5" s="298">
        <v>2862</v>
      </c>
      <c r="F5" s="299"/>
      <c r="G5" s="298">
        <v>1908</v>
      </c>
      <c r="H5" s="299"/>
      <c r="I5" s="298">
        <v>6871</v>
      </c>
      <c r="J5" s="299"/>
      <c r="K5" s="302">
        <v>38</v>
      </c>
      <c r="L5" s="303"/>
      <c r="M5" s="12">
        <v>5160</v>
      </c>
      <c r="N5" s="10">
        <v>944</v>
      </c>
      <c r="O5" s="12">
        <v>10183</v>
      </c>
      <c r="P5" s="10">
        <v>2619</v>
      </c>
      <c r="Q5" s="10">
        <v>1780</v>
      </c>
    </row>
    <row r="6" spans="1:18" ht="13.5" customHeight="1" x14ac:dyDescent="0.3">
      <c r="A6" s="211" t="s">
        <v>11</v>
      </c>
      <c r="B6" s="212"/>
      <c r="C6" s="298">
        <v>759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378</v>
      </c>
      <c r="D7" s="240"/>
      <c r="E7" s="239">
        <v>86</v>
      </c>
      <c r="F7" s="240"/>
      <c r="G7" s="239">
        <v>6</v>
      </c>
      <c r="H7" s="240"/>
      <c r="I7" s="239">
        <v>406</v>
      </c>
      <c r="J7" s="240"/>
      <c r="K7" s="239">
        <v>85</v>
      </c>
      <c r="L7" s="240"/>
      <c r="M7" s="1">
        <v>530</v>
      </c>
      <c r="N7" s="1">
        <v>51</v>
      </c>
      <c r="O7" s="1">
        <v>1</v>
      </c>
      <c r="P7" s="1">
        <v>15</v>
      </c>
      <c r="Q7" s="1">
        <v>15</v>
      </c>
    </row>
    <row r="8" spans="1:18" x14ac:dyDescent="0.3">
      <c r="A8" s="101" t="s">
        <v>13</v>
      </c>
      <c r="B8" s="102"/>
      <c r="C8" s="239">
        <v>258</v>
      </c>
      <c r="D8" s="240"/>
      <c r="E8" s="239">
        <v>0</v>
      </c>
      <c r="F8" s="240"/>
      <c r="G8" s="239">
        <v>0</v>
      </c>
      <c r="H8" s="240"/>
      <c r="I8" s="239">
        <v>384</v>
      </c>
      <c r="J8" s="240"/>
      <c r="K8" s="239">
        <v>0</v>
      </c>
      <c r="L8" s="240"/>
      <c r="M8" s="1">
        <v>222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484</v>
      </c>
      <c r="D9" s="240"/>
      <c r="E9" s="239">
        <v>355</v>
      </c>
      <c r="F9" s="240"/>
      <c r="G9" s="239">
        <v>0</v>
      </c>
      <c r="H9" s="240"/>
      <c r="I9" s="239">
        <v>87</v>
      </c>
      <c r="J9" s="240"/>
      <c r="K9" s="239">
        <v>10</v>
      </c>
      <c r="L9" s="240"/>
      <c r="M9" s="1">
        <v>246</v>
      </c>
      <c r="N9" s="1">
        <v>80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210</v>
      </c>
      <c r="D10" s="240"/>
      <c r="E10" s="239">
        <v>30</v>
      </c>
      <c r="F10" s="240"/>
      <c r="G10" s="239">
        <v>62</v>
      </c>
      <c r="H10" s="240"/>
      <c r="I10" s="239">
        <v>80</v>
      </c>
      <c r="J10" s="240"/>
      <c r="K10" s="239">
        <v>0</v>
      </c>
      <c r="L10" s="240"/>
      <c r="M10" s="1">
        <v>113</v>
      </c>
      <c r="N10" s="1">
        <v>35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482</v>
      </c>
      <c r="D11" s="246"/>
      <c r="E11" s="239">
        <v>14</v>
      </c>
      <c r="F11" s="240"/>
      <c r="G11" s="239">
        <v>0</v>
      </c>
      <c r="H11" s="240"/>
      <c r="I11" s="239">
        <v>200</v>
      </c>
      <c r="J11" s="240"/>
      <c r="K11" s="239">
        <v>45</v>
      </c>
      <c r="L11" s="240"/>
      <c r="M11" s="1">
        <v>242</v>
      </c>
      <c r="N11" s="1">
        <v>212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288</v>
      </c>
      <c r="D12" s="246"/>
      <c r="E12" s="239">
        <v>0</v>
      </c>
      <c r="F12" s="240"/>
      <c r="G12" s="239">
        <v>0</v>
      </c>
      <c r="H12" s="240"/>
      <c r="I12" s="239">
        <v>375</v>
      </c>
      <c r="J12" s="240"/>
      <c r="K12" s="239">
        <v>0</v>
      </c>
      <c r="L12" s="240"/>
      <c r="M12" s="1">
        <v>301</v>
      </c>
      <c r="N12" s="1">
        <v>64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208</v>
      </c>
      <c r="D13" s="246"/>
      <c r="E13" s="239">
        <v>109</v>
      </c>
      <c r="F13" s="240"/>
      <c r="G13" s="239">
        <v>0</v>
      </c>
      <c r="H13" s="240"/>
      <c r="I13" s="239">
        <v>7</v>
      </c>
      <c r="J13" s="240"/>
      <c r="K13" s="239">
        <v>0</v>
      </c>
      <c r="L13" s="240"/>
      <c r="M13" s="1">
        <v>100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110</v>
      </c>
      <c r="D14" s="248"/>
      <c r="E14" s="247">
        <v>13</v>
      </c>
      <c r="F14" s="248"/>
      <c r="G14" s="247">
        <v>12</v>
      </c>
      <c r="H14" s="248"/>
      <c r="I14" s="239">
        <v>187</v>
      </c>
      <c r="J14" s="240"/>
      <c r="K14" s="247">
        <v>0</v>
      </c>
      <c r="L14" s="248"/>
      <c r="M14" s="2">
        <v>291</v>
      </c>
      <c r="N14" s="2">
        <v>18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2749</v>
      </c>
      <c r="P15" s="10">
        <v>2431</v>
      </c>
      <c r="Q15" s="10">
        <v>2145</v>
      </c>
    </row>
    <row r="16" spans="1:18" ht="15" thickBot="1" x14ac:dyDescent="0.35">
      <c r="A16" s="199" t="s">
        <v>20</v>
      </c>
      <c r="B16" s="200"/>
      <c r="C16" s="201">
        <f>SUM(C5:D15)</f>
        <v>8373</v>
      </c>
      <c r="D16" s="202"/>
      <c r="E16" s="201">
        <f>SUM(E5:F15)</f>
        <v>3469</v>
      </c>
      <c r="F16" s="202"/>
      <c r="G16" s="201">
        <f>SUM(G5:H15)</f>
        <v>1988</v>
      </c>
      <c r="H16" s="202"/>
      <c r="I16" s="201">
        <f>SUM(I5:J15)</f>
        <v>8597</v>
      </c>
      <c r="J16" s="202"/>
      <c r="K16" s="201">
        <f>SUM(K5:L15)</f>
        <v>178</v>
      </c>
      <c r="L16" s="202"/>
      <c r="M16" s="3">
        <f>SUM(M5:M15)</f>
        <v>7205</v>
      </c>
      <c r="N16" s="4">
        <f>SUM(N5:N15)</f>
        <v>1468</v>
      </c>
      <c r="O16" s="4">
        <f>SUM(O5:O15)</f>
        <v>13015</v>
      </c>
      <c r="P16" s="4">
        <f>SUM(P5:P15)</f>
        <v>5107</v>
      </c>
      <c r="Q16" s="5">
        <f>SUM(Q5:Q15)</f>
        <v>3948</v>
      </c>
    </row>
    <row r="17" spans="1:20" x14ac:dyDescent="0.3">
      <c r="A17" s="190" t="s">
        <v>21</v>
      </c>
      <c r="B17" s="191"/>
      <c r="C17" s="298">
        <v>5246</v>
      </c>
      <c r="D17" s="299"/>
      <c r="E17" s="298">
        <v>2862</v>
      </c>
      <c r="F17" s="299"/>
      <c r="G17" s="298">
        <v>1908</v>
      </c>
      <c r="H17" s="299"/>
      <c r="I17" s="298">
        <v>6819</v>
      </c>
      <c r="J17" s="299"/>
      <c r="K17" s="302">
        <v>38</v>
      </c>
      <c r="L17" s="303"/>
      <c r="M17" s="12">
        <v>5160</v>
      </c>
      <c r="N17" s="10">
        <v>944</v>
      </c>
      <c r="O17" s="12">
        <v>10183</v>
      </c>
      <c r="P17" s="10">
        <v>2619</v>
      </c>
      <c r="Q17" s="10">
        <v>2619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401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74</v>
      </c>
      <c r="D25" s="259"/>
      <c r="E25" s="260" t="s">
        <v>409</v>
      </c>
      <c r="F25" s="261"/>
      <c r="G25" s="258">
        <v>0</v>
      </c>
      <c r="H25" s="259"/>
      <c r="I25" s="258">
        <v>127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15</v>
      </c>
      <c r="D26" s="259"/>
      <c r="E26" s="260" t="s">
        <v>25</v>
      </c>
      <c r="F26" s="261"/>
      <c r="G26" s="258">
        <v>0</v>
      </c>
      <c r="H26" s="259"/>
      <c r="I26" s="258">
        <v>84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55</v>
      </c>
      <c r="D27" s="259"/>
      <c r="E27" s="260" t="s">
        <v>327</v>
      </c>
      <c r="F27" s="261"/>
      <c r="G27" s="258">
        <v>5</v>
      </c>
      <c r="H27" s="259"/>
      <c r="I27" s="258">
        <v>72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407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3</v>
      </c>
    </row>
    <row r="29" spans="1:20" x14ac:dyDescent="0.3">
      <c r="A29" s="101" t="s">
        <v>16</v>
      </c>
      <c r="B29" s="102"/>
      <c r="C29" s="411" t="s">
        <v>392</v>
      </c>
      <c r="D29" s="412"/>
      <c r="E29" s="260" t="s">
        <v>383</v>
      </c>
      <c r="F29" s="261"/>
      <c r="G29" s="258">
        <v>0</v>
      </c>
      <c r="H29" s="259"/>
      <c r="I29" s="258">
        <v>25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5</v>
      </c>
      <c r="D30" s="271"/>
      <c r="E30" s="258" t="s">
        <v>90</v>
      </c>
      <c r="F30" s="259"/>
      <c r="G30" s="258">
        <v>0</v>
      </c>
      <c r="H30" s="259"/>
      <c r="I30" s="258">
        <v>4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3</v>
      </c>
      <c r="D32" s="259"/>
      <c r="E32" s="260" t="s">
        <v>285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401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69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406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364</v>
      </c>
      <c r="D40" s="259"/>
      <c r="E40" s="276" t="s">
        <v>105</v>
      </c>
      <c r="F40" s="277"/>
      <c r="G40" s="258">
        <v>12</v>
      </c>
      <c r="H40" s="259"/>
      <c r="I40" s="258" t="s">
        <v>277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408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403</v>
      </c>
      <c r="D42" s="271"/>
      <c r="E42" s="276" t="s">
        <v>404</v>
      </c>
      <c r="F42" s="277"/>
      <c r="G42" s="258">
        <v>0</v>
      </c>
      <c r="H42" s="259"/>
      <c r="I42" s="258" t="s">
        <v>373</v>
      </c>
      <c r="J42" s="259"/>
      <c r="K42" s="8" t="s">
        <v>405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6</v>
      </c>
      <c r="D44" s="271"/>
      <c r="E44" s="258" t="s">
        <v>410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280"/>
      <c r="J48" s="146"/>
    </row>
    <row r="49" spans="1:11" x14ac:dyDescent="0.3">
      <c r="A49" s="143" t="s">
        <v>29</v>
      </c>
      <c r="B49" s="144"/>
      <c r="C49" s="145" t="s">
        <v>376</v>
      </c>
      <c r="D49" s="146"/>
      <c r="E49" s="145" t="s">
        <v>382</v>
      </c>
      <c r="F49" s="146"/>
      <c r="G49" s="145" t="s">
        <v>391</v>
      </c>
      <c r="H49" s="146"/>
      <c r="I49" s="145" t="s">
        <v>401</v>
      </c>
      <c r="J49" s="146"/>
    </row>
    <row r="50" spans="1:11" x14ac:dyDescent="0.3">
      <c r="A50" s="284" t="s">
        <v>30</v>
      </c>
      <c r="B50" s="285"/>
      <c r="C50" s="300">
        <v>13409</v>
      </c>
      <c r="D50" s="301"/>
      <c r="E50" s="300">
        <v>13379</v>
      </c>
      <c r="F50" s="301"/>
      <c r="G50" s="300">
        <v>13323</v>
      </c>
      <c r="H50" s="301"/>
      <c r="I50" s="300">
        <v>13283</v>
      </c>
      <c r="J50" s="301"/>
    </row>
    <row r="51" spans="1:11" x14ac:dyDescent="0.3">
      <c r="A51" s="284" t="s">
        <v>31</v>
      </c>
      <c r="B51" s="285"/>
      <c r="C51" s="286">
        <v>114863</v>
      </c>
      <c r="D51" s="287"/>
      <c r="E51" s="286">
        <v>8851</v>
      </c>
      <c r="F51" s="287"/>
      <c r="G51" s="286">
        <v>8865</v>
      </c>
      <c r="H51" s="287"/>
      <c r="I51" s="286">
        <v>8875</v>
      </c>
      <c r="J51" s="287"/>
    </row>
    <row r="52" spans="1:11" x14ac:dyDescent="0.3">
      <c r="A52" s="284" t="s">
        <v>32</v>
      </c>
      <c r="B52" s="285"/>
      <c r="C52" s="300">
        <v>8835</v>
      </c>
      <c r="D52" s="301"/>
      <c r="E52" s="300">
        <v>114978</v>
      </c>
      <c r="F52" s="301"/>
      <c r="G52" s="300">
        <v>114901</v>
      </c>
      <c r="H52" s="301"/>
      <c r="I52" s="300">
        <v>114771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50987</v>
      </c>
      <c r="D54" s="301"/>
      <c r="E54" s="300">
        <v>50955</v>
      </c>
      <c r="F54" s="301"/>
      <c r="G54" s="300">
        <v>50920</v>
      </c>
      <c r="H54" s="301"/>
      <c r="I54" s="300">
        <v>50840</v>
      </c>
      <c r="J54" s="301"/>
    </row>
    <row r="55" spans="1:11" x14ac:dyDescent="0.3">
      <c r="A55" s="284" t="s">
        <v>53</v>
      </c>
      <c r="B55" s="285"/>
      <c r="C55" s="286">
        <v>4293</v>
      </c>
      <c r="D55" s="287"/>
      <c r="E55" s="286">
        <v>4312</v>
      </c>
      <c r="F55" s="287"/>
      <c r="G55" s="286">
        <v>4342</v>
      </c>
      <c r="H55" s="287"/>
      <c r="I55" s="286">
        <v>4350</v>
      </c>
      <c r="J55" s="287"/>
    </row>
    <row r="56" spans="1:11" x14ac:dyDescent="0.3">
      <c r="A56" s="284" t="s">
        <v>49</v>
      </c>
      <c r="B56" s="285"/>
      <c r="C56" s="300">
        <v>14295</v>
      </c>
      <c r="D56" s="301"/>
      <c r="E56" s="300">
        <v>14506</v>
      </c>
      <c r="F56" s="301"/>
      <c r="G56" s="300">
        <v>14718</v>
      </c>
      <c r="H56" s="301"/>
      <c r="I56" s="300">
        <v>14911</v>
      </c>
      <c r="J56" s="301"/>
      <c r="K56" s="11"/>
    </row>
    <row r="57" spans="1:11" x14ac:dyDescent="0.3">
      <c r="A57" s="284" t="s">
        <v>35</v>
      </c>
      <c r="B57" s="285"/>
      <c r="C57" s="286">
        <v>2048</v>
      </c>
      <c r="D57" s="287"/>
      <c r="E57" s="286">
        <v>2105</v>
      </c>
      <c r="F57" s="287"/>
      <c r="G57" s="286">
        <v>2181</v>
      </c>
      <c r="H57" s="287"/>
      <c r="I57" s="286">
        <v>2255</v>
      </c>
      <c r="J57" s="287"/>
    </row>
    <row r="58" spans="1:11" x14ac:dyDescent="0.3">
      <c r="A58" s="120" t="s">
        <v>36</v>
      </c>
      <c r="B58" s="121"/>
      <c r="C58" s="122">
        <f>SUM(C50:D57)</f>
        <v>208969</v>
      </c>
      <c r="D58" s="123"/>
      <c r="E58" s="122">
        <f>SUM(E50:F57)</f>
        <v>209325</v>
      </c>
      <c r="F58" s="123"/>
      <c r="G58" s="122">
        <f>SUM(G50:H57)</f>
        <v>209489</v>
      </c>
      <c r="H58" s="123"/>
      <c r="I58" s="122">
        <f>SUM(I50:J57)</f>
        <v>209524</v>
      </c>
      <c r="J58" s="123"/>
    </row>
    <row r="60" spans="1:11" x14ac:dyDescent="0.3">
      <c r="A60" s="124" t="s">
        <v>37</v>
      </c>
      <c r="B60" s="125"/>
      <c r="C60" s="130" t="s">
        <v>376</v>
      </c>
      <c r="D60" s="131"/>
      <c r="E60" s="130" t="s">
        <v>382</v>
      </c>
      <c r="F60" s="131"/>
      <c r="G60" s="130" t="s">
        <v>391</v>
      </c>
      <c r="H60" s="131"/>
      <c r="I60" s="130" t="s">
        <v>401</v>
      </c>
      <c r="J60" s="131"/>
    </row>
    <row r="61" spans="1:11" x14ac:dyDescent="0.3">
      <c r="A61" s="126"/>
      <c r="B61" s="127"/>
      <c r="C61" s="288">
        <v>137467</v>
      </c>
      <c r="D61" s="289"/>
      <c r="E61" s="288">
        <v>137592</v>
      </c>
      <c r="F61" s="289"/>
      <c r="G61" s="288">
        <v>137728</v>
      </c>
      <c r="H61" s="289"/>
      <c r="I61" s="288">
        <v>137777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292"/>
      <c r="J65" s="293"/>
    </row>
    <row r="66" spans="1:10" ht="15" customHeight="1" x14ac:dyDescent="0.3">
      <c r="A66" s="112" t="s">
        <v>9</v>
      </c>
      <c r="B66" s="113"/>
      <c r="C66" s="114" t="s">
        <v>293</v>
      </c>
      <c r="D66" s="115"/>
      <c r="E66" s="114" t="s">
        <v>330</v>
      </c>
      <c r="F66" s="115"/>
      <c r="G66" s="114" t="s">
        <v>368</v>
      </c>
      <c r="H66" s="115"/>
      <c r="I66" s="114" t="s">
        <v>402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27824</v>
      </c>
      <c r="D69" s="287"/>
      <c r="E69" s="286">
        <v>28056</v>
      </c>
      <c r="F69" s="287"/>
      <c r="G69" s="286">
        <v>28330</v>
      </c>
      <c r="H69" s="287"/>
      <c r="I69" s="286">
        <v>28575</v>
      </c>
      <c r="J69" s="287"/>
    </row>
    <row r="70" spans="1:10" x14ac:dyDescent="0.3">
      <c r="A70" s="101" t="s">
        <v>13</v>
      </c>
      <c r="B70" s="102"/>
      <c r="C70" s="286">
        <v>6783</v>
      </c>
      <c r="D70" s="287"/>
      <c r="E70" s="286">
        <v>6827</v>
      </c>
      <c r="F70" s="287"/>
      <c r="G70" s="286">
        <v>6883</v>
      </c>
      <c r="H70" s="287"/>
      <c r="I70" s="286">
        <v>6940</v>
      </c>
      <c r="J70" s="287"/>
    </row>
    <row r="71" spans="1:10" x14ac:dyDescent="0.3">
      <c r="A71" s="107" t="s">
        <v>14</v>
      </c>
      <c r="B71" s="108"/>
      <c r="C71" s="286">
        <v>5813</v>
      </c>
      <c r="D71" s="287"/>
      <c r="E71" s="286">
        <v>5890</v>
      </c>
      <c r="F71" s="287"/>
      <c r="G71" s="286">
        <v>5939</v>
      </c>
      <c r="H71" s="287"/>
      <c r="I71" s="286">
        <v>6008</v>
      </c>
      <c r="J71" s="287"/>
    </row>
    <row r="72" spans="1:10" x14ac:dyDescent="0.3">
      <c r="A72" s="107" t="s">
        <v>41</v>
      </c>
      <c r="B72" s="108"/>
      <c r="C72" s="286">
        <v>1247</v>
      </c>
      <c r="D72" s="287"/>
      <c r="E72" s="286">
        <v>1283</v>
      </c>
      <c r="F72" s="287"/>
      <c r="G72" s="286">
        <v>1322</v>
      </c>
      <c r="H72" s="287"/>
      <c r="I72" s="286">
        <v>1349</v>
      </c>
      <c r="J72" s="287"/>
    </row>
    <row r="73" spans="1:10" x14ac:dyDescent="0.3">
      <c r="A73" s="101" t="s">
        <v>15</v>
      </c>
      <c r="B73" s="102"/>
      <c r="C73" s="286">
        <v>4242</v>
      </c>
      <c r="D73" s="287"/>
      <c r="E73" s="286">
        <v>4273</v>
      </c>
      <c r="F73" s="287"/>
      <c r="G73" s="286">
        <v>4325</v>
      </c>
      <c r="H73" s="287"/>
      <c r="I73" s="286">
        <v>4391</v>
      </c>
      <c r="J73" s="287"/>
    </row>
    <row r="74" spans="1:10" x14ac:dyDescent="0.3">
      <c r="A74" s="107" t="s">
        <v>16</v>
      </c>
      <c r="B74" s="108"/>
      <c r="C74" s="286">
        <v>4634</v>
      </c>
      <c r="D74" s="287"/>
      <c r="E74" s="286">
        <v>4667</v>
      </c>
      <c r="F74" s="287"/>
      <c r="G74" s="286">
        <v>4699</v>
      </c>
      <c r="H74" s="287"/>
      <c r="I74" s="286">
        <v>4707</v>
      </c>
      <c r="J74" s="287"/>
    </row>
    <row r="75" spans="1:10" x14ac:dyDescent="0.3">
      <c r="A75" s="101" t="s">
        <v>17</v>
      </c>
      <c r="B75" s="102"/>
      <c r="C75" s="286">
        <v>6774</v>
      </c>
      <c r="D75" s="287"/>
      <c r="E75" s="286">
        <v>6888</v>
      </c>
      <c r="F75" s="287"/>
      <c r="G75" s="286">
        <v>6930</v>
      </c>
      <c r="H75" s="287"/>
      <c r="I75" s="286">
        <v>6987</v>
      </c>
      <c r="J75" s="287"/>
    </row>
    <row r="76" spans="1:10" x14ac:dyDescent="0.3">
      <c r="A76" s="107" t="s">
        <v>18</v>
      </c>
      <c r="B76" s="108"/>
      <c r="C76" s="286">
        <v>1469</v>
      </c>
      <c r="D76" s="287"/>
      <c r="E76" s="286">
        <v>1489</v>
      </c>
      <c r="F76" s="287"/>
      <c r="G76" s="286">
        <v>1501</v>
      </c>
      <c r="H76" s="287"/>
      <c r="I76" s="286">
        <v>1514</v>
      </c>
      <c r="J76" s="287"/>
    </row>
    <row r="77" spans="1:10" x14ac:dyDescent="0.3">
      <c r="A77" s="101" t="s">
        <v>19</v>
      </c>
      <c r="B77" s="102"/>
      <c r="C77" s="286">
        <v>5202</v>
      </c>
      <c r="D77" s="287"/>
      <c r="E77" s="286">
        <v>5282</v>
      </c>
      <c r="F77" s="287"/>
      <c r="G77" s="286">
        <v>5384</v>
      </c>
      <c r="H77" s="287"/>
      <c r="I77" s="286">
        <v>5510</v>
      </c>
      <c r="J77" s="287"/>
    </row>
    <row r="78" spans="1:10" x14ac:dyDescent="0.3">
      <c r="A78" s="105" t="s">
        <v>42</v>
      </c>
      <c r="B78" s="106"/>
      <c r="C78" s="103">
        <f>SUM(C69:C77)</f>
        <v>63988</v>
      </c>
      <c r="D78" s="104"/>
      <c r="E78" s="103">
        <f>SUM(E69:E77)</f>
        <v>64655</v>
      </c>
      <c r="F78" s="104"/>
      <c r="G78" s="103">
        <f>SUM(G69:G77)</f>
        <v>65313</v>
      </c>
      <c r="H78" s="104"/>
      <c r="I78" s="103">
        <f>SUM(I69:I77)</f>
        <v>65981</v>
      </c>
      <c r="J78" s="104"/>
    </row>
  </sheetData>
  <mergeCells count="312"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C61:D62"/>
    <mergeCell ref="E61:F62"/>
    <mergeCell ref="G61:H62"/>
    <mergeCell ref="I61:J62"/>
    <mergeCell ref="A65:H65"/>
    <mergeCell ref="I65:J65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H48"/>
    <mergeCell ref="I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78"/>
  <sheetViews>
    <sheetView workbookViewId="0">
      <selection activeCell="C12" sqref="C12:Q12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411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4846</v>
      </c>
      <c r="D5" s="299"/>
      <c r="E5" s="298">
        <v>2762</v>
      </c>
      <c r="F5" s="299"/>
      <c r="G5" s="298">
        <v>1908</v>
      </c>
      <c r="H5" s="299"/>
      <c r="I5" s="298">
        <v>6771</v>
      </c>
      <c r="J5" s="299"/>
      <c r="K5" s="302">
        <v>38</v>
      </c>
      <c r="L5" s="303"/>
      <c r="M5" s="12">
        <v>5120</v>
      </c>
      <c r="N5" s="10">
        <v>944</v>
      </c>
      <c r="O5" s="12">
        <v>10033</v>
      </c>
      <c r="P5" s="10">
        <v>2539</v>
      </c>
      <c r="Q5" s="10">
        <v>1700</v>
      </c>
    </row>
    <row r="6" spans="1:18" ht="13.5" customHeight="1" x14ac:dyDescent="0.3">
      <c r="A6" s="211" t="s">
        <v>11</v>
      </c>
      <c r="B6" s="212"/>
      <c r="C6" s="298">
        <v>759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453</v>
      </c>
      <c r="D7" s="240"/>
      <c r="E7" s="239">
        <v>25</v>
      </c>
      <c r="F7" s="240"/>
      <c r="G7" s="239">
        <v>6</v>
      </c>
      <c r="H7" s="240"/>
      <c r="I7" s="239">
        <v>337</v>
      </c>
      <c r="J7" s="240"/>
      <c r="K7" s="239">
        <v>83</v>
      </c>
      <c r="L7" s="240"/>
      <c r="M7" s="1">
        <v>409</v>
      </c>
      <c r="N7" s="1">
        <v>46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223</v>
      </c>
      <c r="D8" s="240"/>
      <c r="E8" s="239">
        <v>0</v>
      </c>
      <c r="F8" s="240"/>
      <c r="G8" s="239">
        <v>0</v>
      </c>
      <c r="H8" s="240"/>
      <c r="I8" s="239">
        <v>331</v>
      </c>
      <c r="J8" s="240"/>
      <c r="K8" s="239">
        <v>0</v>
      </c>
      <c r="L8" s="240"/>
      <c r="M8" s="1">
        <v>203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205</v>
      </c>
      <c r="D9" s="240"/>
      <c r="E9" s="239">
        <v>305</v>
      </c>
      <c r="F9" s="240"/>
      <c r="G9" s="239">
        <v>0</v>
      </c>
      <c r="H9" s="240"/>
      <c r="I9" s="239">
        <v>86</v>
      </c>
      <c r="J9" s="240"/>
      <c r="K9" s="239">
        <v>5</v>
      </c>
      <c r="L9" s="240"/>
      <c r="M9" s="1">
        <v>192</v>
      </c>
      <c r="N9" s="1">
        <v>79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163</v>
      </c>
      <c r="D10" s="240"/>
      <c r="E10" s="239">
        <v>28</v>
      </c>
      <c r="F10" s="240"/>
      <c r="G10" s="239">
        <v>62</v>
      </c>
      <c r="H10" s="240"/>
      <c r="I10" s="239">
        <v>222</v>
      </c>
      <c r="J10" s="240"/>
      <c r="K10" s="239">
        <v>0</v>
      </c>
      <c r="L10" s="240"/>
      <c r="M10" s="1">
        <v>175</v>
      </c>
      <c r="N10" s="1">
        <v>120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452</v>
      </c>
      <c r="D11" s="246"/>
      <c r="E11" s="239">
        <v>14</v>
      </c>
      <c r="F11" s="240"/>
      <c r="G11" s="239">
        <v>0</v>
      </c>
      <c r="H11" s="240"/>
      <c r="I11" s="239">
        <v>184</v>
      </c>
      <c r="J11" s="240"/>
      <c r="K11" s="239">
        <v>41</v>
      </c>
      <c r="L11" s="240"/>
      <c r="M11" s="1">
        <v>233</v>
      </c>
      <c r="N11" s="1">
        <v>210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253</v>
      </c>
      <c r="D12" s="246"/>
      <c r="E12" s="239">
        <v>0</v>
      </c>
      <c r="F12" s="240"/>
      <c r="G12" s="239">
        <v>0</v>
      </c>
      <c r="H12" s="240"/>
      <c r="I12" s="239">
        <v>334</v>
      </c>
      <c r="J12" s="240"/>
      <c r="K12" s="239">
        <v>0</v>
      </c>
      <c r="L12" s="240"/>
      <c r="M12" s="1">
        <v>271</v>
      </c>
      <c r="N12" s="1">
        <v>62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208</v>
      </c>
      <c r="D13" s="246"/>
      <c r="E13" s="239">
        <v>99</v>
      </c>
      <c r="F13" s="240"/>
      <c r="G13" s="239">
        <v>0</v>
      </c>
      <c r="H13" s="240"/>
      <c r="I13" s="239">
        <v>7</v>
      </c>
      <c r="J13" s="240"/>
      <c r="K13" s="239">
        <v>0</v>
      </c>
      <c r="L13" s="240"/>
      <c r="M13" s="1">
        <v>97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290</v>
      </c>
      <c r="D14" s="248"/>
      <c r="E14" s="247">
        <v>13</v>
      </c>
      <c r="F14" s="248"/>
      <c r="G14" s="247">
        <v>12</v>
      </c>
      <c r="H14" s="248"/>
      <c r="I14" s="239">
        <v>256</v>
      </c>
      <c r="J14" s="240"/>
      <c r="K14" s="247">
        <v>0</v>
      </c>
      <c r="L14" s="248"/>
      <c r="M14" s="2">
        <v>245</v>
      </c>
      <c r="N14" s="2">
        <v>7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2635</v>
      </c>
      <c r="P15" s="10">
        <v>2355</v>
      </c>
      <c r="Q15" s="10">
        <v>2050</v>
      </c>
    </row>
    <row r="16" spans="1:18" ht="15" thickBot="1" x14ac:dyDescent="0.35">
      <c r="A16" s="199" t="s">
        <v>20</v>
      </c>
      <c r="B16" s="200"/>
      <c r="C16" s="201">
        <f>SUM(C5:D15)</f>
        <v>7852</v>
      </c>
      <c r="D16" s="202"/>
      <c r="E16" s="201">
        <f>SUM(E5:F15)</f>
        <v>3246</v>
      </c>
      <c r="F16" s="202"/>
      <c r="G16" s="201">
        <f>SUM(G5:H15)</f>
        <v>1988</v>
      </c>
      <c r="H16" s="202"/>
      <c r="I16" s="201">
        <f>SUM(I5:J15)</f>
        <v>8528</v>
      </c>
      <c r="J16" s="202"/>
      <c r="K16" s="201">
        <f>SUM(K5:L15)</f>
        <v>167</v>
      </c>
      <c r="L16" s="202"/>
      <c r="M16" s="3">
        <f>SUM(M5:M15)</f>
        <v>6945</v>
      </c>
      <c r="N16" s="4">
        <f>SUM(N5:N15)</f>
        <v>1532</v>
      </c>
      <c r="O16" s="4">
        <f>SUM(O5:O15)</f>
        <v>12750</v>
      </c>
      <c r="P16" s="4">
        <f>SUM(P5:P15)</f>
        <v>4936</v>
      </c>
      <c r="Q16" s="5">
        <f>SUM(Q5:Q15)</f>
        <v>3758</v>
      </c>
    </row>
    <row r="17" spans="1:20" x14ac:dyDescent="0.3">
      <c r="A17" s="190" t="s">
        <v>21</v>
      </c>
      <c r="B17" s="191"/>
      <c r="C17" s="298">
        <v>4846</v>
      </c>
      <c r="D17" s="299"/>
      <c r="E17" s="298">
        <v>2762</v>
      </c>
      <c r="F17" s="299"/>
      <c r="G17" s="298">
        <v>1908</v>
      </c>
      <c r="H17" s="299"/>
      <c r="I17" s="298">
        <v>6771</v>
      </c>
      <c r="J17" s="299"/>
      <c r="K17" s="302">
        <v>38</v>
      </c>
      <c r="L17" s="303"/>
      <c r="M17" s="12">
        <v>5120</v>
      </c>
      <c r="N17" s="10">
        <v>944</v>
      </c>
      <c r="O17" s="12">
        <v>10033</v>
      </c>
      <c r="P17" s="10">
        <v>2539</v>
      </c>
      <c r="Q17" s="10">
        <v>1700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411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55</v>
      </c>
      <c r="D25" s="259"/>
      <c r="E25" s="260" t="s">
        <v>118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16</v>
      </c>
      <c r="D26" s="259"/>
      <c r="E26" s="260" t="s">
        <v>25</v>
      </c>
      <c r="F26" s="261"/>
      <c r="G26" s="258">
        <v>0</v>
      </c>
      <c r="H26" s="259"/>
      <c r="I26" s="258">
        <v>87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73</v>
      </c>
      <c r="D27" s="259"/>
      <c r="E27" s="260" t="s">
        <v>327</v>
      </c>
      <c r="F27" s="261"/>
      <c r="G27" s="258">
        <v>6</v>
      </c>
      <c r="H27" s="259"/>
      <c r="I27" s="258">
        <v>61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415</v>
      </c>
      <c r="D28" s="261"/>
      <c r="E28" s="260" t="s">
        <v>25</v>
      </c>
      <c r="F28" s="261"/>
      <c r="G28" s="258">
        <v>0</v>
      </c>
      <c r="H28" s="259"/>
      <c r="I28" s="258">
        <v>8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392</v>
      </c>
      <c r="D29" s="412"/>
      <c r="E29" s="260" t="s">
        <v>383</v>
      </c>
      <c r="F29" s="261"/>
      <c r="G29" s="258">
        <v>0</v>
      </c>
      <c r="H29" s="259"/>
      <c r="I29" s="258">
        <v>25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8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3</v>
      </c>
      <c r="D32" s="259"/>
      <c r="E32" s="260" t="s">
        <v>285</v>
      </c>
      <c r="F32" s="261"/>
      <c r="G32" s="258">
        <v>0</v>
      </c>
      <c r="H32" s="259"/>
      <c r="I32" s="258">
        <v>0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411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413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414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417</v>
      </c>
      <c r="D40" s="259"/>
      <c r="E40" s="276" t="s">
        <v>418</v>
      </c>
      <c r="F40" s="277"/>
      <c r="G40" s="258">
        <v>6</v>
      </c>
      <c r="H40" s="259"/>
      <c r="I40" s="258" t="s">
        <v>277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416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403</v>
      </c>
      <c r="D42" s="271"/>
      <c r="E42" s="276" t="s">
        <v>404</v>
      </c>
      <c r="F42" s="277"/>
      <c r="G42" s="258">
        <v>0</v>
      </c>
      <c r="H42" s="259"/>
      <c r="I42" s="258" t="s">
        <v>412</v>
      </c>
      <c r="J42" s="259"/>
      <c r="K42" s="8" t="s">
        <v>405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8</v>
      </c>
      <c r="D44" s="271"/>
      <c r="E44" s="258" t="s">
        <v>410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382</v>
      </c>
      <c r="D49" s="146"/>
      <c r="E49" s="145" t="s">
        <v>391</v>
      </c>
      <c r="F49" s="146"/>
      <c r="G49" s="145" t="s">
        <v>401</v>
      </c>
      <c r="H49" s="146"/>
      <c r="I49" s="145" t="s">
        <v>411</v>
      </c>
      <c r="J49" s="146"/>
    </row>
    <row r="50" spans="1:11" x14ac:dyDescent="0.3">
      <c r="A50" s="284" t="s">
        <v>30</v>
      </c>
      <c r="B50" s="285"/>
      <c r="C50" s="300">
        <v>13379</v>
      </c>
      <c r="D50" s="301"/>
      <c r="E50" s="300">
        <v>13323</v>
      </c>
      <c r="F50" s="301"/>
      <c r="G50" s="300">
        <v>13283</v>
      </c>
      <c r="H50" s="301"/>
      <c r="I50" s="300">
        <v>13223</v>
      </c>
      <c r="J50" s="301"/>
    </row>
    <row r="51" spans="1:11" x14ac:dyDescent="0.3">
      <c r="A51" s="284" t="s">
        <v>31</v>
      </c>
      <c r="B51" s="285"/>
      <c r="C51" s="286">
        <v>8851</v>
      </c>
      <c r="D51" s="287"/>
      <c r="E51" s="286">
        <v>8865</v>
      </c>
      <c r="F51" s="287"/>
      <c r="G51" s="286">
        <v>8875</v>
      </c>
      <c r="H51" s="287"/>
      <c r="I51" s="286">
        <v>8885</v>
      </c>
      <c r="J51" s="287"/>
    </row>
    <row r="52" spans="1:11" x14ac:dyDescent="0.3">
      <c r="A52" s="284" t="s">
        <v>32</v>
      </c>
      <c r="B52" s="285"/>
      <c r="C52" s="300">
        <v>114978</v>
      </c>
      <c r="D52" s="301"/>
      <c r="E52" s="300">
        <v>114901</v>
      </c>
      <c r="F52" s="301"/>
      <c r="G52" s="300">
        <v>114771</v>
      </c>
      <c r="H52" s="301"/>
      <c r="I52" s="300">
        <v>114619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240</v>
      </c>
      <c r="J53" s="287"/>
    </row>
    <row r="54" spans="1:11" x14ac:dyDescent="0.3">
      <c r="A54" s="284" t="s">
        <v>34</v>
      </c>
      <c r="B54" s="285"/>
      <c r="C54" s="300">
        <v>50955</v>
      </c>
      <c r="D54" s="301"/>
      <c r="E54" s="300">
        <v>50920</v>
      </c>
      <c r="F54" s="301"/>
      <c r="G54" s="300">
        <v>50840</v>
      </c>
      <c r="H54" s="301"/>
      <c r="I54" s="300">
        <v>50773</v>
      </c>
      <c r="J54" s="301"/>
    </row>
    <row r="55" spans="1:11" x14ac:dyDescent="0.3">
      <c r="A55" s="284" t="s">
        <v>53</v>
      </c>
      <c r="B55" s="285"/>
      <c r="C55" s="286">
        <v>4312</v>
      </c>
      <c r="D55" s="287"/>
      <c r="E55" s="286">
        <v>4342</v>
      </c>
      <c r="F55" s="287"/>
      <c r="G55" s="286">
        <v>4350</v>
      </c>
      <c r="H55" s="287"/>
      <c r="I55" s="286">
        <v>4356</v>
      </c>
      <c r="J55" s="287"/>
    </row>
    <row r="56" spans="1:11" x14ac:dyDescent="0.3">
      <c r="A56" s="284" t="s">
        <v>49</v>
      </c>
      <c r="B56" s="285"/>
      <c r="C56" s="300">
        <v>14506</v>
      </c>
      <c r="D56" s="301"/>
      <c r="E56" s="300">
        <v>14718</v>
      </c>
      <c r="F56" s="301"/>
      <c r="G56" s="300">
        <v>14911</v>
      </c>
      <c r="H56" s="301"/>
      <c r="I56" s="300">
        <v>15101</v>
      </c>
      <c r="J56" s="301"/>
      <c r="K56" s="11"/>
    </row>
    <row r="57" spans="1:11" x14ac:dyDescent="0.3">
      <c r="A57" s="284" t="s">
        <v>35</v>
      </c>
      <c r="B57" s="285"/>
      <c r="C57" s="286">
        <v>2105</v>
      </c>
      <c r="D57" s="287"/>
      <c r="E57" s="286">
        <v>2181</v>
      </c>
      <c r="F57" s="287"/>
      <c r="G57" s="286">
        <v>2255</v>
      </c>
      <c r="H57" s="287"/>
      <c r="I57" s="286">
        <v>2352</v>
      </c>
      <c r="J57" s="287"/>
    </row>
    <row r="58" spans="1:11" x14ac:dyDescent="0.3">
      <c r="A58" s="120" t="s">
        <v>36</v>
      </c>
      <c r="B58" s="121"/>
      <c r="C58" s="122">
        <f>SUM(C50:D57)</f>
        <v>209325</v>
      </c>
      <c r="D58" s="123"/>
      <c r="E58" s="122">
        <f>SUM(E50:F57)</f>
        <v>209489</v>
      </c>
      <c r="F58" s="123"/>
      <c r="G58" s="122">
        <f>SUM(G50:H57)</f>
        <v>209524</v>
      </c>
      <c r="H58" s="123"/>
      <c r="I58" s="122">
        <f>SUM(I50:J57)</f>
        <v>209549</v>
      </c>
      <c r="J58" s="123"/>
    </row>
    <row r="60" spans="1:11" x14ac:dyDescent="0.3">
      <c r="A60" s="124" t="s">
        <v>37</v>
      </c>
      <c r="B60" s="125"/>
      <c r="C60" s="130" t="s">
        <v>382</v>
      </c>
      <c r="D60" s="131"/>
      <c r="E60" s="130" t="s">
        <v>391</v>
      </c>
      <c r="F60" s="131"/>
      <c r="G60" s="130" t="s">
        <v>401</v>
      </c>
      <c r="H60" s="131"/>
      <c r="I60" s="130" t="s">
        <v>411</v>
      </c>
      <c r="J60" s="131"/>
    </row>
    <row r="61" spans="1:11" x14ac:dyDescent="0.3">
      <c r="A61" s="126"/>
      <c r="B61" s="127"/>
      <c r="C61" s="288">
        <v>137592</v>
      </c>
      <c r="D61" s="289"/>
      <c r="E61" s="288">
        <v>137728</v>
      </c>
      <c r="F61" s="289"/>
      <c r="G61" s="288">
        <v>137777</v>
      </c>
      <c r="H61" s="289"/>
      <c r="I61" s="288">
        <v>137908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293</v>
      </c>
      <c r="D66" s="115"/>
      <c r="E66" s="114" t="s">
        <v>330</v>
      </c>
      <c r="F66" s="115"/>
      <c r="G66" s="114" t="s">
        <v>368</v>
      </c>
      <c r="H66" s="115"/>
      <c r="I66" s="114" t="s">
        <v>402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27824</v>
      </c>
      <c r="D69" s="287"/>
      <c r="E69" s="286">
        <v>28056</v>
      </c>
      <c r="F69" s="287"/>
      <c r="G69" s="286">
        <v>28330</v>
      </c>
      <c r="H69" s="287"/>
      <c r="I69" s="286">
        <v>28575</v>
      </c>
      <c r="J69" s="287"/>
    </row>
    <row r="70" spans="1:10" x14ac:dyDescent="0.3">
      <c r="A70" s="101" t="s">
        <v>13</v>
      </c>
      <c r="B70" s="102"/>
      <c r="C70" s="286">
        <v>6783</v>
      </c>
      <c r="D70" s="287"/>
      <c r="E70" s="286">
        <v>6827</v>
      </c>
      <c r="F70" s="287"/>
      <c r="G70" s="286">
        <v>6883</v>
      </c>
      <c r="H70" s="287"/>
      <c r="I70" s="286">
        <v>6940</v>
      </c>
      <c r="J70" s="287"/>
    </row>
    <row r="71" spans="1:10" x14ac:dyDescent="0.3">
      <c r="A71" s="107" t="s">
        <v>14</v>
      </c>
      <c r="B71" s="108"/>
      <c r="C71" s="286">
        <v>5813</v>
      </c>
      <c r="D71" s="287"/>
      <c r="E71" s="286">
        <v>5890</v>
      </c>
      <c r="F71" s="287"/>
      <c r="G71" s="286">
        <v>5939</v>
      </c>
      <c r="H71" s="287"/>
      <c r="I71" s="286">
        <v>6008</v>
      </c>
      <c r="J71" s="287"/>
    </row>
    <row r="72" spans="1:10" x14ac:dyDescent="0.3">
      <c r="A72" s="107" t="s">
        <v>41</v>
      </c>
      <c r="B72" s="108"/>
      <c r="C72" s="286">
        <v>1247</v>
      </c>
      <c r="D72" s="287"/>
      <c r="E72" s="286">
        <v>1283</v>
      </c>
      <c r="F72" s="287"/>
      <c r="G72" s="286">
        <v>1322</v>
      </c>
      <c r="H72" s="287"/>
      <c r="I72" s="286">
        <v>1349</v>
      </c>
      <c r="J72" s="287"/>
    </row>
    <row r="73" spans="1:10" x14ac:dyDescent="0.3">
      <c r="A73" s="101" t="s">
        <v>15</v>
      </c>
      <c r="B73" s="102"/>
      <c r="C73" s="286">
        <v>4242</v>
      </c>
      <c r="D73" s="287"/>
      <c r="E73" s="286">
        <v>4273</v>
      </c>
      <c r="F73" s="287"/>
      <c r="G73" s="286">
        <v>4325</v>
      </c>
      <c r="H73" s="287"/>
      <c r="I73" s="286">
        <v>4391</v>
      </c>
      <c r="J73" s="287"/>
    </row>
    <row r="74" spans="1:10" x14ac:dyDescent="0.3">
      <c r="A74" s="107" t="s">
        <v>16</v>
      </c>
      <c r="B74" s="108"/>
      <c r="C74" s="286">
        <v>4634</v>
      </c>
      <c r="D74" s="287"/>
      <c r="E74" s="286">
        <v>4667</v>
      </c>
      <c r="F74" s="287"/>
      <c r="G74" s="286">
        <v>4699</v>
      </c>
      <c r="H74" s="287"/>
      <c r="I74" s="286">
        <v>4707</v>
      </c>
      <c r="J74" s="287"/>
    </row>
    <row r="75" spans="1:10" x14ac:dyDescent="0.3">
      <c r="A75" s="101" t="s">
        <v>17</v>
      </c>
      <c r="B75" s="102"/>
      <c r="C75" s="286">
        <v>6774</v>
      </c>
      <c r="D75" s="287"/>
      <c r="E75" s="286">
        <v>6888</v>
      </c>
      <c r="F75" s="287"/>
      <c r="G75" s="286">
        <v>6930</v>
      </c>
      <c r="H75" s="287"/>
      <c r="I75" s="286">
        <v>6987</v>
      </c>
      <c r="J75" s="287"/>
    </row>
    <row r="76" spans="1:10" x14ac:dyDescent="0.3">
      <c r="A76" s="107" t="s">
        <v>18</v>
      </c>
      <c r="B76" s="108"/>
      <c r="C76" s="286">
        <v>1469</v>
      </c>
      <c r="D76" s="287"/>
      <c r="E76" s="286">
        <v>1489</v>
      </c>
      <c r="F76" s="287"/>
      <c r="G76" s="286">
        <v>1501</v>
      </c>
      <c r="H76" s="287"/>
      <c r="I76" s="286">
        <v>1514</v>
      </c>
      <c r="J76" s="287"/>
    </row>
    <row r="77" spans="1:10" x14ac:dyDescent="0.3">
      <c r="A77" s="101" t="s">
        <v>19</v>
      </c>
      <c r="B77" s="102"/>
      <c r="C77" s="286">
        <v>5202</v>
      </c>
      <c r="D77" s="287"/>
      <c r="E77" s="286">
        <v>5282</v>
      </c>
      <c r="F77" s="287"/>
      <c r="G77" s="286">
        <v>5384</v>
      </c>
      <c r="H77" s="287"/>
      <c r="I77" s="286">
        <v>5510</v>
      </c>
      <c r="J77" s="287"/>
    </row>
    <row r="78" spans="1:10" x14ac:dyDescent="0.3">
      <c r="A78" s="105" t="s">
        <v>42</v>
      </c>
      <c r="B78" s="106"/>
      <c r="C78" s="103">
        <f>SUM(C69:C77)</f>
        <v>63988</v>
      </c>
      <c r="D78" s="104"/>
      <c r="E78" s="103">
        <f>SUM(E69:E77)</f>
        <v>64655</v>
      </c>
      <c r="F78" s="104"/>
      <c r="G78" s="103">
        <f>SUM(G69:G77)</f>
        <v>65313</v>
      </c>
      <c r="H78" s="104"/>
      <c r="I78" s="103">
        <f>SUM(I69:I77)</f>
        <v>65981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9:B49"/>
    <mergeCell ref="G49:H49"/>
    <mergeCell ref="I49:J49"/>
    <mergeCell ref="A45:B45"/>
    <mergeCell ref="C45:D45"/>
    <mergeCell ref="E45:F45"/>
    <mergeCell ref="G45:H45"/>
    <mergeCell ref="I45:J45"/>
    <mergeCell ref="A46:K46"/>
    <mergeCell ref="A48:J48"/>
    <mergeCell ref="C49:D49"/>
    <mergeCell ref="E49:F49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58:B58"/>
    <mergeCell ref="C58:D58"/>
    <mergeCell ref="E58:F58"/>
    <mergeCell ref="G58:H58"/>
    <mergeCell ref="I58:J58"/>
    <mergeCell ref="A60:B62"/>
    <mergeCell ref="G60:H60"/>
    <mergeCell ref="I60:J60"/>
    <mergeCell ref="C60:D60"/>
    <mergeCell ref="E60:F6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419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4696</v>
      </c>
      <c r="D5" s="299"/>
      <c r="E5" s="298">
        <v>2642</v>
      </c>
      <c r="F5" s="299"/>
      <c r="G5" s="298">
        <v>1908</v>
      </c>
      <c r="H5" s="299"/>
      <c r="I5" s="298">
        <v>6483</v>
      </c>
      <c r="J5" s="299"/>
      <c r="K5" s="302">
        <v>38</v>
      </c>
      <c r="L5" s="303"/>
      <c r="M5" s="12">
        <v>4820</v>
      </c>
      <c r="N5" s="10">
        <v>904</v>
      </c>
      <c r="O5" s="12">
        <v>9583</v>
      </c>
      <c r="P5" s="10">
        <v>2219</v>
      </c>
      <c r="Q5" s="10">
        <v>1380</v>
      </c>
    </row>
    <row r="6" spans="1:18" ht="13.5" customHeight="1" x14ac:dyDescent="0.3">
      <c r="A6" s="211" t="s">
        <v>11</v>
      </c>
      <c r="B6" s="212"/>
      <c r="C6" s="298">
        <v>759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538</v>
      </c>
      <c r="D7" s="240"/>
      <c r="E7" s="239">
        <v>25</v>
      </c>
      <c r="F7" s="240"/>
      <c r="G7" s="239">
        <v>6</v>
      </c>
      <c r="H7" s="240"/>
      <c r="I7" s="239">
        <v>499</v>
      </c>
      <c r="J7" s="240"/>
      <c r="K7" s="239">
        <v>71</v>
      </c>
      <c r="L7" s="240"/>
      <c r="M7" s="1">
        <v>636</v>
      </c>
      <c r="N7" s="1">
        <v>62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184</v>
      </c>
      <c r="D8" s="240"/>
      <c r="E8" s="239">
        <v>0</v>
      </c>
      <c r="F8" s="240"/>
      <c r="G8" s="239">
        <v>295</v>
      </c>
      <c r="H8" s="240"/>
      <c r="I8" s="239">
        <v>0</v>
      </c>
      <c r="J8" s="240"/>
      <c r="K8" s="239">
        <v>0</v>
      </c>
      <c r="L8" s="240"/>
      <c r="M8" s="1">
        <v>192</v>
      </c>
      <c r="N8" s="1">
        <v>15</v>
      </c>
      <c r="O8" s="1">
        <v>0</v>
      </c>
      <c r="P8" s="1">
        <v>0</v>
      </c>
      <c r="Q8" s="1">
        <v>0</v>
      </c>
      <c r="R8" s="29"/>
    </row>
    <row r="9" spans="1:18" x14ac:dyDescent="0.3">
      <c r="A9" s="101" t="s">
        <v>14</v>
      </c>
      <c r="B9" s="102"/>
      <c r="C9" s="239">
        <v>140</v>
      </c>
      <c r="D9" s="240"/>
      <c r="E9" s="239">
        <v>102</v>
      </c>
      <c r="F9" s="240"/>
      <c r="G9" s="239">
        <v>102</v>
      </c>
      <c r="H9" s="240"/>
      <c r="I9" s="239">
        <v>80</v>
      </c>
      <c r="J9" s="240"/>
      <c r="K9" s="239">
        <v>5</v>
      </c>
      <c r="L9" s="240"/>
      <c r="M9" s="1">
        <v>161</v>
      </c>
      <c r="N9" s="1">
        <v>77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386</v>
      </c>
      <c r="D10" s="240"/>
      <c r="E10" s="239">
        <v>123</v>
      </c>
      <c r="F10" s="240"/>
      <c r="G10" s="239">
        <v>54</v>
      </c>
      <c r="H10" s="240"/>
      <c r="I10" s="239">
        <v>205</v>
      </c>
      <c r="J10" s="240"/>
      <c r="K10" s="239">
        <v>0</v>
      </c>
      <c r="L10" s="240"/>
      <c r="M10" s="1">
        <v>190</v>
      </c>
      <c r="N10" s="1">
        <v>110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430</v>
      </c>
      <c r="D11" s="246"/>
      <c r="E11" s="239">
        <v>14</v>
      </c>
      <c r="F11" s="240"/>
      <c r="G11" s="239">
        <v>0</v>
      </c>
      <c r="H11" s="240"/>
      <c r="I11" s="239">
        <v>176</v>
      </c>
      <c r="J11" s="240"/>
      <c r="K11" s="239">
        <v>37</v>
      </c>
      <c r="L11" s="240"/>
      <c r="M11" s="1">
        <v>222</v>
      </c>
      <c r="N11" s="1">
        <v>204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205</v>
      </c>
      <c r="D12" s="246"/>
      <c r="E12" s="239">
        <v>0</v>
      </c>
      <c r="F12" s="240"/>
      <c r="G12" s="239">
        <v>0</v>
      </c>
      <c r="H12" s="240"/>
      <c r="I12" s="239">
        <v>295</v>
      </c>
      <c r="J12" s="240"/>
      <c r="K12" s="239">
        <v>0</v>
      </c>
      <c r="L12" s="240"/>
      <c r="M12" s="1">
        <v>241</v>
      </c>
      <c r="N12" s="1">
        <v>60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178</v>
      </c>
      <c r="D13" s="246"/>
      <c r="E13" s="239">
        <v>85</v>
      </c>
      <c r="F13" s="240"/>
      <c r="G13" s="239">
        <v>0</v>
      </c>
      <c r="H13" s="240"/>
      <c r="I13" s="239">
        <v>7</v>
      </c>
      <c r="J13" s="240"/>
      <c r="K13" s="239">
        <v>0</v>
      </c>
      <c r="L13" s="240"/>
      <c r="M13" s="1">
        <v>93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353</v>
      </c>
      <c r="D14" s="248"/>
      <c r="E14" s="247">
        <v>12</v>
      </c>
      <c r="F14" s="248"/>
      <c r="G14" s="247">
        <v>13</v>
      </c>
      <c r="H14" s="248"/>
      <c r="I14" s="239">
        <v>320</v>
      </c>
      <c r="J14" s="240"/>
      <c r="K14" s="247">
        <v>0</v>
      </c>
      <c r="L14" s="248"/>
      <c r="M14" s="2">
        <v>276</v>
      </c>
      <c r="N14" s="2">
        <v>7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2734</v>
      </c>
      <c r="P15" s="10">
        <v>2488</v>
      </c>
      <c r="Q15" s="10">
        <v>2132</v>
      </c>
    </row>
    <row r="16" spans="1:18" ht="15" thickBot="1" x14ac:dyDescent="0.35">
      <c r="A16" s="199" t="s">
        <v>20</v>
      </c>
      <c r="B16" s="200"/>
      <c r="C16" s="201">
        <f>SUM(C5:D15)</f>
        <v>7869</v>
      </c>
      <c r="D16" s="202"/>
      <c r="E16" s="201">
        <f>SUM(E5:F15)</f>
        <v>3003</v>
      </c>
      <c r="F16" s="202"/>
      <c r="G16" s="201">
        <f>SUM(G5:H15)</f>
        <v>2378</v>
      </c>
      <c r="H16" s="202"/>
      <c r="I16" s="201">
        <f>SUM(I5:J15)</f>
        <v>8065</v>
      </c>
      <c r="J16" s="202"/>
      <c r="K16" s="201">
        <f>SUM(K5:L15)</f>
        <v>151</v>
      </c>
      <c r="L16" s="202"/>
      <c r="M16" s="3">
        <f>SUM(M5:M15)</f>
        <v>6831</v>
      </c>
      <c r="N16" s="4">
        <f>SUM(N5:N15)</f>
        <v>1488</v>
      </c>
      <c r="O16" s="4">
        <f>SUM(O5:O15)</f>
        <v>12399</v>
      </c>
      <c r="P16" s="4">
        <f>SUM(P5:P15)</f>
        <v>4749</v>
      </c>
      <c r="Q16" s="5">
        <f>SUM(Q5:Q15)</f>
        <v>3518</v>
      </c>
    </row>
    <row r="17" spans="1:20" x14ac:dyDescent="0.3">
      <c r="A17" s="190" t="s">
        <v>21</v>
      </c>
      <c r="B17" s="191"/>
      <c r="C17" s="298">
        <v>4246</v>
      </c>
      <c r="D17" s="299"/>
      <c r="E17" s="298">
        <v>2642</v>
      </c>
      <c r="F17" s="299"/>
      <c r="G17" s="298">
        <v>1908</v>
      </c>
      <c r="H17" s="299"/>
      <c r="I17" s="298">
        <v>6283</v>
      </c>
      <c r="J17" s="299"/>
      <c r="K17" s="302">
        <v>38</v>
      </c>
      <c r="L17" s="303"/>
      <c r="M17" s="12">
        <v>4660</v>
      </c>
      <c r="N17" s="10">
        <v>904</v>
      </c>
      <c r="O17" s="12">
        <v>9583</v>
      </c>
      <c r="P17" s="10">
        <v>2219</v>
      </c>
      <c r="Q17" s="10">
        <v>1380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419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98</v>
      </c>
      <c r="D25" s="259"/>
      <c r="E25" s="260" t="s">
        <v>303</v>
      </c>
      <c r="F25" s="261"/>
      <c r="G25" s="258">
        <v>0</v>
      </c>
      <c r="H25" s="259"/>
      <c r="I25" s="258">
        <v>195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12</v>
      </c>
      <c r="D26" s="259"/>
      <c r="E26" s="260" t="s">
        <v>25</v>
      </c>
      <c r="F26" s="261"/>
      <c r="G26" s="258">
        <v>0</v>
      </c>
      <c r="H26" s="259"/>
      <c r="I26" s="258">
        <v>85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71</v>
      </c>
      <c r="D27" s="259"/>
      <c r="E27" s="260" t="s">
        <v>327</v>
      </c>
      <c r="F27" s="261"/>
      <c r="G27" s="258">
        <v>6</v>
      </c>
      <c r="H27" s="259"/>
      <c r="I27" s="258">
        <v>60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420</v>
      </c>
      <c r="D28" s="261"/>
      <c r="E28" s="260" t="s">
        <v>131</v>
      </c>
      <c r="F28" s="261"/>
      <c r="G28" s="258">
        <v>0</v>
      </c>
      <c r="H28" s="259"/>
      <c r="I28" s="258">
        <v>4</v>
      </c>
      <c r="J28" s="259"/>
      <c r="K28" s="8">
        <v>0</v>
      </c>
    </row>
    <row r="29" spans="1:20" x14ac:dyDescent="0.3">
      <c r="A29" s="101" t="s">
        <v>16</v>
      </c>
      <c r="B29" s="102"/>
      <c r="C29" s="411" t="s">
        <v>392</v>
      </c>
      <c r="D29" s="412"/>
      <c r="E29" s="260" t="s">
        <v>383</v>
      </c>
      <c r="F29" s="261"/>
      <c r="G29" s="258">
        <v>0</v>
      </c>
      <c r="H29" s="259"/>
      <c r="I29" s="258">
        <v>25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13</v>
      </c>
      <c r="D30" s="271"/>
      <c r="E30" s="258" t="s">
        <v>90</v>
      </c>
      <c r="F30" s="259"/>
      <c r="G30" s="258">
        <v>0</v>
      </c>
      <c r="H30" s="259"/>
      <c r="I30" s="258">
        <v>5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9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419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413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422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417</v>
      </c>
      <c r="D40" s="259"/>
      <c r="E40" s="276" t="s">
        <v>418</v>
      </c>
      <c r="F40" s="277"/>
      <c r="G40" s="258">
        <v>6</v>
      </c>
      <c r="H40" s="259"/>
      <c r="I40" s="258" t="s">
        <v>277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421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403</v>
      </c>
      <c r="D42" s="271"/>
      <c r="E42" s="276" t="s">
        <v>404</v>
      </c>
      <c r="F42" s="277"/>
      <c r="G42" s="258">
        <v>0</v>
      </c>
      <c r="H42" s="259"/>
      <c r="I42" s="258" t="s">
        <v>412</v>
      </c>
      <c r="J42" s="259"/>
      <c r="K42" s="8" t="s">
        <v>405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8</v>
      </c>
      <c r="D44" s="271"/>
      <c r="E44" s="258" t="s">
        <v>410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391</v>
      </c>
      <c r="D49" s="146"/>
      <c r="E49" s="145" t="s">
        <v>401</v>
      </c>
      <c r="F49" s="146"/>
      <c r="G49" s="145" t="s">
        <v>411</v>
      </c>
      <c r="H49" s="146"/>
      <c r="I49" s="145" t="s">
        <v>419</v>
      </c>
      <c r="J49" s="146"/>
    </row>
    <row r="50" spans="1:11" x14ac:dyDescent="0.3">
      <c r="A50" s="284" t="s">
        <v>30</v>
      </c>
      <c r="B50" s="285"/>
      <c r="C50" s="300">
        <v>13323</v>
      </c>
      <c r="D50" s="301"/>
      <c r="E50" s="300">
        <v>13283</v>
      </c>
      <c r="F50" s="301"/>
      <c r="G50" s="300">
        <v>13223</v>
      </c>
      <c r="H50" s="301"/>
      <c r="I50" s="300">
        <v>13195</v>
      </c>
      <c r="J50" s="301"/>
    </row>
    <row r="51" spans="1:11" x14ac:dyDescent="0.3">
      <c r="A51" s="284" t="s">
        <v>31</v>
      </c>
      <c r="B51" s="285"/>
      <c r="C51" s="286">
        <v>8865</v>
      </c>
      <c r="D51" s="287"/>
      <c r="E51" s="286">
        <v>8875</v>
      </c>
      <c r="F51" s="287"/>
      <c r="G51" s="286">
        <v>8885</v>
      </c>
      <c r="H51" s="287"/>
      <c r="I51" s="286">
        <v>8857</v>
      </c>
      <c r="J51" s="287"/>
    </row>
    <row r="52" spans="1:11" x14ac:dyDescent="0.3">
      <c r="A52" s="284" t="s">
        <v>32</v>
      </c>
      <c r="B52" s="285"/>
      <c r="C52" s="300">
        <v>114901</v>
      </c>
      <c r="D52" s="301"/>
      <c r="E52" s="300">
        <v>114771</v>
      </c>
      <c r="F52" s="301"/>
      <c r="G52" s="300">
        <v>114619</v>
      </c>
      <c r="H52" s="301"/>
      <c r="I52" s="300">
        <v>114496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240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50920</v>
      </c>
      <c r="D54" s="301"/>
      <c r="E54" s="300">
        <v>50840</v>
      </c>
      <c r="F54" s="301"/>
      <c r="G54" s="300">
        <v>50773</v>
      </c>
      <c r="H54" s="301"/>
      <c r="I54" s="300">
        <v>50667</v>
      </c>
      <c r="J54" s="301"/>
    </row>
    <row r="55" spans="1:11" x14ac:dyDescent="0.3">
      <c r="A55" s="284" t="s">
        <v>53</v>
      </c>
      <c r="B55" s="285"/>
      <c r="C55" s="286">
        <v>4342</v>
      </c>
      <c r="D55" s="287"/>
      <c r="E55" s="286">
        <v>4350</v>
      </c>
      <c r="F55" s="287"/>
      <c r="G55" s="286">
        <v>4356</v>
      </c>
      <c r="H55" s="287"/>
      <c r="I55" s="286">
        <v>4358</v>
      </c>
      <c r="J55" s="287"/>
    </row>
    <row r="56" spans="1:11" x14ac:dyDescent="0.3">
      <c r="A56" s="284" t="s">
        <v>49</v>
      </c>
      <c r="B56" s="285"/>
      <c r="C56" s="300">
        <v>14718</v>
      </c>
      <c r="D56" s="301"/>
      <c r="E56" s="300">
        <v>14911</v>
      </c>
      <c r="F56" s="301"/>
      <c r="G56" s="300">
        <v>15101</v>
      </c>
      <c r="H56" s="301"/>
      <c r="I56" s="300">
        <v>15242</v>
      </c>
      <c r="J56" s="301"/>
      <c r="K56" s="11"/>
    </row>
    <row r="57" spans="1:11" x14ac:dyDescent="0.3">
      <c r="A57" s="284" t="s">
        <v>35</v>
      </c>
      <c r="B57" s="285"/>
      <c r="C57" s="286">
        <v>2181</v>
      </c>
      <c r="D57" s="287"/>
      <c r="E57" s="286">
        <v>2255</v>
      </c>
      <c r="F57" s="287"/>
      <c r="G57" s="286">
        <v>2352</v>
      </c>
      <c r="H57" s="287"/>
      <c r="I57" s="286">
        <v>2401</v>
      </c>
      <c r="J57" s="287"/>
    </row>
    <row r="58" spans="1:11" x14ac:dyDescent="0.3">
      <c r="A58" s="120" t="s">
        <v>36</v>
      </c>
      <c r="B58" s="121"/>
      <c r="C58" s="122">
        <f>SUM(C50:D57)</f>
        <v>209489</v>
      </c>
      <c r="D58" s="123"/>
      <c r="E58" s="122">
        <f>SUM(E50:F57)</f>
        <v>209524</v>
      </c>
      <c r="F58" s="123"/>
      <c r="G58" s="122">
        <f>SUM(G50:H57)</f>
        <v>209549</v>
      </c>
      <c r="H58" s="123"/>
      <c r="I58" s="122">
        <f>SUM(I50:J57)</f>
        <v>209455</v>
      </c>
      <c r="J58" s="123"/>
    </row>
    <row r="60" spans="1:11" x14ac:dyDescent="0.3">
      <c r="A60" s="124" t="s">
        <v>37</v>
      </c>
      <c r="B60" s="125"/>
      <c r="C60" s="130" t="s">
        <v>391</v>
      </c>
      <c r="D60" s="131"/>
      <c r="E60" s="130" t="s">
        <v>401</v>
      </c>
      <c r="F60" s="131"/>
      <c r="G60" s="130" t="s">
        <v>411</v>
      </c>
      <c r="H60" s="131"/>
      <c r="I60" s="130" t="s">
        <v>419</v>
      </c>
      <c r="J60" s="131"/>
    </row>
    <row r="61" spans="1:11" x14ac:dyDescent="0.3">
      <c r="A61" s="126"/>
      <c r="B61" s="127"/>
      <c r="C61" s="288">
        <v>137728</v>
      </c>
      <c r="D61" s="289"/>
      <c r="E61" s="288">
        <v>137777</v>
      </c>
      <c r="F61" s="289"/>
      <c r="G61" s="288">
        <v>137908</v>
      </c>
      <c r="H61" s="289"/>
      <c r="I61" s="288">
        <v>137811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293</v>
      </c>
      <c r="D66" s="115"/>
      <c r="E66" s="114" t="s">
        <v>330</v>
      </c>
      <c r="F66" s="115"/>
      <c r="G66" s="114" t="s">
        <v>368</v>
      </c>
      <c r="H66" s="115"/>
      <c r="I66" s="114" t="s">
        <v>402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27824</v>
      </c>
      <c r="D69" s="287"/>
      <c r="E69" s="286">
        <v>28056</v>
      </c>
      <c r="F69" s="287"/>
      <c r="G69" s="286">
        <v>28330</v>
      </c>
      <c r="H69" s="287"/>
      <c r="I69" s="286">
        <v>28575</v>
      </c>
      <c r="J69" s="287"/>
    </row>
    <row r="70" spans="1:10" x14ac:dyDescent="0.3">
      <c r="A70" s="101" t="s">
        <v>13</v>
      </c>
      <c r="B70" s="102"/>
      <c r="C70" s="286">
        <v>6783</v>
      </c>
      <c r="D70" s="287"/>
      <c r="E70" s="286">
        <v>6827</v>
      </c>
      <c r="F70" s="287"/>
      <c r="G70" s="286">
        <v>6883</v>
      </c>
      <c r="H70" s="287"/>
      <c r="I70" s="286">
        <v>6940</v>
      </c>
      <c r="J70" s="287"/>
    </row>
    <row r="71" spans="1:10" x14ac:dyDescent="0.3">
      <c r="A71" s="107" t="s">
        <v>14</v>
      </c>
      <c r="B71" s="108"/>
      <c r="C71" s="286">
        <v>5813</v>
      </c>
      <c r="D71" s="287"/>
      <c r="E71" s="286">
        <v>5890</v>
      </c>
      <c r="F71" s="287"/>
      <c r="G71" s="286">
        <v>5939</v>
      </c>
      <c r="H71" s="287"/>
      <c r="I71" s="286">
        <v>6008</v>
      </c>
      <c r="J71" s="287"/>
    </row>
    <row r="72" spans="1:10" x14ac:dyDescent="0.3">
      <c r="A72" s="107" t="s">
        <v>41</v>
      </c>
      <c r="B72" s="108"/>
      <c r="C72" s="286">
        <v>1247</v>
      </c>
      <c r="D72" s="287"/>
      <c r="E72" s="286">
        <v>1283</v>
      </c>
      <c r="F72" s="287"/>
      <c r="G72" s="286">
        <v>1322</v>
      </c>
      <c r="H72" s="287"/>
      <c r="I72" s="286">
        <v>1349</v>
      </c>
      <c r="J72" s="287"/>
    </row>
    <row r="73" spans="1:10" x14ac:dyDescent="0.3">
      <c r="A73" s="101" t="s">
        <v>15</v>
      </c>
      <c r="B73" s="102"/>
      <c r="C73" s="286">
        <v>4242</v>
      </c>
      <c r="D73" s="287"/>
      <c r="E73" s="286">
        <v>4273</v>
      </c>
      <c r="F73" s="287"/>
      <c r="G73" s="286">
        <v>4325</v>
      </c>
      <c r="H73" s="287"/>
      <c r="I73" s="286">
        <v>4391</v>
      </c>
      <c r="J73" s="287"/>
    </row>
    <row r="74" spans="1:10" x14ac:dyDescent="0.3">
      <c r="A74" s="107" t="s">
        <v>16</v>
      </c>
      <c r="B74" s="108"/>
      <c r="C74" s="286">
        <v>4634</v>
      </c>
      <c r="D74" s="287"/>
      <c r="E74" s="286">
        <v>4667</v>
      </c>
      <c r="F74" s="287"/>
      <c r="G74" s="286">
        <v>4699</v>
      </c>
      <c r="H74" s="287"/>
      <c r="I74" s="286">
        <v>4707</v>
      </c>
      <c r="J74" s="287"/>
    </row>
    <row r="75" spans="1:10" x14ac:dyDescent="0.3">
      <c r="A75" s="101" t="s">
        <v>17</v>
      </c>
      <c r="B75" s="102"/>
      <c r="C75" s="286">
        <v>6774</v>
      </c>
      <c r="D75" s="287"/>
      <c r="E75" s="286">
        <v>6888</v>
      </c>
      <c r="F75" s="287"/>
      <c r="G75" s="286">
        <v>6930</v>
      </c>
      <c r="H75" s="287"/>
      <c r="I75" s="286">
        <v>6987</v>
      </c>
      <c r="J75" s="287"/>
    </row>
    <row r="76" spans="1:10" x14ac:dyDescent="0.3">
      <c r="A76" s="107" t="s">
        <v>18</v>
      </c>
      <c r="B76" s="108"/>
      <c r="C76" s="286">
        <v>1469</v>
      </c>
      <c r="D76" s="287"/>
      <c r="E76" s="286">
        <v>1489</v>
      </c>
      <c r="F76" s="287"/>
      <c r="G76" s="286">
        <v>1501</v>
      </c>
      <c r="H76" s="287"/>
      <c r="I76" s="286">
        <v>1514</v>
      </c>
      <c r="J76" s="287"/>
    </row>
    <row r="77" spans="1:10" x14ac:dyDescent="0.3">
      <c r="A77" s="101" t="s">
        <v>19</v>
      </c>
      <c r="B77" s="102"/>
      <c r="C77" s="286">
        <v>5202</v>
      </c>
      <c r="D77" s="287"/>
      <c r="E77" s="286">
        <v>5282</v>
      </c>
      <c r="F77" s="287"/>
      <c r="G77" s="286">
        <v>5384</v>
      </c>
      <c r="H77" s="287"/>
      <c r="I77" s="286">
        <v>5510</v>
      </c>
      <c r="J77" s="287"/>
    </row>
    <row r="78" spans="1:10" x14ac:dyDescent="0.3">
      <c r="A78" s="105" t="s">
        <v>42</v>
      </c>
      <c r="B78" s="106"/>
      <c r="C78" s="103">
        <f>SUM(C69:C77)</f>
        <v>63988</v>
      </c>
      <c r="D78" s="104"/>
      <c r="E78" s="103">
        <f>SUM(E69:E77)</f>
        <v>64655</v>
      </c>
      <c r="F78" s="104"/>
      <c r="G78" s="103">
        <f>SUM(G69:G77)</f>
        <v>65313</v>
      </c>
      <c r="H78" s="104"/>
      <c r="I78" s="103">
        <f>SUM(I69:I77)</f>
        <v>65981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423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3996</v>
      </c>
      <c r="D5" s="299"/>
      <c r="E5" s="298">
        <v>2642</v>
      </c>
      <c r="F5" s="299"/>
      <c r="G5" s="298">
        <v>1908</v>
      </c>
      <c r="H5" s="299"/>
      <c r="I5" s="298">
        <v>6283</v>
      </c>
      <c r="J5" s="299"/>
      <c r="K5" s="302">
        <v>0</v>
      </c>
      <c r="L5" s="303"/>
      <c r="M5" s="12">
        <v>4360</v>
      </c>
      <c r="N5" s="10">
        <v>904</v>
      </c>
      <c r="O5" s="12">
        <v>9498</v>
      </c>
      <c r="P5" s="10">
        <v>2164</v>
      </c>
      <c r="Q5" s="10">
        <v>1325</v>
      </c>
    </row>
    <row r="6" spans="1:18" ht="13.5" customHeight="1" x14ac:dyDescent="0.3">
      <c r="A6" s="211" t="s">
        <v>11</v>
      </c>
      <c r="B6" s="212"/>
      <c r="C6" s="298">
        <v>759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474</v>
      </c>
      <c r="D7" s="240"/>
      <c r="E7" s="239">
        <v>25</v>
      </c>
      <c r="F7" s="240"/>
      <c r="G7" s="239">
        <v>6</v>
      </c>
      <c r="H7" s="240"/>
      <c r="I7" s="239">
        <v>323</v>
      </c>
      <c r="J7" s="240"/>
      <c r="K7" s="239">
        <v>102</v>
      </c>
      <c r="L7" s="240"/>
      <c r="M7" s="1">
        <v>646</v>
      </c>
      <c r="N7" s="1">
        <v>56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170</v>
      </c>
      <c r="D8" s="240"/>
      <c r="E8" s="239">
        <v>0</v>
      </c>
      <c r="F8" s="240"/>
      <c r="G8" s="239">
        <v>0</v>
      </c>
      <c r="H8" s="240"/>
      <c r="I8" s="239">
        <v>271</v>
      </c>
      <c r="J8" s="240"/>
      <c r="K8" s="239">
        <v>0</v>
      </c>
      <c r="L8" s="240"/>
      <c r="M8" s="1">
        <v>171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377</v>
      </c>
      <c r="D9" s="240"/>
      <c r="E9" s="239">
        <v>231</v>
      </c>
      <c r="F9" s="240"/>
      <c r="G9" s="239">
        <v>0</v>
      </c>
      <c r="H9" s="240"/>
      <c r="I9" s="239">
        <v>279</v>
      </c>
      <c r="J9" s="240"/>
      <c r="K9" s="239">
        <v>0</v>
      </c>
      <c r="L9" s="240"/>
      <c r="M9" s="1">
        <v>304</v>
      </c>
      <c r="N9" s="1">
        <v>50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330</v>
      </c>
      <c r="D10" s="240"/>
      <c r="E10" s="239">
        <v>120</v>
      </c>
      <c r="F10" s="240"/>
      <c r="G10" s="239">
        <v>54</v>
      </c>
      <c r="H10" s="240"/>
      <c r="I10" s="239">
        <v>150</v>
      </c>
      <c r="J10" s="240"/>
      <c r="K10" s="239">
        <v>0</v>
      </c>
      <c r="L10" s="240"/>
      <c r="M10" s="1">
        <v>175</v>
      </c>
      <c r="N10" s="1">
        <v>90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407</v>
      </c>
      <c r="D11" s="246"/>
      <c r="E11" s="239">
        <v>14</v>
      </c>
      <c r="F11" s="240"/>
      <c r="G11" s="239">
        <v>0</v>
      </c>
      <c r="H11" s="240"/>
      <c r="I11" s="239">
        <v>167</v>
      </c>
      <c r="J11" s="240"/>
      <c r="K11" s="239">
        <v>37</v>
      </c>
      <c r="L11" s="240"/>
      <c r="M11" s="1">
        <v>212</v>
      </c>
      <c r="N11" s="1">
        <v>196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393</v>
      </c>
      <c r="D12" s="246"/>
      <c r="E12" s="239">
        <v>0</v>
      </c>
      <c r="F12" s="240"/>
      <c r="G12" s="239">
        <v>0</v>
      </c>
      <c r="H12" s="240"/>
      <c r="I12" s="239">
        <v>224</v>
      </c>
      <c r="J12" s="240"/>
      <c r="K12" s="239">
        <v>0</v>
      </c>
      <c r="L12" s="240"/>
      <c r="M12" s="1">
        <v>181</v>
      </c>
      <c r="N12" s="1">
        <v>59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163</v>
      </c>
      <c r="D13" s="246"/>
      <c r="E13" s="239">
        <v>77</v>
      </c>
      <c r="F13" s="240"/>
      <c r="G13" s="239">
        <v>0</v>
      </c>
      <c r="H13" s="240"/>
      <c r="I13" s="239">
        <v>5</v>
      </c>
      <c r="J13" s="240"/>
      <c r="K13" s="239">
        <v>0</v>
      </c>
      <c r="L13" s="240"/>
      <c r="M13" s="1">
        <v>88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239</v>
      </c>
      <c r="D14" s="248"/>
      <c r="E14" s="247">
        <v>9</v>
      </c>
      <c r="F14" s="248"/>
      <c r="G14" s="247">
        <v>13</v>
      </c>
      <c r="H14" s="248"/>
      <c r="I14" s="239">
        <v>193</v>
      </c>
      <c r="J14" s="240"/>
      <c r="K14" s="247">
        <v>0</v>
      </c>
      <c r="L14" s="248"/>
      <c r="M14" s="2">
        <v>201</v>
      </c>
      <c r="N14" s="2">
        <v>7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2556</v>
      </c>
      <c r="P15" s="10">
        <v>2380</v>
      </c>
      <c r="Q15" s="10">
        <v>2025</v>
      </c>
    </row>
    <row r="16" spans="1:18" ht="15" thickBot="1" x14ac:dyDescent="0.35">
      <c r="A16" s="199" t="s">
        <v>20</v>
      </c>
      <c r="B16" s="200"/>
      <c r="C16" s="201">
        <f>SUM(C5:D15)</f>
        <v>7308</v>
      </c>
      <c r="D16" s="202"/>
      <c r="E16" s="201">
        <f>SUM(E5:F15)</f>
        <v>3118</v>
      </c>
      <c r="F16" s="202"/>
      <c r="G16" s="201">
        <f>SUM(G5:H15)</f>
        <v>1981</v>
      </c>
      <c r="H16" s="202"/>
      <c r="I16" s="201">
        <f>SUM(I5:J15)</f>
        <v>7895</v>
      </c>
      <c r="J16" s="202"/>
      <c r="K16" s="201">
        <f>SUM(K5:L15)</f>
        <v>139</v>
      </c>
      <c r="L16" s="202"/>
      <c r="M16" s="3">
        <f>SUM(M5:M15)</f>
        <v>6338</v>
      </c>
      <c r="N16" s="4">
        <f>SUM(N5:N15)</f>
        <v>1426</v>
      </c>
      <c r="O16" s="4">
        <f>SUM(O5:O15)</f>
        <v>12136</v>
      </c>
      <c r="P16" s="4">
        <f>SUM(P5:P15)</f>
        <v>4586</v>
      </c>
      <c r="Q16" s="5">
        <f>SUM(Q5:Q15)</f>
        <v>3358</v>
      </c>
    </row>
    <row r="17" spans="1:20" x14ac:dyDescent="0.3">
      <c r="A17" s="190" t="s">
        <v>21</v>
      </c>
      <c r="B17" s="191"/>
      <c r="C17" s="413">
        <v>3996</v>
      </c>
      <c r="D17" s="414"/>
      <c r="E17" s="298">
        <v>2642</v>
      </c>
      <c r="F17" s="299"/>
      <c r="G17" s="298">
        <v>1908</v>
      </c>
      <c r="H17" s="299"/>
      <c r="I17" s="298">
        <v>6283</v>
      </c>
      <c r="J17" s="299"/>
      <c r="K17" s="302">
        <v>0</v>
      </c>
      <c r="L17" s="303"/>
      <c r="M17" s="12">
        <v>4360</v>
      </c>
      <c r="N17" s="10">
        <v>904</v>
      </c>
      <c r="O17" s="12">
        <v>9498</v>
      </c>
      <c r="P17" s="10">
        <v>2164</v>
      </c>
      <c r="Q17" s="10">
        <v>1325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423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50</v>
      </c>
      <c r="D25" s="259"/>
      <c r="E25" s="260" t="s">
        <v>362</v>
      </c>
      <c r="F25" s="261"/>
      <c r="G25" s="258">
        <v>0</v>
      </c>
      <c r="H25" s="259"/>
      <c r="I25" s="258">
        <v>187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25</v>
      </c>
      <c r="D26" s="259"/>
      <c r="E26" s="260" t="s">
        <v>25</v>
      </c>
      <c r="F26" s="261"/>
      <c r="G26" s="258">
        <v>0</v>
      </c>
      <c r="H26" s="259"/>
      <c r="I26" s="258">
        <v>88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82</v>
      </c>
      <c r="D27" s="259"/>
      <c r="E27" s="260" t="s">
        <v>244</v>
      </c>
      <c r="F27" s="261"/>
      <c r="G27" s="258">
        <v>5</v>
      </c>
      <c r="H27" s="259"/>
      <c r="I27" s="258">
        <v>63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425</v>
      </c>
      <c r="D28" s="261"/>
      <c r="E28" s="260" t="s">
        <v>106</v>
      </c>
      <c r="F28" s="261"/>
      <c r="G28" s="258">
        <v>0</v>
      </c>
      <c r="H28" s="259"/>
      <c r="I28" s="258">
        <v>6</v>
      </c>
      <c r="J28" s="259"/>
      <c r="K28" s="8">
        <v>0</v>
      </c>
    </row>
    <row r="29" spans="1:20" x14ac:dyDescent="0.3">
      <c r="A29" s="101" t="s">
        <v>16</v>
      </c>
      <c r="B29" s="102"/>
      <c r="C29" s="411" t="s">
        <v>392</v>
      </c>
      <c r="D29" s="412"/>
      <c r="E29" s="260" t="s">
        <v>383</v>
      </c>
      <c r="F29" s="261"/>
      <c r="G29" s="258">
        <v>0</v>
      </c>
      <c r="H29" s="259"/>
      <c r="I29" s="258">
        <v>25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8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9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423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380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427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349</v>
      </c>
      <c r="D40" s="259"/>
      <c r="E40" s="276" t="s">
        <v>424</v>
      </c>
      <c r="F40" s="277"/>
      <c r="G40" s="258">
        <v>6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426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403</v>
      </c>
      <c r="D42" s="271"/>
      <c r="E42" s="276" t="s">
        <v>404</v>
      </c>
      <c r="F42" s="277"/>
      <c r="G42" s="258">
        <v>0</v>
      </c>
      <c r="H42" s="259"/>
      <c r="I42" s="258" t="s">
        <v>412</v>
      </c>
      <c r="J42" s="259"/>
      <c r="K42" s="8" t="s">
        <v>405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8</v>
      </c>
      <c r="D44" s="271"/>
      <c r="E44" s="258" t="s">
        <v>410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401</v>
      </c>
      <c r="D49" s="146"/>
      <c r="E49" s="145" t="s">
        <v>411</v>
      </c>
      <c r="F49" s="146"/>
      <c r="G49" s="145" t="s">
        <v>419</v>
      </c>
      <c r="H49" s="146"/>
      <c r="I49" s="145" t="s">
        <v>423</v>
      </c>
      <c r="J49" s="146"/>
    </row>
    <row r="50" spans="1:11" x14ac:dyDescent="0.3">
      <c r="A50" s="284" t="s">
        <v>30</v>
      </c>
      <c r="B50" s="285"/>
      <c r="C50" s="300">
        <v>13283</v>
      </c>
      <c r="D50" s="301"/>
      <c r="E50" s="300">
        <v>13223</v>
      </c>
      <c r="F50" s="301"/>
      <c r="G50" s="300">
        <v>13195</v>
      </c>
      <c r="H50" s="301"/>
      <c r="I50" s="300">
        <v>13174</v>
      </c>
      <c r="J50" s="301"/>
    </row>
    <row r="51" spans="1:11" x14ac:dyDescent="0.3">
      <c r="A51" s="284" t="s">
        <v>31</v>
      </c>
      <c r="B51" s="285"/>
      <c r="C51" s="286">
        <v>8875</v>
      </c>
      <c r="D51" s="287"/>
      <c r="E51" s="286">
        <v>8885</v>
      </c>
      <c r="F51" s="287"/>
      <c r="G51" s="286">
        <v>8857</v>
      </c>
      <c r="H51" s="287"/>
      <c r="I51" s="286">
        <v>8891</v>
      </c>
      <c r="J51" s="287"/>
    </row>
    <row r="52" spans="1:11" x14ac:dyDescent="0.3">
      <c r="A52" s="284" t="s">
        <v>32</v>
      </c>
      <c r="B52" s="285"/>
      <c r="C52" s="300">
        <v>114771</v>
      </c>
      <c r="D52" s="301"/>
      <c r="E52" s="300">
        <v>114619</v>
      </c>
      <c r="F52" s="301"/>
      <c r="G52" s="300">
        <v>114496</v>
      </c>
      <c r="H52" s="301"/>
      <c r="I52" s="300">
        <v>114402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240</v>
      </c>
      <c r="F53" s="287"/>
      <c r="G53" s="286">
        <v>239</v>
      </c>
      <c r="H53" s="287"/>
      <c r="I53" s="286">
        <v>240</v>
      </c>
      <c r="J53" s="287"/>
    </row>
    <row r="54" spans="1:11" x14ac:dyDescent="0.3">
      <c r="A54" s="284" t="s">
        <v>34</v>
      </c>
      <c r="B54" s="285"/>
      <c r="C54" s="300">
        <v>50840</v>
      </c>
      <c r="D54" s="301"/>
      <c r="E54" s="300">
        <v>50773</v>
      </c>
      <c r="F54" s="301"/>
      <c r="G54" s="300">
        <v>50667</v>
      </c>
      <c r="H54" s="301"/>
      <c r="I54" s="300">
        <v>50623</v>
      </c>
      <c r="J54" s="301"/>
    </row>
    <row r="55" spans="1:11" x14ac:dyDescent="0.3">
      <c r="A55" s="284" t="s">
        <v>53</v>
      </c>
      <c r="B55" s="285"/>
      <c r="C55" s="286">
        <v>4350</v>
      </c>
      <c r="D55" s="287"/>
      <c r="E55" s="286">
        <v>4356</v>
      </c>
      <c r="F55" s="287"/>
      <c r="G55" s="286">
        <v>4358</v>
      </c>
      <c r="H55" s="287"/>
      <c r="I55" s="286">
        <v>4360</v>
      </c>
      <c r="J55" s="287"/>
    </row>
    <row r="56" spans="1:11" x14ac:dyDescent="0.3">
      <c r="A56" s="284" t="s">
        <v>49</v>
      </c>
      <c r="B56" s="285"/>
      <c r="C56" s="300">
        <v>14911</v>
      </c>
      <c r="D56" s="301"/>
      <c r="E56" s="300">
        <v>15101</v>
      </c>
      <c r="F56" s="301"/>
      <c r="G56" s="300">
        <v>15242</v>
      </c>
      <c r="H56" s="301"/>
      <c r="I56" s="300">
        <v>15445</v>
      </c>
      <c r="J56" s="301"/>
      <c r="K56" s="11"/>
    </row>
    <row r="57" spans="1:11" x14ac:dyDescent="0.3">
      <c r="A57" s="284" t="s">
        <v>35</v>
      </c>
      <c r="B57" s="285"/>
      <c r="C57" s="286">
        <v>2255</v>
      </c>
      <c r="D57" s="287"/>
      <c r="E57" s="286">
        <v>2352</v>
      </c>
      <c r="F57" s="287"/>
      <c r="G57" s="286">
        <v>2401</v>
      </c>
      <c r="H57" s="287"/>
      <c r="I57" s="286">
        <v>2454</v>
      </c>
      <c r="J57" s="287"/>
    </row>
    <row r="58" spans="1:11" x14ac:dyDescent="0.3">
      <c r="A58" s="120" t="s">
        <v>36</v>
      </c>
      <c r="B58" s="121"/>
      <c r="C58" s="122">
        <f>SUM(C50:D57)</f>
        <v>209524</v>
      </c>
      <c r="D58" s="123"/>
      <c r="E58" s="122">
        <f>SUM(E50:F57)</f>
        <v>209549</v>
      </c>
      <c r="F58" s="123"/>
      <c r="G58" s="122">
        <f>SUM(G50:H57)</f>
        <v>209455</v>
      </c>
      <c r="H58" s="123"/>
      <c r="I58" s="122">
        <f>SUM(I50:J57)</f>
        <v>209589</v>
      </c>
      <c r="J58" s="123"/>
    </row>
    <row r="60" spans="1:11" x14ac:dyDescent="0.3">
      <c r="A60" s="124" t="s">
        <v>37</v>
      </c>
      <c r="B60" s="125"/>
      <c r="C60" s="130" t="s">
        <v>401</v>
      </c>
      <c r="D60" s="131"/>
      <c r="E60" s="130" t="s">
        <v>411</v>
      </c>
      <c r="F60" s="131"/>
      <c r="G60" s="130" t="s">
        <v>419</v>
      </c>
      <c r="H60" s="131"/>
      <c r="I60" s="130" t="s">
        <v>423</v>
      </c>
      <c r="J60" s="131"/>
    </row>
    <row r="61" spans="1:11" x14ac:dyDescent="0.3">
      <c r="A61" s="126"/>
      <c r="B61" s="127"/>
      <c r="C61" s="288">
        <v>137777</v>
      </c>
      <c r="D61" s="289"/>
      <c r="E61" s="288">
        <v>137908</v>
      </c>
      <c r="F61" s="289"/>
      <c r="G61" s="288">
        <v>137811</v>
      </c>
      <c r="H61" s="289"/>
      <c r="I61" s="288">
        <v>137905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293</v>
      </c>
      <c r="D66" s="115"/>
      <c r="E66" s="114" t="s">
        <v>330</v>
      </c>
      <c r="F66" s="115"/>
      <c r="G66" s="114" t="s">
        <v>368</v>
      </c>
      <c r="H66" s="115"/>
      <c r="I66" s="114" t="s">
        <v>402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27824</v>
      </c>
      <c r="D69" s="287"/>
      <c r="E69" s="286">
        <v>28056</v>
      </c>
      <c r="F69" s="287"/>
      <c r="G69" s="286">
        <v>28330</v>
      </c>
      <c r="H69" s="287"/>
      <c r="I69" s="286">
        <v>28575</v>
      </c>
      <c r="J69" s="287"/>
    </row>
    <row r="70" spans="1:10" x14ac:dyDescent="0.3">
      <c r="A70" s="101" t="s">
        <v>13</v>
      </c>
      <c r="B70" s="102"/>
      <c r="C70" s="286">
        <v>6783</v>
      </c>
      <c r="D70" s="287"/>
      <c r="E70" s="286">
        <v>6827</v>
      </c>
      <c r="F70" s="287"/>
      <c r="G70" s="286">
        <v>6883</v>
      </c>
      <c r="H70" s="287"/>
      <c r="I70" s="286">
        <v>6940</v>
      </c>
      <c r="J70" s="287"/>
    </row>
    <row r="71" spans="1:10" x14ac:dyDescent="0.3">
      <c r="A71" s="107" t="s">
        <v>14</v>
      </c>
      <c r="B71" s="108"/>
      <c r="C71" s="286">
        <v>5813</v>
      </c>
      <c r="D71" s="287"/>
      <c r="E71" s="286">
        <v>5890</v>
      </c>
      <c r="F71" s="287"/>
      <c r="G71" s="286">
        <v>5939</v>
      </c>
      <c r="H71" s="287"/>
      <c r="I71" s="286">
        <v>6008</v>
      </c>
      <c r="J71" s="287"/>
    </row>
    <row r="72" spans="1:10" x14ac:dyDescent="0.3">
      <c r="A72" s="107" t="s">
        <v>41</v>
      </c>
      <c r="B72" s="108"/>
      <c r="C72" s="286">
        <v>1247</v>
      </c>
      <c r="D72" s="287"/>
      <c r="E72" s="286">
        <v>1283</v>
      </c>
      <c r="F72" s="287"/>
      <c r="G72" s="286">
        <v>1322</v>
      </c>
      <c r="H72" s="287"/>
      <c r="I72" s="286">
        <v>1349</v>
      </c>
      <c r="J72" s="287"/>
    </row>
    <row r="73" spans="1:10" x14ac:dyDescent="0.3">
      <c r="A73" s="101" t="s">
        <v>15</v>
      </c>
      <c r="B73" s="102"/>
      <c r="C73" s="286">
        <v>4242</v>
      </c>
      <c r="D73" s="287"/>
      <c r="E73" s="286">
        <v>4273</v>
      </c>
      <c r="F73" s="287"/>
      <c r="G73" s="286">
        <v>4325</v>
      </c>
      <c r="H73" s="287"/>
      <c r="I73" s="286">
        <v>4391</v>
      </c>
      <c r="J73" s="287"/>
    </row>
    <row r="74" spans="1:10" x14ac:dyDescent="0.3">
      <c r="A74" s="107" t="s">
        <v>16</v>
      </c>
      <c r="B74" s="108"/>
      <c r="C74" s="286">
        <v>4634</v>
      </c>
      <c r="D74" s="287"/>
      <c r="E74" s="286">
        <v>4667</v>
      </c>
      <c r="F74" s="287"/>
      <c r="G74" s="286">
        <v>4699</v>
      </c>
      <c r="H74" s="287"/>
      <c r="I74" s="286">
        <v>4707</v>
      </c>
      <c r="J74" s="287"/>
    </row>
    <row r="75" spans="1:10" x14ac:dyDescent="0.3">
      <c r="A75" s="101" t="s">
        <v>17</v>
      </c>
      <c r="B75" s="102"/>
      <c r="C75" s="286">
        <v>6774</v>
      </c>
      <c r="D75" s="287"/>
      <c r="E75" s="286">
        <v>6888</v>
      </c>
      <c r="F75" s="287"/>
      <c r="G75" s="286">
        <v>6930</v>
      </c>
      <c r="H75" s="287"/>
      <c r="I75" s="286">
        <v>6987</v>
      </c>
      <c r="J75" s="287"/>
    </row>
    <row r="76" spans="1:10" x14ac:dyDescent="0.3">
      <c r="A76" s="107" t="s">
        <v>18</v>
      </c>
      <c r="B76" s="108"/>
      <c r="C76" s="286">
        <v>1469</v>
      </c>
      <c r="D76" s="287"/>
      <c r="E76" s="286">
        <v>1489</v>
      </c>
      <c r="F76" s="287"/>
      <c r="G76" s="286">
        <v>1501</v>
      </c>
      <c r="H76" s="287"/>
      <c r="I76" s="286">
        <v>1514</v>
      </c>
      <c r="J76" s="287"/>
    </row>
    <row r="77" spans="1:10" x14ac:dyDescent="0.3">
      <c r="A77" s="101" t="s">
        <v>19</v>
      </c>
      <c r="B77" s="102"/>
      <c r="C77" s="286">
        <v>5202</v>
      </c>
      <c r="D77" s="287"/>
      <c r="E77" s="286">
        <v>5282</v>
      </c>
      <c r="F77" s="287"/>
      <c r="G77" s="286">
        <v>5384</v>
      </c>
      <c r="H77" s="287"/>
      <c r="I77" s="286">
        <v>5510</v>
      </c>
      <c r="J77" s="287"/>
    </row>
    <row r="78" spans="1:10" x14ac:dyDescent="0.3">
      <c r="A78" s="105" t="s">
        <v>42</v>
      </c>
      <c r="B78" s="106"/>
      <c r="C78" s="103">
        <f>SUM(C69:C77)</f>
        <v>63988</v>
      </c>
      <c r="D78" s="104"/>
      <c r="E78" s="103">
        <f>SUM(E69:E77)</f>
        <v>64655</v>
      </c>
      <c r="F78" s="104"/>
      <c r="G78" s="103">
        <f>SUM(G69:G77)</f>
        <v>65313</v>
      </c>
      <c r="H78" s="104"/>
      <c r="I78" s="103">
        <f>SUM(I69:I77)</f>
        <v>65981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428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3096</v>
      </c>
      <c r="D5" s="299"/>
      <c r="E5" s="298">
        <v>2542</v>
      </c>
      <c r="F5" s="299"/>
      <c r="G5" s="298">
        <v>1903</v>
      </c>
      <c r="H5" s="299"/>
      <c r="I5" s="298">
        <v>6233</v>
      </c>
      <c r="J5" s="299"/>
      <c r="K5" s="302">
        <v>0</v>
      </c>
      <c r="L5" s="303"/>
      <c r="M5" s="12">
        <v>4210</v>
      </c>
      <c r="N5" s="10">
        <v>904</v>
      </c>
      <c r="O5" s="12">
        <v>9448</v>
      </c>
      <c r="P5" s="10">
        <v>2124</v>
      </c>
      <c r="Q5" s="10">
        <v>1285</v>
      </c>
    </row>
    <row r="6" spans="1:18" ht="13.5" customHeight="1" x14ac:dyDescent="0.3">
      <c r="A6" s="211" t="s">
        <v>11</v>
      </c>
      <c r="B6" s="212"/>
      <c r="C6" s="298">
        <v>609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356</v>
      </c>
      <c r="D7" s="240"/>
      <c r="E7" s="239">
        <v>205</v>
      </c>
      <c r="F7" s="240"/>
      <c r="G7" s="239">
        <v>6</v>
      </c>
      <c r="H7" s="240"/>
      <c r="I7" s="239">
        <v>213</v>
      </c>
      <c r="J7" s="240"/>
      <c r="K7" s="239">
        <v>85</v>
      </c>
      <c r="L7" s="240"/>
      <c r="M7" s="1">
        <v>571</v>
      </c>
      <c r="N7" s="1">
        <v>55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354</v>
      </c>
      <c r="D8" s="240"/>
      <c r="E8" s="239">
        <v>0</v>
      </c>
      <c r="F8" s="240"/>
      <c r="G8" s="239">
        <v>0</v>
      </c>
      <c r="H8" s="240"/>
      <c r="I8" s="239">
        <v>249</v>
      </c>
      <c r="J8" s="240"/>
      <c r="K8" s="239">
        <v>0</v>
      </c>
      <c r="L8" s="240"/>
      <c r="M8" s="1">
        <v>255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433</v>
      </c>
      <c r="D9" s="240"/>
      <c r="E9" s="239">
        <v>185</v>
      </c>
      <c r="F9" s="240"/>
      <c r="G9" s="239">
        <v>0</v>
      </c>
      <c r="H9" s="240"/>
      <c r="I9" s="239">
        <v>275</v>
      </c>
      <c r="J9" s="240"/>
      <c r="K9" s="239">
        <v>0</v>
      </c>
      <c r="L9" s="240"/>
      <c r="M9" s="1">
        <v>272</v>
      </c>
      <c r="N9" s="1">
        <v>50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476</v>
      </c>
      <c r="D10" s="240"/>
      <c r="E10" s="239">
        <v>113</v>
      </c>
      <c r="F10" s="240"/>
      <c r="G10" s="239">
        <v>62</v>
      </c>
      <c r="H10" s="240"/>
      <c r="I10" s="239">
        <v>125</v>
      </c>
      <c r="J10" s="240"/>
      <c r="K10" s="239">
        <v>0</v>
      </c>
      <c r="L10" s="240"/>
      <c r="M10" s="1">
        <v>160</v>
      </c>
      <c r="N10" s="1">
        <v>80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394</v>
      </c>
      <c r="D11" s="246"/>
      <c r="E11" s="239">
        <v>14</v>
      </c>
      <c r="F11" s="240"/>
      <c r="G11" s="239">
        <v>0</v>
      </c>
      <c r="H11" s="240"/>
      <c r="I11" s="239">
        <v>151</v>
      </c>
      <c r="J11" s="240"/>
      <c r="K11" s="239">
        <v>32</v>
      </c>
      <c r="L11" s="240"/>
      <c r="M11" s="1">
        <v>198</v>
      </c>
      <c r="N11" s="1">
        <v>184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283</v>
      </c>
      <c r="D12" s="246"/>
      <c r="E12" s="239">
        <v>0</v>
      </c>
      <c r="F12" s="240"/>
      <c r="G12" s="239">
        <v>0</v>
      </c>
      <c r="H12" s="240"/>
      <c r="I12" s="239">
        <v>189</v>
      </c>
      <c r="J12" s="240"/>
      <c r="K12" s="239">
        <v>0</v>
      </c>
      <c r="L12" s="240"/>
      <c r="M12" s="1">
        <v>142</v>
      </c>
      <c r="N12" s="1">
        <v>59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290</v>
      </c>
      <c r="D13" s="246"/>
      <c r="E13" s="239">
        <v>71</v>
      </c>
      <c r="F13" s="240"/>
      <c r="G13" s="239">
        <v>0</v>
      </c>
      <c r="H13" s="240"/>
      <c r="I13" s="239">
        <v>4</v>
      </c>
      <c r="J13" s="240"/>
      <c r="K13" s="239">
        <v>0</v>
      </c>
      <c r="L13" s="240"/>
      <c r="M13" s="1">
        <v>86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281</v>
      </c>
      <c r="D14" s="248"/>
      <c r="E14" s="247">
        <v>9</v>
      </c>
      <c r="F14" s="248"/>
      <c r="G14" s="247">
        <v>13</v>
      </c>
      <c r="H14" s="248"/>
      <c r="I14" s="239">
        <v>241</v>
      </c>
      <c r="J14" s="240"/>
      <c r="K14" s="247">
        <v>0</v>
      </c>
      <c r="L14" s="248"/>
      <c r="M14" s="2">
        <v>256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38">
        <v>2279</v>
      </c>
      <c r="P15" s="10">
        <v>2227</v>
      </c>
      <c r="Q15" s="10">
        <v>1850</v>
      </c>
    </row>
    <row r="16" spans="1:18" ht="15" thickBot="1" x14ac:dyDescent="0.35">
      <c r="A16" s="199" t="s">
        <v>20</v>
      </c>
      <c r="B16" s="200"/>
      <c r="C16" s="201">
        <f>SUM(C5:D15)</f>
        <v>6572</v>
      </c>
      <c r="D16" s="202"/>
      <c r="E16" s="201">
        <f>SUM(E5:F15)</f>
        <v>3139</v>
      </c>
      <c r="F16" s="202"/>
      <c r="G16" s="201">
        <f>SUM(G5:H15)</f>
        <v>1984</v>
      </c>
      <c r="H16" s="202"/>
      <c r="I16" s="201">
        <f>SUM(I5:J15)</f>
        <v>7680</v>
      </c>
      <c r="J16" s="202"/>
      <c r="K16" s="201">
        <f>SUM(K5:L15)</f>
        <v>117</v>
      </c>
      <c r="L16" s="202"/>
      <c r="M16" s="3">
        <f>SUM(M5:M15)</f>
        <v>6150</v>
      </c>
      <c r="N16" s="4">
        <f>SUM(N5:N15)</f>
        <v>1405</v>
      </c>
      <c r="O16" s="4">
        <f>SUM(O5:O15)</f>
        <v>11809</v>
      </c>
      <c r="P16" s="4">
        <f>SUM(P5:P15)</f>
        <v>4393</v>
      </c>
      <c r="Q16" s="5">
        <f>SUM(Q5:Q15)</f>
        <v>3143</v>
      </c>
    </row>
    <row r="17" spans="1:20" x14ac:dyDescent="0.3">
      <c r="A17" s="190" t="s">
        <v>21</v>
      </c>
      <c r="B17" s="191"/>
      <c r="C17" s="413">
        <v>3096</v>
      </c>
      <c r="D17" s="414"/>
      <c r="E17" s="298">
        <v>2542</v>
      </c>
      <c r="F17" s="299"/>
      <c r="G17" s="298">
        <v>1903</v>
      </c>
      <c r="H17" s="299"/>
      <c r="I17" s="298">
        <v>6233</v>
      </c>
      <c r="J17" s="299"/>
      <c r="K17" s="302">
        <v>0</v>
      </c>
      <c r="L17" s="303"/>
      <c r="M17" s="12">
        <v>3810</v>
      </c>
      <c r="N17" s="10">
        <v>904</v>
      </c>
      <c r="O17" s="12">
        <v>9448</v>
      </c>
      <c r="P17" s="10">
        <v>2124</v>
      </c>
      <c r="Q17" s="10">
        <v>1285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428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197</v>
      </c>
      <c r="D25" s="259"/>
      <c r="E25" s="260" t="s">
        <v>362</v>
      </c>
      <c r="F25" s="261"/>
      <c r="G25" s="258">
        <v>0</v>
      </c>
      <c r="H25" s="259"/>
      <c r="I25" s="258">
        <v>187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22</v>
      </c>
      <c r="D26" s="259"/>
      <c r="E26" s="260" t="s">
        <v>25</v>
      </c>
      <c r="F26" s="261"/>
      <c r="G26" s="258">
        <v>0</v>
      </c>
      <c r="H26" s="259"/>
      <c r="I26" s="258">
        <v>94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80</v>
      </c>
      <c r="D27" s="259"/>
      <c r="E27" s="260" t="s">
        <v>244</v>
      </c>
      <c r="F27" s="261"/>
      <c r="G27" s="258">
        <v>5</v>
      </c>
      <c r="H27" s="259"/>
      <c r="I27" s="258">
        <v>63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415</v>
      </c>
      <c r="D28" s="261"/>
      <c r="E28" s="260" t="s">
        <v>90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356</v>
      </c>
      <c r="D29" s="412"/>
      <c r="E29" s="260" t="s">
        <v>383</v>
      </c>
      <c r="F29" s="261"/>
      <c r="G29" s="258">
        <v>0</v>
      </c>
      <c r="H29" s="259"/>
      <c r="I29" s="258">
        <v>22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10</v>
      </c>
      <c r="D30" s="271"/>
      <c r="E30" s="258" t="s">
        <v>90</v>
      </c>
      <c r="F30" s="259"/>
      <c r="G30" s="258">
        <v>0</v>
      </c>
      <c r="H30" s="259"/>
      <c r="I30" s="258">
        <v>3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428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363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429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349</v>
      </c>
      <c r="D40" s="259"/>
      <c r="E40" s="276" t="s">
        <v>424</v>
      </c>
      <c r="F40" s="277"/>
      <c r="G40" s="258">
        <v>6</v>
      </c>
      <c r="H40" s="259"/>
      <c r="I40" s="258" t="s">
        <v>222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432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430</v>
      </c>
      <c r="D42" s="271"/>
      <c r="E42" s="276" t="s">
        <v>431</v>
      </c>
      <c r="F42" s="277"/>
      <c r="G42" s="258">
        <v>0</v>
      </c>
      <c r="H42" s="259"/>
      <c r="I42" s="258" t="s">
        <v>373</v>
      </c>
      <c r="J42" s="259"/>
      <c r="K42" s="8" t="s">
        <v>405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9</v>
      </c>
      <c r="D44" s="271"/>
      <c r="E44" s="258" t="s">
        <v>433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411</v>
      </c>
      <c r="D49" s="146"/>
      <c r="E49" s="145" t="s">
        <v>419</v>
      </c>
      <c r="F49" s="146"/>
      <c r="G49" s="145" t="s">
        <v>423</v>
      </c>
      <c r="H49" s="146"/>
      <c r="I49" s="145" t="s">
        <v>428</v>
      </c>
      <c r="J49" s="146"/>
    </row>
    <row r="50" spans="1:11" x14ac:dyDescent="0.3">
      <c r="A50" s="284" t="s">
        <v>30</v>
      </c>
      <c r="B50" s="285"/>
      <c r="C50" s="300">
        <v>13223</v>
      </c>
      <c r="D50" s="301"/>
      <c r="E50" s="300">
        <v>13195</v>
      </c>
      <c r="F50" s="301"/>
      <c r="G50" s="300">
        <v>13174</v>
      </c>
      <c r="H50" s="301"/>
      <c r="I50" s="300">
        <v>13131</v>
      </c>
      <c r="J50" s="301"/>
    </row>
    <row r="51" spans="1:11" x14ac:dyDescent="0.3">
      <c r="A51" s="284" t="s">
        <v>31</v>
      </c>
      <c r="B51" s="285"/>
      <c r="C51" s="286">
        <v>8885</v>
      </c>
      <c r="D51" s="287"/>
      <c r="E51" s="286">
        <v>8857</v>
      </c>
      <c r="F51" s="287"/>
      <c r="G51" s="286">
        <v>8891</v>
      </c>
      <c r="H51" s="287"/>
      <c r="I51" s="286">
        <v>8919</v>
      </c>
      <c r="J51" s="287"/>
    </row>
    <row r="52" spans="1:11" x14ac:dyDescent="0.3">
      <c r="A52" s="284" t="s">
        <v>32</v>
      </c>
      <c r="B52" s="285"/>
      <c r="C52" s="300">
        <v>114619</v>
      </c>
      <c r="D52" s="301"/>
      <c r="E52" s="300">
        <v>114496</v>
      </c>
      <c r="F52" s="301"/>
      <c r="G52" s="300">
        <v>114402</v>
      </c>
      <c r="H52" s="301"/>
      <c r="I52" s="300">
        <v>114326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239</v>
      </c>
      <c r="F53" s="287"/>
      <c r="G53" s="286">
        <v>240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50773</v>
      </c>
      <c r="D54" s="301"/>
      <c r="E54" s="300">
        <v>50667</v>
      </c>
      <c r="F54" s="301"/>
      <c r="G54" s="300">
        <v>50623</v>
      </c>
      <c r="H54" s="301"/>
      <c r="I54" s="300">
        <v>50570</v>
      </c>
      <c r="J54" s="301"/>
    </row>
    <row r="55" spans="1:11" x14ac:dyDescent="0.3">
      <c r="A55" s="284" t="s">
        <v>53</v>
      </c>
      <c r="B55" s="285"/>
      <c r="C55" s="286">
        <v>4356</v>
      </c>
      <c r="D55" s="287"/>
      <c r="E55" s="286">
        <v>4358</v>
      </c>
      <c r="F55" s="287"/>
      <c r="G55" s="286">
        <v>4360</v>
      </c>
      <c r="H55" s="287"/>
      <c r="I55" s="286">
        <v>4364</v>
      </c>
      <c r="J55" s="287"/>
    </row>
    <row r="56" spans="1:11" x14ac:dyDescent="0.3">
      <c r="A56" s="284" t="s">
        <v>49</v>
      </c>
      <c r="B56" s="285"/>
      <c r="C56" s="300">
        <v>15101</v>
      </c>
      <c r="D56" s="301"/>
      <c r="E56" s="300">
        <v>15242</v>
      </c>
      <c r="F56" s="301"/>
      <c r="G56" s="300">
        <v>15445</v>
      </c>
      <c r="H56" s="301"/>
      <c r="I56" s="300">
        <v>15655</v>
      </c>
      <c r="J56" s="301"/>
      <c r="K56" s="11"/>
    </row>
    <row r="57" spans="1:11" x14ac:dyDescent="0.3">
      <c r="A57" s="284" t="s">
        <v>35</v>
      </c>
      <c r="B57" s="285"/>
      <c r="C57" s="286">
        <v>2352</v>
      </c>
      <c r="D57" s="287"/>
      <c r="E57" s="286">
        <v>2401</v>
      </c>
      <c r="F57" s="287"/>
      <c r="G57" s="286">
        <v>2454</v>
      </c>
      <c r="H57" s="287"/>
      <c r="I57" s="286">
        <v>2486</v>
      </c>
      <c r="J57" s="287"/>
    </row>
    <row r="58" spans="1:11" x14ac:dyDescent="0.3">
      <c r="A58" s="120" t="s">
        <v>36</v>
      </c>
      <c r="B58" s="121"/>
      <c r="C58" s="122">
        <f>SUM(C50:D57)</f>
        <v>209549</v>
      </c>
      <c r="D58" s="123"/>
      <c r="E58" s="122">
        <f>SUM(E50:F57)</f>
        <v>209455</v>
      </c>
      <c r="F58" s="123"/>
      <c r="G58" s="122">
        <f>SUM(G50:H57)</f>
        <v>209589</v>
      </c>
      <c r="H58" s="123"/>
      <c r="I58" s="122">
        <f>SUM(I50:J57)</f>
        <v>209690</v>
      </c>
      <c r="J58" s="123"/>
    </row>
    <row r="60" spans="1:11" x14ac:dyDescent="0.3">
      <c r="A60" s="124" t="s">
        <v>37</v>
      </c>
      <c r="B60" s="125"/>
      <c r="C60" s="130" t="s">
        <v>411</v>
      </c>
      <c r="D60" s="131"/>
      <c r="E60" s="130" t="s">
        <v>419</v>
      </c>
      <c r="F60" s="131"/>
      <c r="G60" s="130" t="s">
        <v>423</v>
      </c>
      <c r="H60" s="131"/>
      <c r="I60" s="130" t="s">
        <v>428</v>
      </c>
      <c r="J60" s="131"/>
    </row>
    <row r="61" spans="1:11" x14ac:dyDescent="0.3">
      <c r="A61" s="126"/>
      <c r="B61" s="127"/>
      <c r="C61" s="288">
        <v>137908</v>
      </c>
      <c r="D61" s="289"/>
      <c r="E61" s="288">
        <v>137811</v>
      </c>
      <c r="F61" s="289"/>
      <c r="G61" s="288">
        <v>137905</v>
      </c>
      <c r="H61" s="289"/>
      <c r="I61" s="288">
        <v>138015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293</v>
      </c>
      <c r="D66" s="115"/>
      <c r="E66" s="114" t="s">
        <v>330</v>
      </c>
      <c r="F66" s="115"/>
      <c r="G66" s="114" t="s">
        <v>368</v>
      </c>
      <c r="H66" s="115"/>
      <c r="I66" s="114" t="s">
        <v>402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27824</v>
      </c>
      <c r="D69" s="287"/>
      <c r="E69" s="286">
        <v>28056</v>
      </c>
      <c r="F69" s="287"/>
      <c r="G69" s="286">
        <v>28330</v>
      </c>
      <c r="H69" s="287"/>
      <c r="I69" s="286">
        <v>28575</v>
      </c>
      <c r="J69" s="287"/>
    </row>
    <row r="70" spans="1:10" x14ac:dyDescent="0.3">
      <c r="A70" s="101" t="s">
        <v>13</v>
      </c>
      <c r="B70" s="102"/>
      <c r="C70" s="286">
        <v>6783</v>
      </c>
      <c r="D70" s="287"/>
      <c r="E70" s="286">
        <v>6827</v>
      </c>
      <c r="F70" s="287"/>
      <c r="G70" s="286">
        <v>6883</v>
      </c>
      <c r="H70" s="287"/>
      <c r="I70" s="286">
        <v>6940</v>
      </c>
      <c r="J70" s="287"/>
    </row>
    <row r="71" spans="1:10" x14ac:dyDescent="0.3">
      <c r="A71" s="107" t="s">
        <v>14</v>
      </c>
      <c r="B71" s="108"/>
      <c r="C71" s="286">
        <v>5813</v>
      </c>
      <c r="D71" s="287"/>
      <c r="E71" s="286">
        <v>5890</v>
      </c>
      <c r="F71" s="287"/>
      <c r="G71" s="286">
        <v>5939</v>
      </c>
      <c r="H71" s="287"/>
      <c r="I71" s="286">
        <v>6008</v>
      </c>
      <c r="J71" s="287"/>
    </row>
    <row r="72" spans="1:10" x14ac:dyDescent="0.3">
      <c r="A72" s="107" t="s">
        <v>41</v>
      </c>
      <c r="B72" s="108"/>
      <c r="C72" s="286">
        <v>1247</v>
      </c>
      <c r="D72" s="287"/>
      <c r="E72" s="286">
        <v>1283</v>
      </c>
      <c r="F72" s="287"/>
      <c r="G72" s="286">
        <v>1322</v>
      </c>
      <c r="H72" s="287"/>
      <c r="I72" s="286">
        <v>1349</v>
      </c>
      <c r="J72" s="287"/>
    </row>
    <row r="73" spans="1:10" x14ac:dyDescent="0.3">
      <c r="A73" s="101" t="s">
        <v>15</v>
      </c>
      <c r="B73" s="102"/>
      <c r="C73" s="286">
        <v>4242</v>
      </c>
      <c r="D73" s="287"/>
      <c r="E73" s="286">
        <v>4273</v>
      </c>
      <c r="F73" s="287"/>
      <c r="G73" s="286">
        <v>4325</v>
      </c>
      <c r="H73" s="287"/>
      <c r="I73" s="286">
        <v>4391</v>
      </c>
      <c r="J73" s="287"/>
    </row>
    <row r="74" spans="1:10" x14ac:dyDescent="0.3">
      <c r="A74" s="107" t="s">
        <v>16</v>
      </c>
      <c r="B74" s="108"/>
      <c r="C74" s="286">
        <v>4634</v>
      </c>
      <c r="D74" s="287"/>
      <c r="E74" s="286">
        <v>4667</v>
      </c>
      <c r="F74" s="287"/>
      <c r="G74" s="286">
        <v>4699</v>
      </c>
      <c r="H74" s="287"/>
      <c r="I74" s="286">
        <v>4707</v>
      </c>
      <c r="J74" s="287"/>
    </row>
    <row r="75" spans="1:10" x14ac:dyDescent="0.3">
      <c r="A75" s="101" t="s">
        <v>17</v>
      </c>
      <c r="B75" s="102"/>
      <c r="C75" s="286">
        <v>6774</v>
      </c>
      <c r="D75" s="287"/>
      <c r="E75" s="286">
        <v>6888</v>
      </c>
      <c r="F75" s="287"/>
      <c r="G75" s="286">
        <v>6930</v>
      </c>
      <c r="H75" s="287"/>
      <c r="I75" s="286">
        <v>6987</v>
      </c>
      <c r="J75" s="287"/>
    </row>
    <row r="76" spans="1:10" x14ac:dyDescent="0.3">
      <c r="A76" s="107" t="s">
        <v>18</v>
      </c>
      <c r="B76" s="108"/>
      <c r="C76" s="286">
        <v>1469</v>
      </c>
      <c r="D76" s="287"/>
      <c r="E76" s="286">
        <v>1489</v>
      </c>
      <c r="F76" s="287"/>
      <c r="G76" s="286">
        <v>1501</v>
      </c>
      <c r="H76" s="287"/>
      <c r="I76" s="286">
        <v>1514</v>
      </c>
      <c r="J76" s="287"/>
    </row>
    <row r="77" spans="1:10" x14ac:dyDescent="0.3">
      <c r="A77" s="101" t="s">
        <v>19</v>
      </c>
      <c r="B77" s="102"/>
      <c r="C77" s="286">
        <v>5202</v>
      </c>
      <c r="D77" s="287"/>
      <c r="E77" s="286">
        <v>5282</v>
      </c>
      <c r="F77" s="287"/>
      <c r="G77" s="286">
        <v>5384</v>
      </c>
      <c r="H77" s="287"/>
      <c r="I77" s="286">
        <v>5510</v>
      </c>
      <c r="J77" s="287"/>
    </row>
    <row r="78" spans="1:10" x14ac:dyDescent="0.3">
      <c r="A78" s="105" t="s">
        <v>42</v>
      </c>
      <c r="B78" s="106"/>
      <c r="C78" s="103">
        <f>SUM(C69:C77)</f>
        <v>63988</v>
      </c>
      <c r="D78" s="104"/>
      <c r="E78" s="103">
        <f>SUM(E69:E77)</f>
        <v>64655</v>
      </c>
      <c r="F78" s="104"/>
      <c r="G78" s="103">
        <f>SUM(G69:G77)</f>
        <v>65313</v>
      </c>
      <c r="H78" s="104"/>
      <c r="I78" s="103">
        <f>SUM(I69:I77)</f>
        <v>65981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78"/>
  <sheetViews>
    <sheetView workbookViewId="0">
      <selection activeCell="C13" sqref="C13:Q13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434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2996</v>
      </c>
      <c r="D5" s="299"/>
      <c r="E5" s="298">
        <v>2542</v>
      </c>
      <c r="F5" s="299"/>
      <c r="G5" s="298">
        <v>1903</v>
      </c>
      <c r="H5" s="299"/>
      <c r="I5" s="298">
        <v>5893</v>
      </c>
      <c r="J5" s="299"/>
      <c r="K5" s="302">
        <v>0</v>
      </c>
      <c r="L5" s="303"/>
      <c r="M5" s="12">
        <v>3970</v>
      </c>
      <c r="N5" s="10">
        <v>904</v>
      </c>
      <c r="O5" s="38">
        <v>8418</v>
      </c>
      <c r="P5" s="10">
        <v>1604</v>
      </c>
      <c r="Q5" s="10">
        <v>765</v>
      </c>
    </row>
    <row r="6" spans="1:18" ht="13.5" customHeight="1" x14ac:dyDescent="0.3">
      <c r="A6" s="211" t="s">
        <v>11</v>
      </c>
      <c r="B6" s="212"/>
      <c r="C6" s="298">
        <v>859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528</v>
      </c>
      <c r="D7" s="240"/>
      <c r="E7" s="239">
        <v>204</v>
      </c>
      <c r="F7" s="240"/>
      <c r="G7" s="239">
        <v>6</v>
      </c>
      <c r="H7" s="240"/>
      <c r="I7" s="239">
        <v>423</v>
      </c>
      <c r="J7" s="240"/>
      <c r="K7" s="239">
        <v>77</v>
      </c>
      <c r="L7" s="240"/>
      <c r="M7" s="1">
        <v>652</v>
      </c>
      <c r="N7" s="1">
        <v>55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329</v>
      </c>
      <c r="D8" s="240"/>
      <c r="E8" s="239">
        <v>0</v>
      </c>
      <c r="F8" s="240"/>
      <c r="G8" s="239">
        <v>0</v>
      </c>
      <c r="H8" s="240"/>
      <c r="I8" s="239">
        <v>215</v>
      </c>
      <c r="J8" s="240"/>
      <c r="K8" s="239">
        <v>0</v>
      </c>
      <c r="L8" s="240"/>
      <c r="M8" s="1">
        <v>250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423</v>
      </c>
      <c r="D9" s="240"/>
      <c r="E9" s="239">
        <v>166</v>
      </c>
      <c r="F9" s="240"/>
      <c r="G9" s="239">
        <v>0</v>
      </c>
      <c r="H9" s="240"/>
      <c r="I9" s="239">
        <v>275</v>
      </c>
      <c r="J9" s="240"/>
      <c r="K9" s="239">
        <v>4</v>
      </c>
      <c r="L9" s="240"/>
      <c r="M9" s="1">
        <v>271</v>
      </c>
      <c r="N9" s="1">
        <v>78</v>
      </c>
      <c r="O9" s="1">
        <v>0</v>
      </c>
      <c r="P9" s="1">
        <v>0</v>
      </c>
      <c r="Q9" s="1">
        <v>0</v>
      </c>
    </row>
    <row r="10" spans="1:18" x14ac:dyDescent="0.3">
      <c r="A10" s="101" t="s">
        <v>15</v>
      </c>
      <c r="B10" s="102"/>
      <c r="C10" s="239">
        <v>438</v>
      </c>
      <c r="D10" s="240"/>
      <c r="E10" s="239">
        <v>96</v>
      </c>
      <c r="F10" s="240"/>
      <c r="G10" s="239">
        <v>67</v>
      </c>
      <c r="H10" s="240"/>
      <c r="I10" s="239">
        <v>90</v>
      </c>
      <c r="J10" s="240"/>
      <c r="K10" s="239">
        <v>0</v>
      </c>
      <c r="L10" s="240"/>
      <c r="M10" s="1">
        <v>140</v>
      </c>
      <c r="N10" s="1">
        <v>65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380</v>
      </c>
      <c r="D11" s="246"/>
      <c r="E11" s="239">
        <v>14</v>
      </c>
      <c r="F11" s="240"/>
      <c r="G11" s="239">
        <v>0</v>
      </c>
      <c r="H11" s="240"/>
      <c r="I11" s="239">
        <v>108</v>
      </c>
      <c r="J11" s="240"/>
      <c r="K11" s="239">
        <v>32</v>
      </c>
      <c r="L11" s="240"/>
      <c r="M11" s="1">
        <v>191</v>
      </c>
      <c r="N11" s="1">
        <v>176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235</v>
      </c>
      <c r="D12" s="246"/>
      <c r="E12" s="239">
        <v>0</v>
      </c>
      <c r="F12" s="240"/>
      <c r="G12" s="239">
        <v>0</v>
      </c>
      <c r="H12" s="240"/>
      <c r="I12" s="239">
        <v>144</v>
      </c>
      <c r="J12" s="240"/>
      <c r="K12" s="239">
        <v>0</v>
      </c>
      <c r="L12" s="240"/>
      <c r="M12" s="1">
        <v>98</v>
      </c>
      <c r="N12" s="1">
        <v>55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208</v>
      </c>
      <c r="D13" s="246"/>
      <c r="E13" s="239">
        <v>51</v>
      </c>
      <c r="F13" s="240"/>
      <c r="G13" s="239">
        <v>0</v>
      </c>
      <c r="H13" s="240"/>
      <c r="I13" s="239">
        <v>3</v>
      </c>
      <c r="J13" s="240"/>
      <c r="K13" s="239">
        <v>0</v>
      </c>
      <c r="L13" s="240"/>
      <c r="M13" s="1">
        <v>76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338</v>
      </c>
      <c r="D14" s="248"/>
      <c r="E14" s="247">
        <v>9</v>
      </c>
      <c r="F14" s="248"/>
      <c r="G14" s="247">
        <v>13</v>
      </c>
      <c r="H14" s="248"/>
      <c r="I14" s="239">
        <v>282</v>
      </c>
      <c r="J14" s="240"/>
      <c r="K14" s="247">
        <v>0</v>
      </c>
      <c r="L14" s="248"/>
      <c r="M14" s="2">
        <v>279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12">
        <v>2787</v>
      </c>
      <c r="P15" s="10">
        <v>2514</v>
      </c>
      <c r="Q15" s="10">
        <v>2084</v>
      </c>
    </row>
    <row r="16" spans="1:18" ht="15" thickBot="1" x14ac:dyDescent="0.35">
      <c r="A16" s="199" t="s">
        <v>20</v>
      </c>
      <c r="B16" s="200"/>
      <c r="C16" s="201">
        <f>SUM(C5:D15)</f>
        <v>6734</v>
      </c>
      <c r="D16" s="202"/>
      <c r="E16" s="201">
        <f>SUM(E5:F15)</f>
        <v>3082</v>
      </c>
      <c r="F16" s="202"/>
      <c r="G16" s="201">
        <f>SUM(G5:H15)</f>
        <v>1989</v>
      </c>
      <c r="H16" s="202"/>
      <c r="I16" s="201">
        <f>SUM(I5:J15)</f>
        <v>7433</v>
      </c>
      <c r="J16" s="202"/>
      <c r="K16" s="201">
        <f>SUM(K5:L15)</f>
        <v>113</v>
      </c>
      <c r="L16" s="202"/>
      <c r="M16" s="3">
        <f>SUM(M5:M15)</f>
        <v>5927</v>
      </c>
      <c r="N16" s="4">
        <f>SUM(N5:N15)</f>
        <v>1406</v>
      </c>
      <c r="O16" s="4">
        <f>SUM(O5:O15)</f>
        <v>11287</v>
      </c>
      <c r="P16" s="4">
        <f>SUM(P5:P15)</f>
        <v>4148</v>
      </c>
      <c r="Q16" s="5">
        <f>SUM(Q5:Q15)</f>
        <v>2856</v>
      </c>
    </row>
    <row r="17" spans="1:20" x14ac:dyDescent="0.3">
      <c r="A17" s="190" t="s">
        <v>21</v>
      </c>
      <c r="B17" s="191"/>
      <c r="C17" s="413">
        <v>2996</v>
      </c>
      <c r="D17" s="414"/>
      <c r="E17" s="298">
        <v>2542</v>
      </c>
      <c r="F17" s="299"/>
      <c r="G17" s="298">
        <v>1903</v>
      </c>
      <c r="H17" s="299"/>
      <c r="I17" s="298">
        <v>5893</v>
      </c>
      <c r="J17" s="299"/>
      <c r="K17" s="302">
        <v>0</v>
      </c>
      <c r="L17" s="303"/>
      <c r="M17" s="12">
        <v>3570</v>
      </c>
      <c r="N17" s="10">
        <v>904</v>
      </c>
      <c r="O17" s="38">
        <v>8418</v>
      </c>
      <c r="P17" s="10">
        <v>1604</v>
      </c>
      <c r="Q17" s="10">
        <v>765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0" spans="1:20" x14ac:dyDescent="0.3">
      <c r="O20" s="40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434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108</v>
      </c>
      <c r="D25" s="259"/>
      <c r="E25" s="260" t="s">
        <v>283</v>
      </c>
      <c r="F25" s="261"/>
      <c r="G25" s="258">
        <v>0</v>
      </c>
      <c r="H25" s="259"/>
      <c r="I25" s="258">
        <v>187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31</v>
      </c>
      <c r="D26" s="259"/>
      <c r="E26" s="260" t="s">
        <v>25</v>
      </c>
      <c r="F26" s="261"/>
      <c r="G26" s="258">
        <v>0</v>
      </c>
      <c r="H26" s="259"/>
      <c r="I26" s="258">
        <v>98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75</v>
      </c>
      <c r="D27" s="259"/>
      <c r="E27" s="260" t="s">
        <v>307</v>
      </c>
      <c r="F27" s="261"/>
      <c r="G27" s="258">
        <v>5</v>
      </c>
      <c r="H27" s="259"/>
      <c r="I27" s="258">
        <v>62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439</v>
      </c>
      <c r="D28" s="261"/>
      <c r="E28" s="260" t="s">
        <v>440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356</v>
      </c>
      <c r="D29" s="412"/>
      <c r="E29" s="260" t="s">
        <v>383</v>
      </c>
      <c r="F29" s="261"/>
      <c r="G29" s="258">
        <v>0</v>
      </c>
      <c r="H29" s="259"/>
      <c r="I29" s="258">
        <v>27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8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434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363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441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438</v>
      </c>
      <c r="D40" s="259"/>
      <c r="E40" s="276" t="s">
        <v>163</v>
      </c>
      <c r="F40" s="277"/>
      <c r="G40" s="258">
        <v>6</v>
      </c>
      <c r="H40" s="259"/>
      <c r="I40" s="258" t="s">
        <v>405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432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430</v>
      </c>
      <c r="D42" s="271"/>
      <c r="E42" s="276" t="s">
        <v>436</v>
      </c>
      <c r="F42" s="277"/>
      <c r="G42" s="258">
        <v>0</v>
      </c>
      <c r="H42" s="259"/>
      <c r="I42" s="258" t="s">
        <v>377</v>
      </c>
      <c r="J42" s="259"/>
      <c r="K42" s="8" t="s">
        <v>437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10</v>
      </c>
      <c r="D44" s="271"/>
      <c r="E44" s="258" t="s">
        <v>433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419</v>
      </c>
      <c r="D49" s="146"/>
      <c r="E49" s="145" t="s">
        <v>423</v>
      </c>
      <c r="F49" s="146"/>
      <c r="G49" s="145" t="s">
        <v>428</v>
      </c>
      <c r="H49" s="146"/>
      <c r="I49" s="145" t="s">
        <v>434</v>
      </c>
      <c r="J49" s="146"/>
    </row>
    <row r="50" spans="1:11" x14ac:dyDescent="0.3">
      <c r="A50" s="284" t="s">
        <v>30</v>
      </c>
      <c r="B50" s="285"/>
      <c r="C50" s="300">
        <v>13195</v>
      </c>
      <c r="D50" s="301"/>
      <c r="E50" s="300">
        <v>13174</v>
      </c>
      <c r="F50" s="301"/>
      <c r="G50" s="300">
        <v>13131</v>
      </c>
      <c r="H50" s="301"/>
      <c r="I50" s="300">
        <v>13073</v>
      </c>
      <c r="J50" s="301"/>
    </row>
    <row r="51" spans="1:11" x14ac:dyDescent="0.3">
      <c r="A51" s="284" t="s">
        <v>31</v>
      </c>
      <c r="B51" s="285"/>
      <c r="C51" s="286">
        <v>8857</v>
      </c>
      <c r="D51" s="287"/>
      <c r="E51" s="286">
        <v>8891</v>
      </c>
      <c r="F51" s="287"/>
      <c r="G51" s="286">
        <v>8919</v>
      </c>
      <c r="H51" s="287"/>
      <c r="I51" s="286">
        <v>8978</v>
      </c>
      <c r="J51" s="287"/>
    </row>
    <row r="52" spans="1:11" x14ac:dyDescent="0.3">
      <c r="A52" s="284" t="s">
        <v>32</v>
      </c>
      <c r="B52" s="285"/>
      <c r="C52" s="300">
        <v>114496</v>
      </c>
      <c r="D52" s="301"/>
      <c r="E52" s="300">
        <v>114402</v>
      </c>
      <c r="F52" s="301"/>
      <c r="G52" s="300">
        <v>114326</v>
      </c>
      <c r="H52" s="301"/>
      <c r="I52" s="300">
        <v>114184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240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50667</v>
      </c>
      <c r="D54" s="301"/>
      <c r="E54" s="300">
        <v>50623</v>
      </c>
      <c r="F54" s="301"/>
      <c r="G54" s="300">
        <v>50570</v>
      </c>
      <c r="H54" s="301"/>
      <c r="I54" s="300">
        <v>50497</v>
      </c>
      <c r="J54" s="301"/>
    </row>
    <row r="55" spans="1:11" x14ac:dyDescent="0.3">
      <c r="A55" s="284" t="s">
        <v>53</v>
      </c>
      <c r="B55" s="285"/>
      <c r="C55" s="286">
        <v>4358</v>
      </c>
      <c r="D55" s="287"/>
      <c r="E55" s="286">
        <v>4360</v>
      </c>
      <c r="F55" s="287"/>
      <c r="G55" s="286">
        <v>4364</v>
      </c>
      <c r="H55" s="287"/>
      <c r="I55" s="286">
        <v>4360</v>
      </c>
      <c r="J55" s="287"/>
    </row>
    <row r="56" spans="1:11" x14ac:dyDescent="0.3">
      <c r="A56" s="284" t="s">
        <v>49</v>
      </c>
      <c r="B56" s="285"/>
      <c r="C56" s="300">
        <v>15242</v>
      </c>
      <c r="D56" s="301"/>
      <c r="E56" s="300">
        <v>15445</v>
      </c>
      <c r="F56" s="301"/>
      <c r="G56" s="300">
        <v>15655</v>
      </c>
      <c r="H56" s="301"/>
      <c r="I56" s="300">
        <v>15890</v>
      </c>
      <c r="J56" s="301"/>
      <c r="K56" s="11"/>
    </row>
    <row r="57" spans="1:11" x14ac:dyDescent="0.3">
      <c r="A57" s="284" t="s">
        <v>35</v>
      </c>
      <c r="B57" s="285"/>
      <c r="C57" s="286">
        <v>2401</v>
      </c>
      <c r="D57" s="287"/>
      <c r="E57" s="286">
        <v>2454</v>
      </c>
      <c r="F57" s="287"/>
      <c r="G57" s="286">
        <v>2486</v>
      </c>
      <c r="H57" s="287"/>
      <c r="I57" s="286">
        <v>2513</v>
      </c>
      <c r="J57" s="287"/>
    </row>
    <row r="58" spans="1:11" x14ac:dyDescent="0.3">
      <c r="A58" s="120" t="s">
        <v>36</v>
      </c>
      <c r="B58" s="121"/>
      <c r="C58" s="122">
        <f>SUM(C50:D57)</f>
        <v>209455</v>
      </c>
      <c r="D58" s="123"/>
      <c r="E58" s="122">
        <f>SUM(E50:F57)</f>
        <v>209589</v>
      </c>
      <c r="F58" s="123"/>
      <c r="G58" s="122">
        <f>SUM(G50:H57)</f>
        <v>209690</v>
      </c>
      <c r="H58" s="123"/>
      <c r="I58" s="122">
        <f>SUM(I50:J57)</f>
        <v>209734</v>
      </c>
      <c r="J58" s="123"/>
    </row>
    <row r="60" spans="1:11" x14ac:dyDescent="0.3">
      <c r="A60" s="124" t="s">
        <v>37</v>
      </c>
      <c r="B60" s="125"/>
      <c r="C60" s="130" t="s">
        <v>419</v>
      </c>
      <c r="D60" s="131"/>
      <c r="E60" s="130" t="s">
        <v>423</v>
      </c>
      <c r="F60" s="131"/>
      <c r="G60" s="130" t="s">
        <v>428</v>
      </c>
      <c r="H60" s="131"/>
      <c r="I60" s="130" t="s">
        <v>434</v>
      </c>
      <c r="J60" s="131"/>
    </row>
    <row r="61" spans="1:11" x14ac:dyDescent="0.3">
      <c r="A61" s="126"/>
      <c r="B61" s="127"/>
      <c r="C61" s="288">
        <v>137811</v>
      </c>
      <c r="D61" s="289"/>
      <c r="E61" s="288">
        <v>137905</v>
      </c>
      <c r="F61" s="289"/>
      <c r="G61" s="288">
        <v>138015</v>
      </c>
      <c r="H61" s="289"/>
      <c r="I61" s="288">
        <v>138021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330</v>
      </c>
      <c r="D66" s="115"/>
      <c r="E66" s="114" t="s">
        <v>368</v>
      </c>
      <c r="F66" s="115"/>
      <c r="G66" s="114" t="s">
        <v>402</v>
      </c>
      <c r="H66" s="115"/>
      <c r="I66" s="114" t="s">
        <v>435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ht="15" customHeight="1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28056</v>
      </c>
      <c r="D69" s="287"/>
      <c r="E69" s="286">
        <v>28330</v>
      </c>
      <c r="F69" s="287"/>
      <c r="G69" s="286">
        <v>28575</v>
      </c>
      <c r="H69" s="287"/>
      <c r="I69" s="286">
        <v>28847</v>
      </c>
      <c r="J69" s="287"/>
    </row>
    <row r="70" spans="1:10" x14ac:dyDescent="0.3">
      <c r="A70" s="101" t="s">
        <v>13</v>
      </c>
      <c r="B70" s="102"/>
      <c r="C70" s="286">
        <v>6827</v>
      </c>
      <c r="D70" s="287"/>
      <c r="E70" s="286">
        <v>6883</v>
      </c>
      <c r="F70" s="287"/>
      <c r="G70" s="286">
        <v>6940</v>
      </c>
      <c r="H70" s="287"/>
      <c r="I70" s="286">
        <v>6964</v>
      </c>
      <c r="J70" s="287"/>
    </row>
    <row r="71" spans="1:10" x14ac:dyDescent="0.3">
      <c r="A71" s="107" t="s">
        <v>14</v>
      </c>
      <c r="B71" s="108"/>
      <c r="C71" s="286">
        <v>5890</v>
      </c>
      <c r="D71" s="287"/>
      <c r="E71" s="286">
        <v>5939</v>
      </c>
      <c r="F71" s="287"/>
      <c r="G71" s="286">
        <v>6008</v>
      </c>
      <c r="H71" s="287"/>
      <c r="I71" s="286">
        <v>6082</v>
      </c>
      <c r="J71" s="287"/>
    </row>
    <row r="72" spans="1:10" x14ac:dyDescent="0.3">
      <c r="A72" s="107" t="s">
        <v>41</v>
      </c>
      <c r="B72" s="108"/>
      <c r="C72" s="286">
        <v>1283</v>
      </c>
      <c r="D72" s="287"/>
      <c r="E72" s="286">
        <v>1322</v>
      </c>
      <c r="F72" s="287"/>
      <c r="G72" s="286">
        <v>1349</v>
      </c>
      <c r="H72" s="287"/>
      <c r="I72" s="286">
        <v>1362</v>
      </c>
      <c r="J72" s="287"/>
    </row>
    <row r="73" spans="1:10" x14ac:dyDescent="0.3">
      <c r="A73" s="101" t="s">
        <v>15</v>
      </c>
      <c r="B73" s="102"/>
      <c r="C73" s="286">
        <v>4273</v>
      </c>
      <c r="D73" s="287"/>
      <c r="E73" s="286">
        <v>4325</v>
      </c>
      <c r="F73" s="287"/>
      <c r="G73" s="286">
        <v>4391</v>
      </c>
      <c r="H73" s="287"/>
      <c r="I73" s="286">
        <v>4462</v>
      </c>
      <c r="J73" s="287"/>
    </row>
    <row r="74" spans="1:10" x14ac:dyDescent="0.3">
      <c r="A74" s="107" t="s">
        <v>16</v>
      </c>
      <c r="B74" s="108"/>
      <c r="C74" s="286">
        <v>4667</v>
      </c>
      <c r="D74" s="287"/>
      <c r="E74" s="286">
        <v>4699</v>
      </c>
      <c r="F74" s="287"/>
      <c r="G74" s="286">
        <v>4707</v>
      </c>
      <c r="H74" s="287"/>
      <c r="I74" s="286">
        <v>4736</v>
      </c>
      <c r="J74" s="287"/>
    </row>
    <row r="75" spans="1:10" x14ac:dyDescent="0.3">
      <c r="A75" s="101" t="s">
        <v>17</v>
      </c>
      <c r="B75" s="102"/>
      <c r="C75" s="286">
        <v>6888</v>
      </c>
      <c r="D75" s="287"/>
      <c r="E75" s="286">
        <v>6930</v>
      </c>
      <c r="F75" s="287"/>
      <c r="G75" s="286">
        <v>6987</v>
      </c>
      <c r="H75" s="287"/>
      <c r="I75" s="286">
        <v>7119</v>
      </c>
      <c r="J75" s="287"/>
    </row>
    <row r="76" spans="1:10" x14ac:dyDescent="0.3">
      <c r="A76" s="107" t="s">
        <v>18</v>
      </c>
      <c r="B76" s="108"/>
      <c r="C76" s="286">
        <v>1489</v>
      </c>
      <c r="D76" s="287"/>
      <c r="E76" s="286">
        <v>1501</v>
      </c>
      <c r="F76" s="287"/>
      <c r="G76" s="286">
        <v>1514</v>
      </c>
      <c r="H76" s="287"/>
      <c r="I76" s="286">
        <v>1536</v>
      </c>
      <c r="J76" s="287"/>
    </row>
    <row r="77" spans="1:10" x14ac:dyDescent="0.3">
      <c r="A77" s="101" t="s">
        <v>19</v>
      </c>
      <c r="B77" s="102"/>
      <c r="C77" s="286">
        <v>5282</v>
      </c>
      <c r="D77" s="287"/>
      <c r="E77" s="286">
        <v>5384</v>
      </c>
      <c r="F77" s="287"/>
      <c r="G77" s="286">
        <v>5510</v>
      </c>
      <c r="H77" s="287"/>
      <c r="I77" s="286">
        <v>5598</v>
      </c>
      <c r="J77" s="287"/>
    </row>
    <row r="78" spans="1:10" x14ac:dyDescent="0.3">
      <c r="A78" s="105" t="s">
        <v>42</v>
      </c>
      <c r="B78" s="106"/>
      <c r="C78" s="103">
        <f>SUM(C69:C77)</f>
        <v>64655</v>
      </c>
      <c r="D78" s="104"/>
      <c r="E78" s="103">
        <f>SUM(E69:E77)</f>
        <v>65313</v>
      </c>
      <c r="F78" s="104"/>
      <c r="G78" s="103">
        <f>SUM(G69:G77)</f>
        <v>65981</v>
      </c>
      <c r="H78" s="104"/>
      <c r="I78" s="103">
        <f>SUM(I69:I77)</f>
        <v>66706</v>
      </c>
      <c r="J78" s="104"/>
    </row>
  </sheetData>
  <mergeCells count="310">
    <mergeCell ref="G74:H74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1:B71"/>
    <mergeCell ref="C71:D71"/>
    <mergeCell ref="E71:F71"/>
    <mergeCell ref="G71:H71"/>
    <mergeCell ref="I71:J71"/>
    <mergeCell ref="I74:J74"/>
    <mergeCell ref="A75:B75"/>
    <mergeCell ref="C75:D75"/>
    <mergeCell ref="E75:F75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K11:L11"/>
    <mergeCell ref="I11:J11"/>
    <mergeCell ref="G11:H11"/>
    <mergeCell ref="E11:F11"/>
    <mergeCell ref="C11:D11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442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2746</v>
      </c>
      <c r="D5" s="299"/>
      <c r="E5" s="298">
        <v>2542</v>
      </c>
      <c r="F5" s="299"/>
      <c r="G5" s="298">
        <v>1903</v>
      </c>
      <c r="H5" s="299"/>
      <c r="I5" s="298">
        <v>5393</v>
      </c>
      <c r="J5" s="299"/>
      <c r="K5" s="302">
        <v>0</v>
      </c>
      <c r="L5" s="303"/>
      <c r="M5" s="12">
        <v>3670</v>
      </c>
      <c r="N5" s="10">
        <v>804</v>
      </c>
      <c r="O5" s="38">
        <v>8018</v>
      </c>
      <c r="P5" s="10">
        <v>1404</v>
      </c>
      <c r="Q5" s="10">
        <v>525</v>
      </c>
    </row>
    <row r="6" spans="1:18" ht="13.5" customHeight="1" x14ac:dyDescent="0.3">
      <c r="A6" s="211" t="s">
        <v>11</v>
      </c>
      <c r="B6" s="212"/>
      <c r="C6" s="298">
        <v>859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482</v>
      </c>
      <c r="D7" s="240"/>
      <c r="E7" s="239">
        <v>204</v>
      </c>
      <c r="F7" s="240"/>
      <c r="G7" s="239">
        <v>6</v>
      </c>
      <c r="H7" s="240"/>
      <c r="I7" s="239">
        <v>310</v>
      </c>
      <c r="J7" s="240"/>
      <c r="K7" s="239">
        <v>65</v>
      </c>
      <c r="L7" s="240"/>
      <c r="M7" s="1">
        <v>540</v>
      </c>
      <c r="N7" s="1">
        <v>55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310</v>
      </c>
      <c r="D8" s="240"/>
      <c r="E8" s="239">
        <v>0</v>
      </c>
      <c r="F8" s="240"/>
      <c r="G8" s="239">
        <v>195</v>
      </c>
      <c r="H8" s="240"/>
      <c r="I8" s="239">
        <v>0</v>
      </c>
      <c r="J8" s="240"/>
      <c r="K8" s="239">
        <v>0</v>
      </c>
      <c r="L8" s="240"/>
      <c r="M8" s="1">
        <v>242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293</v>
      </c>
      <c r="D9" s="240"/>
      <c r="E9" s="239">
        <v>106</v>
      </c>
      <c r="F9" s="240"/>
      <c r="G9" s="239">
        <v>0</v>
      </c>
      <c r="H9" s="240"/>
      <c r="I9" s="239">
        <v>275</v>
      </c>
      <c r="J9" s="240"/>
      <c r="K9" s="239">
        <v>0</v>
      </c>
      <c r="L9" s="240"/>
      <c r="M9" s="1">
        <v>242</v>
      </c>
      <c r="N9" s="1">
        <v>78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393</v>
      </c>
      <c r="D10" s="240"/>
      <c r="E10" s="239">
        <v>80</v>
      </c>
      <c r="F10" s="240"/>
      <c r="G10" s="239">
        <v>67</v>
      </c>
      <c r="H10" s="240"/>
      <c r="I10" s="239">
        <v>60</v>
      </c>
      <c r="J10" s="240"/>
      <c r="K10" s="239">
        <v>0</v>
      </c>
      <c r="L10" s="240"/>
      <c r="M10" s="1">
        <v>132</v>
      </c>
      <c r="N10" s="1">
        <v>50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329</v>
      </c>
      <c r="D11" s="246"/>
      <c r="E11" s="239">
        <v>14</v>
      </c>
      <c r="F11" s="240"/>
      <c r="G11" s="239">
        <v>0</v>
      </c>
      <c r="H11" s="240"/>
      <c r="I11" s="239">
        <v>87</v>
      </c>
      <c r="J11" s="240"/>
      <c r="K11" s="239">
        <v>25</v>
      </c>
      <c r="L11" s="240"/>
      <c r="M11" s="1">
        <v>184</v>
      </c>
      <c r="N11" s="1">
        <v>171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300</v>
      </c>
      <c r="D12" s="246"/>
      <c r="E12" s="239">
        <v>0</v>
      </c>
      <c r="F12" s="240"/>
      <c r="G12" s="239">
        <v>0</v>
      </c>
      <c r="H12" s="240"/>
      <c r="I12" s="239">
        <v>401</v>
      </c>
      <c r="J12" s="240"/>
      <c r="K12" s="239">
        <v>0</v>
      </c>
      <c r="L12" s="240"/>
      <c r="M12" s="1">
        <v>353</v>
      </c>
      <c r="N12" s="1">
        <v>151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208</v>
      </c>
      <c r="D13" s="246"/>
      <c r="E13" s="239">
        <v>51</v>
      </c>
      <c r="F13" s="240"/>
      <c r="G13" s="239">
        <v>0</v>
      </c>
      <c r="H13" s="240"/>
      <c r="I13" s="239">
        <v>3</v>
      </c>
      <c r="J13" s="240"/>
      <c r="K13" s="239">
        <v>0</v>
      </c>
      <c r="L13" s="240"/>
      <c r="M13" s="1">
        <v>76</v>
      </c>
      <c r="N13" s="1">
        <v>49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286</v>
      </c>
      <c r="D14" s="248"/>
      <c r="E14" s="247">
        <v>8</v>
      </c>
      <c r="F14" s="248"/>
      <c r="G14" s="247">
        <v>13</v>
      </c>
      <c r="H14" s="248"/>
      <c r="I14" s="239">
        <v>243</v>
      </c>
      <c r="J14" s="240"/>
      <c r="K14" s="247">
        <v>0</v>
      </c>
      <c r="L14" s="248"/>
      <c r="M14" s="2">
        <v>256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12">
        <v>2668</v>
      </c>
      <c r="P15" s="10">
        <v>2450</v>
      </c>
      <c r="Q15" s="10">
        <v>2045</v>
      </c>
    </row>
    <row r="16" spans="1:18" ht="15" thickBot="1" x14ac:dyDescent="0.35">
      <c r="A16" s="199" t="s">
        <v>20</v>
      </c>
      <c r="B16" s="200"/>
      <c r="C16" s="201">
        <f>SUM(C5:D15)</f>
        <v>6206</v>
      </c>
      <c r="D16" s="202"/>
      <c r="E16" s="201">
        <f>SUM(E5:F15)</f>
        <v>3005</v>
      </c>
      <c r="F16" s="202"/>
      <c r="G16" s="201">
        <f>SUM(G5:H15)</f>
        <v>2184</v>
      </c>
      <c r="H16" s="202"/>
      <c r="I16" s="201">
        <f>SUM(I5:J15)</f>
        <v>6772</v>
      </c>
      <c r="J16" s="202"/>
      <c r="K16" s="201">
        <f>SUM(K5:L15)</f>
        <v>90</v>
      </c>
      <c r="L16" s="202"/>
      <c r="M16" s="3">
        <f>SUM(M5:M15)</f>
        <v>5695</v>
      </c>
      <c r="N16" s="4">
        <f>SUM(N5:N15)</f>
        <v>1382</v>
      </c>
      <c r="O16" s="4">
        <f>SUM(O5:O15)</f>
        <v>10768</v>
      </c>
      <c r="P16" s="4">
        <f>SUM(P5:P15)</f>
        <v>3896</v>
      </c>
      <c r="Q16" s="5">
        <f>SUM(Q5:Q15)</f>
        <v>2578</v>
      </c>
    </row>
    <row r="17" spans="1:20" x14ac:dyDescent="0.3">
      <c r="A17" s="190" t="s">
        <v>21</v>
      </c>
      <c r="B17" s="191"/>
      <c r="C17" s="413">
        <v>2746</v>
      </c>
      <c r="D17" s="414"/>
      <c r="E17" s="298">
        <v>2542</v>
      </c>
      <c r="F17" s="299"/>
      <c r="G17" s="298">
        <v>1903</v>
      </c>
      <c r="H17" s="299"/>
      <c r="I17" s="298">
        <v>5393</v>
      </c>
      <c r="J17" s="299"/>
      <c r="K17" s="302">
        <v>0</v>
      </c>
      <c r="L17" s="303"/>
      <c r="M17" s="12">
        <v>3270</v>
      </c>
      <c r="N17" s="10">
        <v>804</v>
      </c>
      <c r="O17" s="38">
        <v>8018</v>
      </c>
      <c r="P17" s="10">
        <v>1404</v>
      </c>
      <c r="Q17" s="10">
        <v>525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0" spans="1:20" x14ac:dyDescent="0.3">
      <c r="O20" s="40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442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104</v>
      </c>
      <c r="D25" s="259"/>
      <c r="E25" s="260" t="s">
        <v>448</v>
      </c>
      <c r="F25" s="261"/>
      <c r="G25" s="258">
        <v>0</v>
      </c>
      <c r="H25" s="259"/>
      <c r="I25" s="258">
        <v>186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25</v>
      </c>
      <c r="D26" s="259"/>
      <c r="E26" s="260" t="s">
        <v>25</v>
      </c>
      <c r="F26" s="261"/>
      <c r="G26" s="258">
        <v>0</v>
      </c>
      <c r="H26" s="259"/>
      <c r="I26" s="258">
        <v>98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86</v>
      </c>
      <c r="D27" s="259"/>
      <c r="E27" s="260" t="s">
        <v>446</v>
      </c>
      <c r="F27" s="261"/>
      <c r="G27" s="258">
        <v>1</v>
      </c>
      <c r="H27" s="259"/>
      <c r="I27" s="258">
        <v>64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449</v>
      </c>
      <c r="D28" s="261"/>
      <c r="E28" s="260" t="s">
        <v>450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443</v>
      </c>
      <c r="D29" s="412"/>
      <c r="E29" s="260" t="s">
        <v>383</v>
      </c>
      <c r="F29" s="261"/>
      <c r="G29" s="258">
        <v>0</v>
      </c>
      <c r="H29" s="259"/>
      <c r="I29" s="258">
        <v>25</v>
      </c>
      <c r="J29" s="259"/>
      <c r="K29" s="8">
        <v>2</v>
      </c>
    </row>
    <row r="30" spans="1:20" x14ac:dyDescent="0.3">
      <c r="A30" s="101" t="s">
        <v>17</v>
      </c>
      <c r="B30" s="102"/>
      <c r="C30" s="272">
        <v>6</v>
      </c>
      <c r="D30" s="271"/>
      <c r="E30" s="258" t="s">
        <v>90</v>
      </c>
      <c r="F30" s="259"/>
      <c r="G30" s="258">
        <v>0</v>
      </c>
      <c r="H30" s="259"/>
      <c r="I30" s="258">
        <v>1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442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363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451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447</v>
      </c>
      <c r="D40" s="259"/>
      <c r="E40" s="276" t="s">
        <v>309</v>
      </c>
      <c r="F40" s="277"/>
      <c r="G40" s="258">
        <v>6</v>
      </c>
      <c r="H40" s="259"/>
      <c r="I40" s="258" t="s">
        <v>247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432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444</v>
      </c>
      <c r="D42" s="271"/>
      <c r="E42" s="276" t="s">
        <v>436</v>
      </c>
      <c r="F42" s="277"/>
      <c r="G42" s="258">
        <v>0</v>
      </c>
      <c r="H42" s="259"/>
      <c r="I42" s="258" t="s">
        <v>377</v>
      </c>
      <c r="J42" s="259"/>
      <c r="K42" s="8" t="s">
        <v>445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10</v>
      </c>
      <c r="D44" s="271"/>
      <c r="E44" s="258" t="s">
        <v>433</v>
      </c>
      <c r="F44" s="259"/>
      <c r="G44" s="258">
        <v>0</v>
      </c>
      <c r="H44" s="259"/>
      <c r="I44" s="258">
        <v>7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423</v>
      </c>
      <c r="D49" s="146"/>
      <c r="E49" s="145" t="s">
        <v>428</v>
      </c>
      <c r="F49" s="146"/>
      <c r="G49" s="145" t="s">
        <v>434</v>
      </c>
      <c r="H49" s="146"/>
      <c r="I49" s="145" t="s">
        <v>442</v>
      </c>
      <c r="J49" s="146"/>
    </row>
    <row r="50" spans="1:11" x14ac:dyDescent="0.3">
      <c r="A50" s="284" t="s">
        <v>30</v>
      </c>
      <c r="B50" s="285"/>
      <c r="C50" s="300">
        <v>13174</v>
      </c>
      <c r="D50" s="301"/>
      <c r="E50" s="300">
        <v>13131</v>
      </c>
      <c r="F50" s="301"/>
      <c r="G50" s="300">
        <v>13073</v>
      </c>
      <c r="H50" s="301"/>
      <c r="I50" s="300">
        <v>13033</v>
      </c>
      <c r="J50" s="301"/>
    </row>
    <row r="51" spans="1:11" x14ac:dyDescent="0.3">
      <c r="A51" s="284" t="s">
        <v>31</v>
      </c>
      <c r="B51" s="285"/>
      <c r="C51" s="286">
        <v>8891</v>
      </c>
      <c r="D51" s="287"/>
      <c r="E51" s="286">
        <v>8919</v>
      </c>
      <c r="F51" s="287"/>
      <c r="G51" s="286">
        <v>8978</v>
      </c>
      <c r="H51" s="287"/>
      <c r="I51" s="286">
        <v>9050</v>
      </c>
      <c r="J51" s="287"/>
    </row>
    <row r="52" spans="1:11" x14ac:dyDescent="0.3">
      <c r="A52" s="284" t="s">
        <v>32</v>
      </c>
      <c r="B52" s="285"/>
      <c r="C52" s="300">
        <v>114402</v>
      </c>
      <c r="D52" s="301"/>
      <c r="E52" s="300">
        <v>114326</v>
      </c>
      <c r="F52" s="301"/>
      <c r="G52" s="300">
        <v>114184</v>
      </c>
      <c r="H52" s="301"/>
      <c r="I52" s="300">
        <v>114062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239</v>
      </c>
      <c r="F53" s="287"/>
      <c r="G53" s="286">
        <v>239</v>
      </c>
      <c r="H53" s="287"/>
      <c r="I53" s="286">
        <v>240</v>
      </c>
      <c r="J53" s="287"/>
    </row>
    <row r="54" spans="1:11" x14ac:dyDescent="0.3">
      <c r="A54" s="284" t="s">
        <v>34</v>
      </c>
      <c r="B54" s="285"/>
      <c r="C54" s="300">
        <v>50623</v>
      </c>
      <c r="D54" s="301"/>
      <c r="E54" s="300">
        <v>50570</v>
      </c>
      <c r="F54" s="301"/>
      <c r="G54" s="300">
        <v>50497</v>
      </c>
      <c r="H54" s="301"/>
      <c r="I54" s="300">
        <v>50401</v>
      </c>
      <c r="J54" s="301"/>
    </row>
    <row r="55" spans="1:11" x14ac:dyDescent="0.3">
      <c r="A55" s="284" t="s">
        <v>53</v>
      </c>
      <c r="B55" s="285"/>
      <c r="C55" s="286">
        <v>4360</v>
      </c>
      <c r="D55" s="287"/>
      <c r="E55" s="286">
        <v>4364</v>
      </c>
      <c r="F55" s="287"/>
      <c r="G55" s="286">
        <v>4360</v>
      </c>
      <c r="H55" s="287"/>
      <c r="I55" s="286">
        <v>4364</v>
      </c>
      <c r="J55" s="287"/>
    </row>
    <row r="56" spans="1:11" x14ac:dyDescent="0.3">
      <c r="A56" s="284" t="s">
        <v>49</v>
      </c>
      <c r="B56" s="285"/>
      <c r="C56" s="300">
        <v>15445</v>
      </c>
      <c r="D56" s="301"/>
      <c r="E56" s="300">
        <v>15655</v>
      </c>
      <c r="F56" s="301"/>
      <c r="G56" s="300">
        <v>15890</v>
      </c>
      <c r="H56" s="301"/>
      <c r="I56" s="300">
        <v>16029</v>
      </c>
      <c r="J56" s="301"/>
      <c r="K56" s="11"/>
    </row>
    <row r="57" spans="1:11" x14ac:dyDescent="0.3">
      <c r="A57" s="284" t="s">
        <v>35</v>
      </c>
      <c r="B57" s="285"/>
      <c r="C57" s="286">
        <v>2454</v>
      </c>
      <c r="D57" s="287"/>
      <c r="E57" s="286">
        <v>2486</v>
      </c>
      <c r="F57" s="287"/>
      <c r="G57" s="286">
        <v>2513</v>
      </c>
      <c r="H57" s="287"/>
      <c r="I57" s="286">
        <v>2547</v>
      </c>
      <c r="J57" s="287"/>
    </row>
    <row r="58" spans="1:11" x14ac:dyDescent="0.3">
      <c r="A58" s="120" t="s">
        <v>36</v>
      </c>
      <c r="B58" s="121"/>
      <c r="C58" s="122">
        <f>SUM(C50:D57)</f>
        <v>209589</v>
      </c>
      <c r="D58" s="123"/>
      <c r="E58" s="122">
        <f>SUM(E50:F57)</f>
        <v>209690</v>
      </c>
      <c r="F58" s="123"/>
      <c r="G58" s="122">
        <f>SUM(G50:H57)</f>
        <v>209734</v>
      </c>
      <c r="H58" s="123"/>
      <c r="I58" s="122">
        <f>SUM(I50:J57)</f>
        <v>209726</v>
      </c>
      <c r="J58" s="123"/>
    </row>
    <row r="60" spans="1:11" x14ac:dyDescent="0.3">
      <c r="A60" s="124" t="s">
        <v>37</v>
      </c>
      <c r="B60" s="125"/>
      <c r="C60" s="130" t="s">
        <v>423</v>
      </c>
      <c r="D60" s="131"/>
      <c r="E60" s="130" t="s">
        <v>428</v>
      </c>
      <c r="F60" s="131"/>
      <c r="G60" s="130" t="s">
        <v>434</v>
      </c>
      <c r="H60" s="131"/>
      <c r="I60" s="130" t="s">
        <v>442</v>
      </c>
      <c r="J60" s="131"/>
    </row>
    <row r="61" spans="1:11" x14ac:dyDescent="0.3">
      <c r="A61" s="126"/>
      <c r="B61" s="127"/>
      <c r="C61" s="288">
        <v>137905</v>
      </c>
      <c r="D61" s="289"/>
      <c r="E61" s="288">
        <v>138015</v>
      </c>
      <c r="F61" s="289"/>
      <c r="G61" s="288">
        <v>138021</v>
      </c>
      <c r="H61" s="289"/>
      <c r="I61" s="288">
        <v>138025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330</v>
      </c>
      <c r="D66" s="115"/>
      <c r="E66" s="114" t="s">
        <v>368</v>
      </c>
      <c r="F66" s="115"/>
      <c r="G66" s="114" t="s">
        <v>402</v>
      </c>
      <c r="H66" s="115"/>
      <c r="I66" s="114" t="s">
        <v>435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ht="15" customHeight="1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28056</v>
      </c>
      <c r="D69" s="287"/>
      <c r="E69" s="286">
        <v>28330</v>
      </c>
      <c r="F69" s="287"/>
      <c r="G69" s="286">
        <v>28575</v>
      </c>
      <c r="H69" s="287"/>
      <c r="I69" s="286">
        <v>28847</v>
      </c>
      <c r="J69" s="287"/>
    </row>
    <row r="70" spans="1:10" x14ac:dyDescent="0.3">
      <c r="A70" s="101" t="s">
        <v>13</v>
      </c>
      <c r="B70" s="102"/>
      <c r="C70" s="286">
        <v>6827</v>
      </c>
      <c r="D70" s="287"/>
      <c r="E70" s="286">
        <v>6883</v>
      </c>
      <c r="F70" s="287"/>
      <c r="G70" s="286">
        <v>6940</v>
      </c>
      <c r="H70" s="287"/>
      <c r="I70" s="286">
        <v>6964</v>
      </c>
      <c r="J70" s="287"/>
    </row>
    <row r="71" spans="1:10" x14ac:dyDescent="0.3">
      <c r="A71" s="107" t="s">
        <v>14</v>
      </c>
      <c r="B71" s="108"/>
      <c r="C71" s="286">
        <v>5890</v>
      </c>
      <c r="D71" s="287"/>
      <c r="E71" s="286">
        <v>5939</v>
      </c>
      <c r="F71" s="287"/>
      <c r="G71" s="286">
        <v>6008</v>
      </c>
      <c r="H71" s="287"/>
      <c r="I71" s="286">
        <v>6082</v>
      </c>
      <c r="J71" s="287"/>
    </row>
    <row r="72" spans="1:10" x14ac:dyDescent="0.3">
      <c r="A72" s="107" t="s">
        <v>41</v>
      </c>
      <c r="B72" s="108"/>
      <c r="C72" s="286">
        <v>1283</v>
      </c>
      <c r="D72" s="287"/>
      <c r="E72" s="286">
        <v>1322</v>
      </c>
      <c r="F72" s="287"/>
      <c r="G72" s="286">
        <v>1349</v>
      </c>
      <c r="H72" s="287"/>
      <c r="I72" s="286">
        <v>1362</v>
      </c>
      <c r="J72" s="287"/>
    </row>
    <row r="73" spans="1:10" x14ac:dyDescent="0.3">
      <c r="A73" s="101" t="s">
        <v>15</v>
      </c>
      <c r="B73" s="102"/>
      <c r="C73" s="286">
        <v>4273</v>
      </c>
      <c r="D73" s="287"/>
      <c r="E73" s="286">
        <v>4325</v>
      </c>
      <c r="F73" s="287"/>
      <c r="G73" s="286">
        <v>4391</v>
      </c>
      <c r="H73" s="287"/>
      <c r="I73" s="286">
        <v>4462</v>
      </c>
      <c r="J73" s="287"/>
    </row>
    <row r="74" spans="1:10" x14ac:dyDescent="0.3">
      <c r="A74" s="107" t="s">
        <v>16</v>
      </c>
      <c r="B74" s="108"/>
      <c r="C74" s="286">
        <v>4667</v>
      </c>
      <c r="D74" s="287"/>
      <c r="E74" s="286">
        <v>4699</v>
      </c>
      <c r="F74" s="287"/>
      <c r="G74" s="286">
        <v>4707</v>
      </c>
      <c r="H74" s="287"/>
      <c r="I74" s="286">
        <v>4736</v>
      </c>
      <c r="J74" s="287"/>
    </row>
    <row r="75" spans="1:10" x14ac:dyDescent="0.3">
      <c r="A75" s="101" t="s">
        <v>17</v>
      </c>
      <c r="B75" s="102"/>
      <c r="C75" s="286">
        <v>6888</v>
      </c>
      <c r="D75" s="287"/>
      <c r="E75" s="286">
        <v>6930</v>
      </c>
      <c r="F75" s="287"/>
      <c r="G75" s="286">
        <v>6987</v>
      </c>
      <c r="H75" s="287"/>
      <c r="I75" s="286">
        <v>7119</v>
      </c>
      <c r="J75" s="287"/>
    </row>
    <row r="76" spans="1:10" x14ac:dyDescent="0.3">
      <c r="A76" s="107" t="s">
        <v>18</v>
      </c>
      <c r="B76" s="108"/>
      <c r="C76" s="286">
        <v>1489</v>
      </c>
      <c r="D76" s="287"/>
      <c r="E76" s="286">
        <v>1501</v>
      </c>
      <c r="F76" s="287"/>
      <c r="G76" s="286">
        <v>1514</v>
      </c>
      <c r="H76" s="287"/>
      <c r="I76" s="286">
        <v>1536</v>
      </c>
      <c r="J76" s="287"/>
    </row>
    <row r="77" spans="1:10" x14ac:dyDescent="0.3">
      <c r="A77" s="101" t="s">
        <v>19</v>
      </c>
      <c r="B77" s="102"/>
      <c r="C77" s="286">
        <v>5282</v>
      </c>
      <c r="D77" s="287"/>
      <c r="E77" s="286">
        <v>5384</v>
      </c>
      <c r="F77" s="287"/>
      <c r="G77" s="286">
        <v>5510</v>
      </c>
      <c r="H77" s="287"/>
      <c r="I77" s="286">
        <v>5598</v>
      </c>
      <c r="J77" s="287"/>
    </row>
    <row r="78" spans="1:10" x14ac:dyDescent="0.3">
      <c r="A78" s="105" t="s">
        <v>42</v>
      </c>
      <c r="B78" s="106"/>
      <c r="C78" s="103">
        <f>SUM(C69:C77)</f>
        <v>64655</v>
      </c>
      <c r="D78" s="104"/>
      <c r="E78" s="103">
        <f>SUM(E69:E77)</f>
        <v>65313</v>
      </c>
      <c r="F78" s="104"/>
      <c r="G78" s="103">
        <f>SUM(G69:G77)</f>
        <v>65981</v>
      </c>
      <c r="H78" s="104"/>
      <c r="I78" s="103">
        <f>SUM(I69:I77)</f>
        <v>66706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452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2646</v>
      </c>
      <c r="D5" s="299"/>
      <c r="E5" s="298">
        <v>2262</v>
      </c>
      <c r="F5" s="299"/>
      <c r="G5" s="298">
        <v>1903</v>
      </c>
      <c r="H5" s="299"/>
      <c r="I5" s="298">
        <v>5383</v>
      </c>
      <c r="J5" s="299"/>
      <c r="K5" s="302">
        <v>0</v>
      </c>
      <c r="L5" s="303"/>
      <c r="M5" s="12">
        <v>3580</v>
      </c>
      <c r="N5" s="10">
        <v>754</v>
      </c>
      <c r="O5" s="38">
        <v>7688</v>
      </c>
      <c r="P5" s="10">
        <v>1274</v>
      </c>
      <c r="Q5" s="10">
        <v>365</v>
      </c>
    </row>
    <row r="6" spans="1:18" ht="13.5" customHeight="1" x14ac:dyDescent="0.3">
      <c r="A6" s="211" t="s">
        <v>11</v>
      </c>
      <c r="B6" s="212"/>
      <c r="C6" s="298">
        <v>859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395</v>
      </c>
      <c r="D7" s="240"/>
      <c r="E7" s="239">
        <v>204</v>
      </c>
      <c r="F7" s="240"/>
      <c r="G7" s="239">
        <v>6</v>
      </c>
      <c r="H7" s="240"/>
      <c r="I7" s="239">
        <v>193</v>
      </c>
      <c r="J7" s="240"/>
      <c r="K7" s="239">
        <v>53</v>
      </c>
      <c r="L7" s="240"/>
      <c r="M7" s="1">
        <v>398</v>
      </c>
      <c r="N7" s="1">
        <v>54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301</v>
      </c>
      <c r="D8" s="240"/>
      <c r="E8" s="239">
        <v>0</v>
      </c>
      <c r="F8" s="240"/>
      <c r="G8" s="239">
        <v>156</v>
      </c>
      <c r="H8" s="240"/>
      <c r="I8" s="239">
        <v>0</v>
      </c>
      <c r="J8" s="240"/>
      <c r="K8" s="239">
        <v>0</v>
      </c>
      <c r="L8" s="240"/>
      <c r="M8" s="1">
        <v>216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441</v>
      </c>
      <c r="D9" s="240"/>
      <c r="E9" s="239">
        <v>97</v>
      </c>
      <c r="F9" s="240"/>
      <c r="G9" s="239">
        <v>0</v>
      </c>
      <c r="H9" s="240"/>
      <c r="I9" s="239">
        <v>486</v>
      </c>
      <c r="J9" s="240"/>
      <c r="K9" s="239">
        <v>0</v>
      </c>
      <c r="L9" s="240"/>
      <c r="M9" s="1">
        <v>215</v>
      </c>
      <c r="N9" s="1">
        <v>78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350</v>
      </c>
      <c r="D10" s="240"/>
      <c r="E10" s="239">
        <v>242</v>
      </c>
      <c r="F10" s="240"/>
      <c r="G10" s="239">
        <v>67</v>
      </c>
      <c r="H10" s="240"/>
      <c r="I10" s="239">
        <v>40</v>
      </c>
      <c r="J10" s="240"/>
      <c r="K10" s="239">
        <v>0</v>
      </c>
      <c r="L10" s="240"/>
      <c r="M10" s="1">
        <v>160</v>
      </c>
      <c r="N10" s="1">
        <v>80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287</v>
      </c>
      <c r="D11" s="246"/>
      <c r="E11" s="239">
        <v>14</v>
      </c>
      <c r="F11" s="240"/>
      <c r="G11" s="239">
        <v>0</v>
      </c>
      <c r="H11" s="240"/>
      <c r="I11" s="239">
        <v>82</v>
      </c>
      <c r="J11" s="240"/>
      <c r="K11" s="239">
        <v>20</v>
      </c>
      <c r="L11" s="240"/>
      <c r="M11" s="1">
        <v>170</v>
      </c>
      <c r="N11" s="1">
        <v>164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280</v>
      </c>
      <c r="D12" s="246"/>
      <c r="E12" s="239">
        <v>0</v>
      </c>
      <c r="F12" s="240"/>
      <c r="G12" s="239">
        <v>0</v>
      </c>
      <c r="H12" s="240"/>
      <c r="I12" s="239">
        <v>361</v>
      </c>
      <c r="J12" s="240"/>
      <c r="K12" s="239">
        <v>0</v>
      </c>
      <c r="L12" s="240"/>
      <c r="M12" s="1">
        <v>318</v>
      </c>
      <c r="N12" s="1">
        <v>149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208</v>
      </c>
      <c r="D13" s="246"/>
      <c r="E13" s="239">
        <v>84</v>
      </c>
      <c r="F13" s="240"/>
      <c r="G13" s="239">
        <v>0</v>
      </c>
      <c r="H13" s="240"/>
      <c r="I13" s="239">
        <v>1</v>
      </c>
      <c r="J13" s="240"/>
      <c r="K13" s="239">
        <v>0</v>
      </c>
      <c r="L13" s="240"/>
      <c r="M13" s="1">
        <v>46</v>
      </c>
      <c r="N13" s="1">
        <v>44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238</v>
      </c>
      <c r="D14" s="248"/>
      <c r="E14" s="247">
        <v>8</v>
      </c>
      <c r="F14" s="248"/>
      <c r="G14" s="247">
        <v>13</v>
      </c>
      <c r="H14" s="248"/>
      <c r="I14" s="239">
        <v>218</v>
      </c>
      <c r="J14" s="240"/>
      <c r="K14" s="247">
        <v>0</v>
      </c>
      <c r="L14" s="248"/>
      <c r="M14" s="2">
        <v>220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12">
        <v>2614</v>
      </c>
      <c r="P15" s="10">
        <v>2234</v>
      </c>
      <c r="Q15" s="10">
        <v>1947</v>
      </c>
    </row>
    <row r="16" spans="1:18" ht="15" thickBot="1" x14ac:dyDescent="0.35">
      <c r="A16" s="199" t="s">
        <v>20</v>
      </c>
      <c r="B16" s="200"/>
      <c r="C16" s="201">
        <f>SUM(C5:D15)</f>
        <v>6005</v>
      </c>
      <c r="D16" s="202"/>
      <c r="E16" s="201">
        <f>SUM(E5:F15)</f>
        <v>2911</v>
      </c>
      <c r="F16" s="202"/>
      <c r="G16" s="201">
        <f>SUM(G5:H15)</f>
        <v>2145</v>
      </c>
      <c r="H16" s="202"/>
      <c r="I16" s="201">
        <f>SUM(I5:J15)</f>
        <v>6764</v>
      </c>
      <c r="J16" s="202"/>
      <c r="K16" s="201">
        <f>SUM(K5:L15)</f>
        <v>73</v>
      </c>
      <c r="L16" s="202"/>
      <c r="M16" s="3">
        <f>SUM(M5:M15)</f>
        <v>5323</v>
      </c>
      <c r="N16" s="4">
        <f>SUM(N5:N15)</f>
        <v>1347</v>
      </c>
      <c r="O16" s="4">
        <f>SUM(O5:O15)</f>
        <v>10384</v>
      </c>
      <c r="P16" s="4">
        <f>SUM(P5:P15)</f>
        <v>3550</v>
      </c>
      <c r="Q16" s="5">
        <f>SUM(Q5:Q15)</f>
        <v>2320</v>
      </c>
    </row>
    <row r="17" spans="1:20" x14ac:dyDescent="0.3">
      <c r="A17" s="190" t="s">
        <v>21</v>
      </c>
      <c r="B17" s="191"/>
      <c r="C17" s="413">
        <v>2646</v>
      </c>
      <c r="D17" s="414"/>
      <c r="E17" s="298">
        <v>2262</v>
      </c>
      <c r="F17" s="299"/>
      <c r="G17" s="298">
        <v>1903</v>
      </c>
      <c r="H17" s="299"/>
      <c r="I17" s="298">
        <v>5393</v>
      </c>
      <c r="J17" s="299"/>
      <c r="K17" s="302">
        <v>0</v>
      </c>
      <c r="L17" s="303"/>
      <c r="M17" s="12">
        <v>3180</v>
      </c>
      <c r="N17" s="10">
        <v>754</v>
      </c>
      <c r="O17" s="38">
        <v>7688</v>
      </c>
      <c r="P17" s="10">
        <v>1274</v>
      </c>
      <c r="Q17" s="10">
        <v>365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0" spans="1:20" x14ac:dyDescent="0.3">
      <c r="O20" s="40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452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117</v>
      </c>
      <c r="D25" s="259"/>
      <c r="E25" s="260" t="s">
        <v>337</v>
      </c>
      <c r="F25" s="261"/>
      <c r="G25" s="258">
        <v>0</v>
      </c>
      <c r="H25" s="259"/>
      <c r="I25" s="258">
        <v>186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36</v>
      </c>
      <c r="D26" s="259"/>
      <c r="E26" s="260" t="s">
        <v>25</v>
      </c>
      <c r="F26" s="261"/>
      <c r="G26" s="258">
        <v>0</v>
      </c>
      <c r="H26" s="259"/>
      <c r="I26" s="258">
        <v>139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85</v>
      </c>
      <c r="D27" s="259"/>
      <c r="E27" s="260" t="s">
        <v>353</v>
      </c>
      <c r="F27" s="261"/>
      <c r="G27" s="258">
        <v>1</v>
      </c>
      <c r="H27" s="259"/>
      <c r="I27" s="258">
        <v>64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449</v>
      </c>
      <c r="D28" s="261"/>
      <c r="E28" s="260" t="s">
        <v>90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457</v>
      </c>
      <c r="D29" s="412"/>
      <c r="E29" s="260" t="s">
        <v>25</v>
      </c>
      <c r="F29" s="261"/>
      <c r="G29" s="258">
        <v>0</v>
      </c>
      <c r="H29" s="259"/>
      <c r="I29" s="258">
        <v>7</v>
      </c>
      <c r="J29" s="259"/>
      <c r="K29" s="8">
        <v>0</v>
      </c>
    </row>
    <row r="30" spans="1:20" x14ac:dyDescent="0.3">
      <c r="A30" s="101" t="s">
        <v>17</v>
      </c>
      <c r="B30" s="102"/>
      <c r="C30" s="272">
        <v>4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7</v>
      </c>
      <c r="D31" s="271"/>
      <c r="E31" s="260" t="s">
        <v>25</v>
      </c>
      <c r="F31" s="261"/>
      <c r="G31" s="258">
        <v>0</v>
      </c>
      <c r="H31" s="259"/>
      <c r="I31" s="258">
        <v>0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452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380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459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447</v>
      </c>
      <c r="D40" s="259"/>
      <c r="E40" s="276" t="s">
        <v>309</v>
      </c>
      <c r="F40" s="277"/>
      <c r="G40" s="258">
        <v>6</v>
      </c>
      <c r="H40" s="259"/>
      <c r="I40" s="258" t="s">
        <v>247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460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454</v>
      </c>
      <c r="D42" s="271"/>
      <c r="E42" s="276" t="s">
        <v>455</v>
      </c>
      <c r="F42" s="277"/>
      <c r="G42" s="258">
        <v>0</v>
      </c>
      <c r="H42" s="259"/>
      <c r="I42" s="258" t="s">
        <v>377</v>
      </c>
      <c r="J42" s="259"/>
      <c r="K42" s="8" t="s">
        <v>456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2</v>
      </c>
      <c r="D44" s="271"/>
      <c r="E44" s="258" t="s">
        <v>458</v>
      </c>
      <c r="F44" s="259"/>
      <c r="G44" s="258">
        <v>0</v>
      </c>
      <c r="H44" s="259"/>
      <c r="I44" s="258">
        <v>4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428</v>
      </c>
      <c r="D49" s="146"/>
      <c r="E49" s="145" t="s">
        <v>434</v>
      </c>
      <c r="F49" s="146"/>
      <c r="G49" s="145" t="s">
        <v>442</v>
      </c>
      <c r="H49" s="146"/>
      <c r="I49" s="145" t="s">
        <v>452</v>
      </c>
      <c r="J49" s="146"/>
    </row>
    <row r="50" spans="1:11" x14ac:dyDescent="0.3">
      <c r="A50" s="284" t="s">
        <v>30</v>
      </c>
      <c r="B50" s="285"/>
      <c r="C50" s="300">
        <v>13131</v>
      </c>
      <c r="D50" s="301"/>
      <c r="E50" s="300">
        <v>13073</v>
      </c>
      <c r="F50" s="301"/>
      <c r="G50" s="300">
        <v>13033</v>
      </c>
      <c r="H50" s="301"/>
      <c r="I50" s="300">
        <v>12980</v>
      </c>
      <c r="J50" s="301"/>
    </row>
    <row r="51" spans="1:11" x14ac:dyDescent="0.3">
      <c r="A51" s="284" t="s">
        <v>31</v>
      </c>
      <c r="B51" s="285"/>
      <c r="C51" s="286">
        <v>8919</v>
      </c>
      <c r="D51" s="287"/>
      <c r="E51" s="286">
        <v>8978</v>
      </c>
      <c r="F51" s="287"/>
      <c r="G51" s="286">
        <v>9050</v>
      </c>
      <c r="H51" s="287"/>
      <c r="I51" s="286">
        <v>9112</v>
      </c>
      <c r="J51" s="287"/>
    </row>
    <row r="52" spans="1:11" x14ac:dyDescent="0.3">
      <c r="A52" s="284" t="s">
        <v>32</v>
      </c>
      <c r="B52" s="285"/>
      <c r="C52" s="300">
        <v>114326</v>
      </c>
      <c r="D52" s="301"/>
      <c r="E52" s="300">
        <v>114184</v>
      </c>
      <c r="F52" s="301"/>
      <c r="G52" s="300">
        <v>114062</v>
      </c>
      <c r="H52" s="301"/>
      <c r="I52" s="300">
        <v>114001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240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50570</v>
      </c>
      <c r="D54" s="301"/>
      <c r="E54" s="300">
        <v>50497</v>
      </c>
      <c r="F54" s="301"/>
      <c r="G54" s="300">
        <v>50401</v>
      </c>
      <c r="H54" s="301"/>
      <c r="I54" s="300">
        <v>50364</v>
      </c>
      <c r="J54" s="301"/>
    </row>
    <row r="55" spans="1:11" x14ac:dyDescent="0.3">
      <c r="A55" s="284" t="s">
        <v>53</v>
      </c>
      <c r="B55" s="285"/>
      <c r="C55" s="286">
        <v>4364</v>
      </c>
      <c r="D55" s="287"/>
      <c r="E55" s="286">
        <v>4360</v>
      </c>
      <c r="F55" s="287"/>
      <c r="G55" s="286">
        <v>4364</v>
      </c>
      <c r="H55" s="287"/>
      <c r="I55" s="286">
        <v>4382</v>
      </c>
      <c r="J55" s="287"/>
    </row>
    <row r="56" spans="1:11" x14ac:dyDescent="0.3">
      <c r="A56" s="284" t="s">
        <v>49</v>
      </c>
      <c r="B56" s="285"/>
      <c r="C56" s="300">
        <v>15655</v>
      </c>
      <c r="D56" s="301"/>
      <c r="E56" s="300">
        <v>15890</v>
      </c>
      <c r="F56" s="301"/>
      <c r="G56" s="300">
        <v>16029</v>
      </c>
      <c r="H56" s="301"/>
      <c r="I56" s="300">
        <v>16227</v>
      </c>
      <c r="J56" s="301"/>
      <c r="K56" s="11"/>
    </row>
    <row r="57" spans="1:11" x14ac:dyDescent="0.3">
      <c r="A57" s="284" t="s">
        <v>35</v>
      </c>
      <c r="B57" s="285"/>
      <c r="C57" s="286">
        <v>2486</v>
      </c>
      <c r="D57" s="287"/>
      <c r="E57" s="286">
        <v>2513</v>
      </c>
      <c r="F57" s="287"/>
      <c r="G57" s="286">
        <v>2547</v>
      </c>
      <c r="H57" s="287"/>
      <c r="I57" s="286">
        <v>2550</v>
      </c>
      <c r="J57" s="287"/>
    </row>
    <row r="58" spans="1:11" x14ac:dyDescent="0.3">
      <c r="A58" s="120" t="s">
        <v>36</v>
      </c>
      <c r="B58" s="121"/>
      <c r="C58" s="122">
        <f>SUM(C50:D57)</f>
        <v>209690</v>
      </c>
      <c r="D58" s="123"/>
      <c r="E58" s="122">
        <f>SUM(E50:F57)</f>
        <v>209734</v>
      </c>
      <c r="F58" s="123"/>
      <c r="G58" s="122">
        <f>SUM(G50:H57)</f>
        <v>209726</v>
      </c>
      <c r="H58" s="123"/>
      <c r="I58" s="122">
        <f>SUM(I50:J57)</f>
        <v>209855</v>
      </c>
      <c r="J58" s="123"/>
    </row>
    <row r="60" spans="1:11" x14ac:dyDescent="0.3">
      <c r="A60" s="124" t="s">
        <v>37</v>
      </c>
      <c r="B60" s="125"/>
      <c r="C60" s="130" t="s">
        <v>428</v>
      </c>
      <c r="D60" s="131"/>
      <c r="E60" s="130" t="s">
        <v>434</v>
      </c>
      <c r="F60" s="131"/>
      <c r="G60" s="130" t="s">
        <v>442</v>
      </c>
      <c r="H60" s="131"/>
      <c r="I60" s="130" t="s">
        <v>452</v>
      </c>
      <c r="J60" s="131"/>
    </row>
    <row r="61" spans="1:11" x14ac:dyDescent="0.3">
      <c r="A61" s="126"/>
      <c r="B61" s="127"/>
      <c r="C61" s="288">
        <v>138015</v>
      </c>
      <c r="D61" s="289"/>
      <c r="E61" s="288">
        <v>138021</v>
      </c>
      <c r="F61" s="289"/>
      <c r="G61" s="288">
        <v>138025</v>
      </c>
      <c r="H61" s="289"/>
      <c r="I61" s="288">
        <v>138131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330</v>
      </c>
      <c r="D66" s="115"/>
      <c r="E66" s="114" t="s">
        <v>368</v>
      </c>
      <c r="F66" s="115"/>
      <c r="G66" s="114" t="s">
        <v>402</v>
      </c>
      <c r="H66" s="115"/>
      <c r="I66" s="114" t="s">
        <v>435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ht="15" customHeight="1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28056</v>
      </c>
      <c r="D69" s="287"/>
      <c r="E69" s="286">
        <v>28330</v>
      </c>
      <c r="F69" s="287"/>
      <c r="G69" s="286">
        <v>28575</v>
      </c>
      <c r="H69" s="287"/>
      <c r="I69" s="286">
        <v>28847</v>
      </c>
      <c r="J69" s="287"/>
    </row>
    <row r="70" spans="1:10" x14ac:dyDescent="0.3">
      <c r="A70" s="101" t="s">
        <v>13</v>
      </c>
      <c r="B70" s="102"/>
      <c r="C70" s="286">
        <v>6827</v>
      </c>
      <c r="D70" s="287"/>
      <c r="E70" s="286">
        <v>6883</v>
      </c>
      <c r="F70" s="287"/>
      <c r="G70" s="286">
        <v>6940</v>
      </c>
      <c r="H70" s="287"/>
      <c r="I70" s="286">
        <v>6964</v>
      </c>
      <c r="J70" s="287"/>
    </row>
    <row r="71" spans="1:10" x14ac:dyDescent="0.3">
      <c r="A71" s="107" t="s">
        <v>14</v>
      </c>
      <c r="B71" s="108"/>
      <c r="C71" s="286">
        <v>5890</v>
      </c>
      <c r="D71" s="287"/>
      <c r="E71" s="286">
        <v>5939</v>
      </c>
      <c r="F71" s="287"/>
      <c r="G71" s="286">
        <v>6008</v>
      </c>
      <c r="H71" s="287"/>
      <c r="I71" s="286">
        <v>6082</v>
      </c>
      <c r="J71" s="287"/>
    </row>
    <row r="72" spans="1:10" x14ac:dyDescent="0.3">
      <c r="A72" s="107" t="s">
        <v>41</v>
      </c>
      <c r="B72" s="108"/>
      <c r="C72" s="286">
        <v>1283</v>
      </c>
      <c r="D72" s="287"/>
      <c r="E72" s="286">
        <v>1322</v>
      </c>
      <c r="F72" s="287"/>
      <c r="G72" s="286">
        <v>1349</v>
      </c>
      <c r="H72" s="287"/>
      <c r="I72" s="286">
        <v>1362</v>
      </c>
      <c r="J72" s="287"/>
    </row>
    <row r="73" spans="1:10" x14ac:dyDescent="0.3">
      <c r="A73" s="101" t="s">
        <v>15</v>
      </c>
      <c r="B73" s="102"/>
      <c r="C73" s="286">
        <v>4273</v>
      </c>
      <c r="D73" s="287"/>
      <c r="E73" s="286">
        <v>4325</v>
      </c>
      <c r="F73" s="287"/>
      <c r="G73" s="286">
        <v>4391</v>
      </c>
      <c r="H73" s="287"/>
      <c r="I73" s="286">
        <v>4462</v>
      </c>
      <c r="J73" s="287"/>
    </row>
    <row r="74" spans="1:10" x14ac:dyDescent="0.3">
      <c r="A74" s="107" t="s">
        <v>16</v>
      </c>
      <c r="B74" s="108"/>
      <c r="C74" s="286">
        <v>4667</v>
      </c>
      <c r="D74" s="287"/>
      <c r="E74" s="286">
        <v>4699</v>
      </c>
      <c r="F74" s="287"/>
      <c r="G74" s="286">
        <v>4707</v>
      </c>
      <c r="H74" s="287"/>
      <c r="I74" s="286">
        <v>4736</v>
      </c>
      <c r="J74" s="287"/>
    </row>
    <row r="75" spans="1:10" x14ac:dyDescent="0.3">
      <c r="A75" s="101" t="s">
        <v>17</v>
      </c>
      <c r="B75" s="102"/>
      <c r="C75" s="286">
        <v>6888</v>
      </c>
      <c r="D75" s="287"/>
      <c r="E75" s="286">
        <v>6930</v>
      </c>
      <c r="F75" s="287"/>
      <c r="G75" s="286">
        <v>6987</v>
      </c>
      <c r="H75" s="287"/>
      <c r="I75" s="286">
        <v>7119</v>
      </c>
      <c r="J75" s="287"/>
    </row>
    <row r="76" spans="1:10" x14ac:dyDescent="0.3">
      <c r="A76" s="107" t="s">
        <v>18</v>
      </c>
      <c r="B76" s="108"/>
      <c r="C76" s="286">
        <v>1489</v>
      </c>
      <c r="D76" s="287"/>
      <c r="E76" s="286">
        <v>1501</v>
      </c>
      <c r="F76" s="287"/>
      <c r="G76" s="286">
        <v>1514</v>
      </c>
      <c r="H76" s="287"/>
      <c r="I76" s="286">
        <v>1536</v>
      </c>
      <c r="J76" s="287"/>
    </row>
    <row r="77" spans="1:10" x14ac:dyDescent="0.3">
      <c r="A77" s="101" t="s">
        <v>19</v>
      </c>
      <c r="B77" s="102"/>
      <c r="C77" s="286">
        <v>5282</v>
      </c>
      <c r="D77" s="287"/>
      <c r="E77" s="286">
        <v>5384</v>
      </c>
      <c r="F77" s="287"/>
      <c r="G77" s="286">
        <v>5510</v>
      </c>
      <c r="H77" s="287"/>
      <c r="I77" s="286">
        <v>5598</v>
      </c>
      <c r="J77" s="287"/>
    </row>
    <row r="78" spans="1:10" x14ac:dyDescent="0.3">
      <c r="A78" s="105" t="s">
        <v>42</v>
      </c>
      <c r="B78" s="106"/>
      <c r="C78" s="103">
        <f>SUM(C69:C77)</f>
        <v>64655</v>
      </c>
      <c r="D78" s="104"/>
      <c r="E78" s="103">
        <f>SUM(E69:E77)</f>
        <v>65313</v>
      </c>
      <c r="F78" s="104"/>
      <c r="G78" s="103">
        <f>SUM(G69:G77)</f>
        <v>65981</v>
      </c>
      <c r="H78" s="104"/>
      <c r="I78" s="103">
        <f>SUM(I69:I77)</f>
        <v>66706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78"/>
  <sheetViews>
    <sheetView workbookViewId="0">
      <selection activeCell="A54" sqref="A54:XFD54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461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2496</v>
      </c>
      <c r="D5" s="299"/>
      <c r="E5" s="298">
        <v>2262</v>
      </c>
      <c r="F5" s="299"/>
      <c r="G5" s="298">
        <v>1903</v>
      </c>
      <c r="H5" s="299"/>
      <c r="I5" s="298">
        <v>5045</v>
      </c>
      <c r="J5" s="299"/>
      <c r="K5" s="302">
        <v>0</v>
      </c>
      <c r="L5" s="303"/>
      <c r="M5" s="12">
        <v>3440</v>
      </c>
      <c r="N5" s="10">
        <v>754</v>
      </c>
      <c r="O5" s="38">
        <v>7458</v>
      </c>
      <c r="P5" s="10">
        <v>1009</v>
      </c>
      <c r="Q5" s="10">
        <v>100</v>
      </c>
    </row>
    <row r="6" spans="1:18" ht="13.5" customHeight="1" x14ac:dyDescent="0.3">
      <c r="A6" s="211" t="s">
        <v>11</v>
      </c>
      <c r="B6" s="212"/>
      <c r="C6" s="298">
        <v>1277</v>
      </c>
      <c r="D6" s="299"/>
      <c r="E6" s="298">
        <v>19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9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325</v>
      </c>
      <c r="D7" s="240"/>
      <c r="E7" s="239">
        <v>120</v>
      </c>
      <c r="F7" s="240"/>
      <c r="G7" s="239">
        <v>6</v>
      </c>
      <c r="H7" s="240"/>
      <c r="I7" s="239">
        <v>411</v>
      </c>
      <c r="J7" s="240"/>
      <c r="K7" s="239">
        <v>49</v>
      </c>
      <c r="L7" s="240"/>
      <c r="M7" s="1">
        <v>329</v>
      </c>
      <c r="N7" s="1">
        <v>45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290</v>
      </c>
      <c r="D8" s="240"/>
      <c r="E8" s="239">
        <v>0</v>
      </c>
      <c r="F8" s="240"/>
      <c r="G8" s="239">
        <v>129</v>
      </c>
      <c r="H8" s="240"/>
      <c r="I8" s="239">
        <v>0</v>
      </c>
      <c r="J8" s="240"/>
      <c r="K8" s="239">
        <v>0</v>
      </c>
      <c r="L8" s="240"/>
      <c r="M8" s="1">
        <v>200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341</v>
      </c>
      <c r="D9" s="240"/>
      <c r="E9" s="239">
        <v>84</v>
      </c>
      <c r="F9" s="240"/>
      <c r="G9" s="239">
        <v>0</v>
      </c>
      <c r="H9" s="240"/>
      <c r="I9" s="239">
        <v>478</v>
      </c>
      <c r="J9" s="240"/>
      <c r="K9" s="239">
        <v>0</v>
      </c>
      <c r="L9" s="240"/>
      <c r="M9" s="1">
        <v>212</v>
      </c>
      <c r="N9" s="1">
        <v>78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300</v>
      </c>
      <c r="D10" s="240"/>
      <c r="E10" s="239">
        <v>230</v>
      </c>
      <c r="F10" s="240"/>
      <c r="G10" s="239">
        <v>66</v>
      </c>
      <c r="H10" s="240"/>
      <c r="I10" s="239">
        <v>40</v>
      </c>
      <c r="J10" s="240"/>
      <c r="K10" s="239">
        <v>0</v>
      </c>
      <c r="L10" s="240"/>
      <c r="M10" s="1">
        <v>145</v>
      </c>
      <c r="N10" s="1">
        <v>70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214</v>
      </c>
      <c r="D11" s="246"/>
      <c r="E11" s="239">
        <v>12</v>
      </c>
      <c r="F11" s="240"/>
      <c r="G11" s="239">
        <v>0</v>
      </c>
      <c r="H11" s="240"/>
      <c r="I11" s="239">
        <v>80</v>
      </c>
      <c r="J11" s="240"/>
      <c r="K11" s="239">
        <v>18</v>
      </c>
      <c r="L11" s="240"/>
      <c r="M11" s="1">
        <v>162</v>
      </c>
      <c r="N11" s="1">
        <v>158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243</v>
      </c>
      <c r="D12" s="246"/>
      <c r="E12" s="239">
        <v>0</v>
      </c>
      <c r="F12" s="240"/>
      <c r="G12" s="239">
        <v>0</v>
      </c>
      <c r="H12" s="240"/>
      <c r="I12" s="239">
        <v>329</v>
      </c>
      <c r="J12" s="240"/>
      <c r="K12" s="239">
        <v>0</v>
      </c>
      <c r="L12" s="240"/>
      <c r="M12" s="1">
        <v>302</v>
      </c>
      <c r="N12" s="1">
        <v>148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206</v>
      </c>
      <c r="D13" s="246"/>
      <c r="E13" s="239">
        <v>78</v>
      </c>
      <c r="F13" s="240"/>
      <c r="G13" s="239">
        <v>0</v>
      </c>
      <c r="H13" s="240"/>
      <c r="I13" s="239">
        <v>1</v>
      </c>
      <c r="J13" s="240"/>
      <c r="K13" s="239">
        <v>0</v>
      </c>
      <c r="L13" s="240"/>
      <c r="M13" s="1">
        <v>42</v>
      </c>
      <c r="N13" s="1">
        <v>42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320</v>
      </c>
      <c r="D14" s="248"/>
      <c r="E14" s="247">
        <v>7</v>
      </c>
      <c r="F14" s="248"/>
      <c r="G14" s="247">
        <v>13</v>
      </c>
      <c r="H14" s="248"/>
      <c r="I14" s="239">
        <v>275</v>
      </c>
      <c r="J14" s="240"/>
      <c r="K14" s="247">
        <v>0</v>
      </c>
      <c r="L14" s="248"/>
      <c r="M14" s="2">
        <v>287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12">
        <v>2382</v>
      </c>
      <c r="P15" s="10">
        <v>2304</v>
      </c>
      <c r="Q15" s="10">
        <v>1903</v>
      </c>
    </row>
    <row r="16" spans="1:18" ht="15" thickBot="1" x14ac:dyDescent="0.35">
      <c r="A16" s="199" t="s">
        <v>20</v>
      </c>
      <c r="B16" s="200"/>
      <c r="C16" s="201">
        <f>SUM(C5:D15)</f>
        <v>6012</v>
      </c>
      <c r="D16" s="202"/>
      <c r="E16" s="201">
        <f>SUM(E5:F15)</f>
        <v>2812</v>
      </c>
      <c r="F16" s="202"/>
      <c r="G16" s="201">
        <f>SUM(G5:H15)</f>
        <v>2117</v>
      </c>
      <c r="H16" s="202"/>
      <c r="I16" s="201">
        <f>SUM(I5:J15)</f>
        <v>6659</v>
      </c>
      <c r="J16" s="202"/>
      <c r="K16" s="201">
        <f>SUM(K5:L15)</f>
        <v>67</v>
      </c>
      <c r="L16" s="202"/>
      <c r="M16" s="3">
        <f>SUM(M5:M15)</f>
        <v>5128</v>
      </c>
      <c r="N16" s="4">
        <f>SUM(N5:N15)</f>
        <v>1319</v>
      </c>
      <c r="O16" s="4">
        <f>SUM(O5:O15)</f>
        <v>9922</v>
      </c>
      <c r="P16" s="4">
        <f>SUM(P5:P15)</f>
        <v>3355</v>
      </c>
      <c r="Q16" s="5">
        <f>SUM(Q5:Q15)</f>
        <v>2011</v>
      </c>
    </row>
    <row r="17" spans="1:20" ht="15" thickBot="1" x14ac:dyDescent="0.35">
      <c r="A17" s="190" t="s">
        <v>21</v>
      </c>
      <c r="B17" s="191"/>
      <c r="C17" s="413">
        <v>2496</v>
      </c>
      <c r="D17" s="414"/>
      <c r="E17" s="298">
        <v>2262</v>
      </c>
      <c r="F17" s="299"/>
      <c r="G17" s="298">
        <v>1903</v>
      </c>
      <c r="H17" s="299"/>
      <c r="I17" s="298">
        <v>5045</v>
      </c>
      <c r="J17" s="299"/>
      <c r="K17" s="302">
        <v>0</v>
      </c>
      <c r="L17" s="303"/>
      <c r="M17" s="12">
        <v>3040</v>
      </c>
      <c r="N17" s="41">
        <v>754</v>
      </c>
      <c r="O17" s="38">
        <v>7458</v>
      </c>
      <c r="P17" s="10">
        <v>1009</v>
      </c>
      <c r="Q17" s="10">
        <v>100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0" spans="1:20" x14ac:dyDescent="0.3">
      <c r="O20" s="40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461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106</v>
      </c>
      <c r="D25" s="259"/>
      <c r="E25" s="260" t="s">
        <v>283</v>
      </c>
      <c r="F25" s="261"/>
      <c r="G25" s="258">
        <v>0</v>
      </c>
      <c r="H25" s="259"/>
      <c r="I25" s="258">
        <v>186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36</v>
      </c>
      <c r="D26" s="259"/>
      <c r="E26" s="260" t="s">
        <v>25</v>
      </c>
      <c r="F26" s="261"/>
      <c r="G26" s="258">
        <v>0</v>
      </c>
      <c r="H26" s="259"/>
      <c r="I26" s="258">
        <v>139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85</v>
      </c>
      <c r="D27" s="259"/>
      <c r="E27" s="260" t="s">
        <v>353</v>
      </c>
      <c r="F27" s="261"/>
      <c r="G27" s="258">
        <v>1</v>
      </c>
      <c r="H27" s="259"/>
      <c r="I27" s="258">
        <v>65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449</v>
      </c>
      <c r="D28" s="261"/>
      <c r="E28" s="260" t="s">
        <v>90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369</v>
      </c>
      <c r="D29" s="412"/>
      <c r="E29" s="260" t="s">
        <v>453</v>
      </c>
      <c r="F29" s="261"/>
      <c r="G29" s="258">
        <v>0</v>
      </c>
      <c r="H29" s="259"/>
      <c r="I29" s="258">
        <v>27</v>
      </c>
      <c r="J29" s="259"/>
      <c r="K29" s="8">
        <v>3</v>
      </c>
    </row>
    <row r="30" spans="1:20" x14ac:dyDescent="0.3">
      <c r="A30" s="101" t="s">
        <v>17</v>
      </c>
      <c r="B30" s="102"/>
      <c r="C30" s="272">
        <v>4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>
        <v>17</v>
      </c>
      <c r="D31" s="271"/>
      <c r="E31" s="260" t="s">
        <v>25</v>
      </c>
      <c r="F31" s="261"/>
      <c r="G31" s="258">
        <v>0</v>
      </c>
      <c r="H31" s="259"/>
      <c r="I31" s="258">
        <v>8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461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380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459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447</v>
      </c>
      <c r="D40" s="259"/>
      <c r="E40" s="276" t="s">
        <v>462</v>
      </c>
      <c r="F40" s="277"/>
      <c r="G40" s="258">
        <v>6</v>
      </c>
      <c r="H40" s="259"/>
      <c r="I40" s="258" t="s">
        <v>247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463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454</v>
      </c>
      <c r="D42" s="271"/>
      <c r="E42" s="276" t="s">
        <v>455</v>
      </c>
      <c r="F42" s="277"/>
      <c r="G42" s="258">
        <v>0</v>
      </c>
      <c r="H42" s="259"/>
      <c r="I42" s="258" t="s">
        <v>377</v>
      </c>
      <c r="J42" s="259"/>
      <c r="K42" s="8" t="s">
        <v>456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2</v>
      </c>
      <c r="D44" s="271"/>
      <c r="E44" s="258" t="s">
        <v>458</v>
      </c>
      <c r="F44" s="259"/>
      <c r="G44" s="258">
        <v>0</v>
      </c>
      <c r="H44" s="259"/>
      <c r="I44" s="258">
        <v>4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434</v>
      </c>
      <c r="D49" s="146"/>
      <c r="E49" s="145" t="s">
        <v>442</v>
      </c>
      <c r="F49" s="146"/>
      <c r="G49" s="145" t="s">
        <v>452</v>
      </c>
      <c r="H49" s="146"/>
      <c r="I49" s="145" t="s">
        <v>461</v>
      </c>
      <c r="J49" s="146"/>
    </row>
    <row r="50" spans="1:11" x14ac:dyDescent="0.3">
      <c r="A50" s="284" t="s">
        <v>30</v>
      </c>
      <c r="B50" s="285"/>
      <c r="C50" s="300">
        <v>13073</v>
      </c>
      <c r="D50" s="301"/>
      <c r="E50" s="300">
        <v>13033</v>
      </c>
      <c r="F50" s="301"/>
      <c r="G50" s="300">
        <v>12980</v>
      </c>
      <c r="H50" s="301"/>
      <c r="I50" s="300">
        <v>12949</v>
      </c>
      <c r="J50" s="301"/>
    </row>
    <row r="51" spans="1:11" x14ac:dyDescent="0.3">
      <c r="A51" s="284" t="s">
        <v>31</v>
      </c>
      <c r="B51" s="285"/>
      <c r="C51" s="286">
        <v>8978</v>
      </c>
      <c r="D51" s="287"/>
      <c r="E51" s="286">
        <v>9050</v>
      </c>
      <c r="F51" s="287"/>
      <c r="G51" s="286">
        <v>9112</v>
      </c>
      <c r="H51" s="287"/>
      <c r="I51" s="286">
        <v>9190</v>
      </c>
      <c r="J51" s="287"/>
    </row>
    <row r="52" spans="1:11" x14ac:dyDescent="0.3">
      <c r="A52" s="284" t="s">
        <v>32</v>
      </c>
      <c r="B52" s="285"/>
      <c r="C52" s="300">
        <v>114184</v>
      </c>
      <c r="D52" s="301"/>
      <c r="E52" s="300">
        <v>114062</v>
      </c>
      <c r="F52" s="301"/>
      <c r="G52" s="300">
        <v>114001</v>
      </c>
      <c r="H52" s="301"/>
      <c r="I52" s="300">
        <v>113837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240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50497</v>
      </c>
      <c r="D54" s="301"/>
      <c r="E54" s="300">
        <v>50401</v>
      </c>
      <c r="F54" s="301"/>
      <c r="G54" s="300">
        <v>50364</v>
      </c>
      <c r="H54" s="301"/>
      <c r="I54" s="300">
        <v>50311</v>
      </c>
      <c r="J54" s="301"/>
    </row>
    <row r="55" spans="1:11" x14ac:dyDescent="0.3">
      <c r="A55" s="284" t="s">
        <v>53</v>
      </c>
      <c r="B55" s="285"/>
      <c r="C55" s="286">
        <v>4360</v>
      </c>
      <c r="D55" s="287"/>
      <c r="E55" s="286">
        <v>4364</v>
      </c>
      <c r="F55" s="287"/>
      <c r="G55" s="286">
        <v>4382</v>
      </c>
      <c r="H55" s="287"/>
      <c r="I55" s="286">
        <v>4408</v>
      </c>
      <c r="J55" s="287"/>
    </row>
    <row r="56" spans="1:11" x14ac:dyDescent="0.3">
      <c r="A56" s="284" t="s">
        <v>49</v>
      </c>
      <c r="B56" s="285"/>
      <c r="C56" s="300">
        <v>15890</v>
      </c>
      <c r="D56" s="301"/>
      <c r="E56" s="300">
        <v>16029</v>
      </c>
      <c r="F56" s="301"/>
      <c r="G56" s="300">
        <v>16227</v>
      </c>
      <c r="H56" s="301"/>
      <c r="I56" s="300">
        <v>16385</v>
      </c>
      <c r="J56" s="301"/>
      <c r="K56" s="11"/>
    </row>
    <row r="57" spans="1:11" x14ac:dyDescent="0.3">
      <c r="A57" s="284" t="s">
        <v>35</v>
      </c>
      <c r="B57" s="285"/>
      <c r="C57" s="286">
        <v>2513</v>
      </c>
      <c r="D57" s="287"/>
      <c r="E57" s="286">
        <v>2547</v>
      </c>
      <c r="F57" s="287"/>
      <c r="G57" s="286">
        <v>2550</v>
      </c>
      <c r="H57" s="287"/>
      <c r="I57" s="286">
        <v>2576</v>
      </c>
      <c r="J57" s="287"/>
    </row>
    <row r="58" spans="1:11" x14ac:dyDescent="0.3">
      <c r="A58" s="120" t="s">
        <v>36</v>
      </c>
      <c r="B58" s="121"/>
      <c r="C58" s="122">
        <f>SUM(C50:D57)</f>
        <v>209734</v>
      </c>
      <c r="D58" s="123"/>
      <c r="E58" s="122">
        <f>SUM(E50:F57)</f>
        <v>209726</v>
      </c>
      <c r="F58" s="123"/>
      <c r="G58" s="122">
        <f>SUM(G50:H57)</f>
        <v>209855</v>
      </c>
      <c r="H58" s="123"/>
      <c r="I58" s="122">
        <f>SUM(I50:J57)</f>
        <v>209895</v>
      </c>
      <c r="J58" s="123"/>
    </row>
    <row r="60" spans="1:11" x14ac:dyDescent="0.3">
      <c r="A60" s="124" t="s">
        <v>37</v>
      </c>
      <c r="B60" s="125"/>
      <c r="C60" s="130" t="s">
        <v>434</v>
      </c>
      <c r="D60" s="131"/>
      <c r="E60" s="130" t="s">
        <v>442</v>
      </c>
      <c r="F60" s="131"/>
      <c r="G60" s="130" t="s">
        <v>452</v>
      </c>
      <c r="H60" s="131"/>
      <c r="I60" s="130" t="s">
        <v>461</v>
      </c>
      <c r="J60" s="131"/>
    </row>
    <row r="61" spans="1:11" x14ac:dyDescent="0.3">
      <c r="A61" s="126"/>
      <c r="B61" s="127"/>
      <c r="C61" s="288">
        <v>138021</v>
      </c>
      <c r="D61" s="289"/>
      <c r="E61" s="288">
        <v>138025</v>
      </c>
      <c r="F61" s="289"/>
      <c r="G61" s="288">
        <v>138131</v>
      </c>
      <c r="H61" s="289"/>
      <c r="I61" s="288">
        <v>138236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330</v>
      </c>
      <c r="D66" s="115"/>
      <c r="E66" s="114" t="s">
        <v>368</v>
      </c>
      <c r="F66" s="115"/>
      <c r="G66" s="114" t="s">
        <v>402</v>
      </c>
      <c r="H66" s="115"/>
      <c r="I66" s="114" t="s">
        <v>435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ht="15" customHeight="1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28056</v>
      </c>
      <c r="D69" s="287"/>
      <c r="E69" s="286">
        <v>28330</v>
      </c>
      <c r="F69" s="287"/>
      <c r="G69" s="286">
        <v>28575</v>
      </c>
      <c r="H69" s="287"/>
      <c r="I69" s="286">
        <v>28847</v>
      </c>
      <c r="J69" s="287"/>
    </row>
    <row r="70" spans="1:10" x14ac:dyDescent="0.3">
      <c r="A70" s="101" t="s">
        <v>13</v>
      </c>
      <c r="B70" s="102"/>
      <c r="C70" s="286">
        <v>6827</v>
      </c>
      <c r="D70" s="287"/>
      <c r="E70" s="286">
        <v>6883</v>
      </c>
      <c r="F70" s="287"/>
      <c r="G70" s="286">
        <v>6940</v>
      </c>
      <c r="H70" s="287"/>
      <c r="I70" s="286">
        <v>6964</v>
      </c>
      <c r="J70" s="287"/>
    </row>
    <row r="71" spans="1:10" x14ac:dyDescent="0.3">
      <c r="A71" s="107" t="s">
        <v>14</v>
      </c>
      <c r="B71" s="108"/>
      <c r="C71" s="286">
        <v>5890</v>
      </c>
      <c r="D71" s="287"/>
      <c r="E71" s="286">
        <v>5939</v>
      </c>
      <c r="F71" s="287"/>
      <c r="G71" s="286">
        <v>6008</v>
      </c>
      <c r="H71" s="287"/>
      <c r="I71" s="286">
        <v>6082</v>
      </c>
      <c r="J71" s="287"/>
    </row>
    <row r="72" spans="1:10" x14ac:dyDescent="0.3">
      <c r="A72" s="107" t="s">
        <v>41</v>
      </c>
      <c r="B72" s="108"/>
      <c r="C72" s="286">
        <v>1283</v>
      </c>
      <c r="D72" s="287"/>
      <c r="E72" s="286">
        <v>1322</v>
      </c>
      <c r="F72" s="287"/>
      <c r="G72" s="286">
        <v>1349</v>
      </c>
      <c r="H72" s="287"/>
      <c r="I72" s="286">
        <v>1362</v>
      </c>
      <c r="J72" s="287"/>
    </row>
    <row r="73" spans="1:10" x14ac:dyDescent="0.3">
      <c r="A73" s="101" t="s">
        <v>15</v>
      </c>
      <c r="B73" s="102"/>
      <c r="C73" s="286">
        <v>4273</v>
      </c>
      <c r="D73" s="287"/>
      <c r="E73" s="286">
        <v>4325</v>
      </c>
      <c r="F73" s="287"/>
      <c r="G73" s="286">
        <v>4391</v>
      </c>
      <c r="H73" s="287"/>
      <c r="I73" s="286">
        <v>4462</v>
      </c>
      <c r="J73" s="287"/>
    </row>
    <row r="74" spans="1:10" x14ac:dyDescent="0.3">
      <c r="A74" s="107" t="s">
        <v>16</v>
      </c>
      <c r="B74" s="108"/>
      <c r="C74" s="286">
        <v>4667</v>
      </c>
      <c r="D74" s="287"/>
      <c r="E74" s="286">
        <v>4699</v>
      </c>
      <c r="F74" s="287"/>
      <c r="G74" s="286">
        <v>4707</v>
      </c>
      <c r="H74" s="287"/>
      <c r="I74" s="286">
        <v>4736</v>
      </c>
      <c r="J74" s="287"/>
    </row>
    <row r="75" spans="1:10" x14ac:dyDescent="0.3">
      <c r="A75" s="101" t="s">
        <v>17</v>
      </c>
      <c r="B75" s="102"/>
      <c r="C75" s="286">
        <v>6888</v>
      </c>
      <c r="D75" s="287"/>
      <c r="E75" s="286">
        <v>6930</v>
      </c>
      <c r="F75" s="287"/>
      <c r="G75" s="286">
        <v>6987</v>
      </c>
      <c r="H75" s="287"/>
      <c r="I75" s="286">
        <v>7119</v>
      </c>
      <c r="J75" s="287"/>
    </row>
    <row r="76" spans="1:10" x14ac:dyDescent="0.3">
      <c r="A76" s="107" t="s">
        <v>18</v>
      </c>
      <c r="B76" s="108"/>
      <c r="C76" s="286">
        <v>1489</v>
      </c>
      <c r="D76" s="287"/>
      <c r="E76" s="286">
        <v>1501</v>
      </c>
      <c r="F76" s="287"/>
      <c r="G76" s="286">
        <v>1514</v>
      </c>
      <c r="H76" s="287"/>
      <c r="I76" s="286">
        <v>1536</v>
      </c>
      <c r="J76" s="287"/>
    </row>
    <row r="77" spans="1:10" x14ac:dyDescent="0.3">
      <c r="A77" s="101" t="s">
        <v>19</v>
      </c>
      <c r="B77" s="102"/>
      <c r="C77" s="286">
        <v>5282</v>
      </c>
      <c r="D77" s="287"/>
      <c r="E77" s="286">
        <v>5384</v>
      </c>
      <c r="F77" s="287"/>
      <c r="G77" s="286">
        <v>5510</v>
      </c>
      <c r="H77" s="287"/>
      <c r="I77" s="286">
        <v>5598</v>
      </c>
      <c r="J77" s="287"/>
    </row>
    <row r="78" spans="1:10" x14ac:dyDescent="0.3">
      <c r="A78" s="105" t="s">
        <v>42</v>
      </c>
      <c r="B78" s="106"/>
      <c r="C78" s="103">
        <f>SUM(C69:C77)</f>
        <v>64655</v>
      </c>
      <c r="D78" s="104"/>
      <c r="E78" s="103">
        <f>SUM(E69:E77)</f>
        <v>65313</v>
      </c>
      <c r="F78" s="104"/>
      <c r="G78" s="103">
        <f>SUM(G69:G77)</f>
        <v>65981</v>
      </c>
      <c r="H78" s="104"/>
      <c r="I78" s="103">
        <f>SUM(I69:I77)</f>
        <v>66706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78"/>
  <sheetViews>
    <sheetView workbookViewId="0">
      <selection sqref="A1:XFD1048576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464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2246</v>
      </c>
      <c r="D5" s="299"/>
      <c r="E5" s="298">
        <v>2142</v>
      </c>
      <c r="F5" s="299"/>
      <c r="G5" s="298">
        <v>1903</v>
      </c>
      <c r="H5" s="299"/>
      <c r="I5" s="298">
        <v>4925</v>
      </c>
      <c r="J5" s="299"/>
      <c r="K5" s="302">
        <v>0</v>
      </c>
      <c r="L5" s="303"/>
      <c r="M5" s="12">
        <v>2960</v>
      </c>
      <c r="N5" s="10">
        <v>554</v>
      </c>
      <c r="O5" s="38">
        <v>6198</v>
      </c>
      <c r="P5" s="10">
        <v>509</v>
      </c>
      <c r="Q5" s="10">
        <v>0</v>
      </c>
    </row>
    <row r="6" spans="1:18" ht="13.5" customHeight="1" x14ac:dyDescent="0.3">
      <c r="A6" s="211" t="s">
        <v>11</v>
      </c>
      <c r="B6" s="212"/>
      <c r="C6" s="298">
        <v>859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398</v>
      </c>
      <c r="D7" s="240"/>
      <c r="E7" s="239">
        <v>114</v>
      </c>
      <c r="F7" s="240"/>
      <c r="G7" s="239">
        <v>6</v>
      </c>
      <c r="H7" s="240"/>
      <c r="I7" s="239">
        <v>267</v>
      </c>
      <c r="J7" s="240"/>
      <c r="K7" s="239">
        <v>44</v>
      </c>
      <c r="L7" s="240"/>
      <c r="M7" s="1">
        <v>498</v>
      </c>
      <c r="N7" s="1">
        <v>45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253</v>
      </c>
      <c r="D8" s="240"/>
      <c r="E8" s="239">
        <v>0</v>
      </c>
      <c r="F8" s="240"/>
      <c r="G8" s="239">
        <v>107</v>
      </c>
      <c r="H8" s="240"/>
      <c r="I8" s="239">
        <v>0</v>
      </c>
      <c r="J8" s="240"/>
      <c r="K8" s="239">
        <v>0</v>
      </c>
      <c r="L8" s="240"/>
      <c r="M8" s="1">
        <v>181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296</v>
      </c>
      <c r="D9" s="240"/>
      <c r="E9" s="239">
        <v>38</v>
      </c>
      <c r="F9" s="240"/>
      <c r="G9" s="239">
        <v>0</v>
      </c>
      <c r="H9" s="240"/>
      <c r="I9" s="239">
        <v>477</v>
      </c>
      <c r="J9" s="240"/>
      <c r="K9" s="239">
        <v>0</v>
      </c>
      <c r="L9" s="240"/>
      <c r="M9" s="1">
        <v>186</v>
      </c>
      <c r="N9" s="1">
        <v>78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250</v>
      </c>
      <c r="D10" s="240"/>
      <c r="E10" s="239">
        <v>200</v>
      </c>
      <c r="F10" s="240"/>
      <c r="G10" s="239">
        <v>65</v>
      </c>
      <c r="H10" s="240"/>
      <c r="I10" s="239">
        <v>36</v>
      </c>
      <c r="J10" s="240"/>
      <c r="K10" s="239">
        <v>0</v>
      </c>
      <c r="L10" s="240"/>
      <c r="M10" s="1">
        <v>125</v>
      </c>
      <c r="N10" s="1">
        <v>60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632</v>
      </c>
      <c r="D11" s="246"/>
      <c r="E11" s="239">
        <v>100</v>
      </c>
      <c r="F11" s="240"/>
      <c r="G11" s="239">
        <v>0</v>
      </c>
      <c r="H11" s="240"/>
      <c r="I11" s="239">
        <v>190</v>
      </c>
      <c r="J11" s="240"/>
      <c r="K11" s="239">
        <v>15</v>
      </c>
      <c r="L11" s="240"/>
      <c r="M11" s="1">
        <v>390</v>
      </c>
      <c r="N11" s="1">
        <v>380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203</v>
      </c>
      <c r="D12" s="246"/>
      <c r="E12" s="239">
        <v>0</v>
      </c>
      <c r="F12" s="240"/>
      <c r="G12" s="239">
        <v>0</v>
      </c>
      <c r="H12" s="240"/>
      <c r="I12" s="239">
        <v>289</v>
      </c>
      <c r="J12" s="240"/>
      <c r="K12" s="239">
        <v>0</v>
      </c>
      <c r="L12" s="240"/>
      <c r="M12" s="1">
        <v>270</v>
      </c>
      <c r="N12" s="1">
        <v>145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295</v>
      </c>
      <c r="D13" s="246"/>
      <c r="E13" s="239">
        <v>167</v>
      </c>
      <c r="F13" s="240"/>
      <c r="G13" s="239">
        <v>0</v>
      </c>
      <c r="H13" s="240"/>
      <c r="I13" s="239">
        <v>1</v>
      </c>
      <c r="J13" s="240"/>
      <c r="K13" s="239">
        <v>0</v>
      </c>
      <c r="L13" s="240"/>
      <c r="M13" s="1">
        <v>89</v>
      </c>
      <c r="N13" s="1">
        <v>41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290</v>
      </c>
      <c r="D14" s="248"/>
      <c r="E14" s="247">
        <v>7</v>
      </c>
      <c r="F14" s="248"/>
      <c r="G14" s="247">
        <v>13</v>
      </c>
      <c r="H14" s="248"/>
      <c r="I14" s="239">
        <v>241</v>
      </c>
      <c r="J14" s="240"/>
      <c r="K14" s="247">
        <v>0</v>
      </c>
      <c r="L14" s="248"/>
      <c r="M14" s="2">
        <v>236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12">
        <v>2987</v>
      </c>
      <c r="P15" s="10">
        <v>2470</v>
      </c>
      <c r="Q15" s="10">
        <v>1722</v>
      </c>
    </row>
    <row r="16" spans="1:18" ht="15" thickBot="1" x14ac:dyDescent="0.35">
      <c r="A16" s="199" t="s">
        <v>20</v>
      </c>
      <c r="B16" s="200"/>
      <c r="C16" s="201">
        <f>SUM(C5:D15)</f>
        <v>5722</v>
      </c>
      <c r="D16" s="202"/>
      <c r="E16" s="201">
        <f>SUM(E5:F15)</f>
        <v>2768</v>
      </c>
      <c r="F16" s="202"/>
      <c r="G16" s="201">
        <f>SUM(G5:H15)</f>
        <v>2094</v>
      </c>
      <c r="H16" s="202"/>
      <c r="I16" s="201">
        <f>SUM(I5:J15)</f>
        <v>6426</v>
      </c>
      <c r="J16" s="202"/>
      <c r="K16" s="201">
        <f>SUM(K5:L15)</f>
        <v>59</v>
      </c>
      <c r="L16" s="202"/>
      <c r="M16" s="3">
        <f>SUM(M5:M15)</f>
        <v>4935</v>
      </c>
      <c r="N16" s="4">
        <f>SUM(N5:N15)</f>
        <v>1327</v>
      </c>
      <c r="O16" s="4">
        <f>SUM(O5:O15)</f>
        <v>9267</v>
      </c>
      <c r="P16" s="4">
        <f>SUM(P5:P15)</f>
        <v>3021</v>
      </c>
      <c r="Q16" s="5">
        <f>SUM(Q5:Q15)</f>
        <v>1730</v>
      </c>
    </row>
    <row r="17" spans="1:20" ht="15" thickBot="1" x14ac:dyDescent="0.35">
      <c r="A17" s="190" t="s">
        <v>21</v>
      </c>
      <c r="B17" s="191"/>
      <c r="C17" s="413">
        <v>2246</v>
      </c>
      <c r="D17" s="414"/>
      <c r="E17" s="298">
        <v>2142</v>
      </c>
      <c r="F17" s="299"/>
      <c r="G17" s="298">
        <v>1903</v>
      </c>
      <c r="H17" s="299"/>
      <c r="I17" s="298">
        <v>4925</v>
      </c>
      <c r="J17" s="299"/>
      <c r="K17" s="302">
        <v>0</v>
      </c>
      <c r="L17" s="303"/>
      <c r="M17" s="12">
        <v>2552</v>
      </c>
      <c r="N17" s="41">
        <v>554</v>
      </c>
      <c r="O17" s="38">
        <v>6198</v>
      </c>
      <c r="P17" s="10">
        <v>509</v>
      </c>
      <c r="Q17" s="10">
        <v>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0" spans="1:20" x14ac:dyDescent="0.3">
      <c r="O20" s="40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464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118</v>
      </c>
      <c r="D25" s="259"/>
      <c r="E25" s="260" t="s">
        <v>359</v>
      </c>
      <c r="F25" s="261"/>
      <c r="G25" s="258">
        <v>0</v>
      </c>
      <c r="H25" s="259"/>
      <c r="I25" s="258">
        <v>185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37</v>
      </c>
      <c r="D26" s="259"/>
      <c r="E26" s="260" t="s">
        <v>25</v>
      </c>
      <c r="F26" s="261"/>
      <c r="G26" s="258">
        <v>0</v>
      </c>
      <c r="H26" s="259"/>
      <c r="I26" s="258">
        <v>123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91</v>
      </c>
      <c r="D27" s="259"/>
      <c r="E27" s="260" t="s">
        <v>103</v>
      </c>
      <c r="F27" s="261"/>
      <c r="G27" s="258">
        <v>1</v>
      </c>
      <c r="H27" s="259"/>
      <c r="I27" s="258">
        <v>66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449</v>
      </c>
      <c r="D28" s="261"/>
      <c r="E28" s="260" t="s">
        <v>90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369</v>
      </c>
      <c r="D29" s="412"/>
      <c r="E29" s="260" t="s">
        <v>453</v>
      </c>
      <c r="F29" s="261"/>
      <c r="G29" s="258">
        <v>0</v>
      </c>
      <c r="H29" s="259"/>
      <c r="I29" s="258">
        <v>27</v>
      </c>
      <c r="J29" s="259"/>
      <c r="K29" s="8">
        <v>3</v>
      </c>
    </row>
    <row r="30" spans="1:20" x14ac:dyDescent="0.3">
      <c r="A30" s="101" t="s">
        <v>17</v>
      </c>
      <c r="B30" s="102"/>
      <c r="C30" s="272">
        <v>3</v>
      </c>
      <c r="D30" s="271"/>
      <c r="E30" s="258" t="s">
        <v>90</v>
      </c>
      <c r="F30" s="259"/>
      <c r="G30" s="258">
        <v>0</v>
      </c>
      <c r="H30" s="259"/>
      <c r="I30" s="258">
        <v>1</v>
      </c>
      <c r="J30" s="259"/>
      <c r="K30" s="8">
        <v>0</v>
      </c>
    </row>
    <row r="31" spans="1:20" x14ac:dyDescent="0.3">
      <c r="A31" s="101" t="s">
        <v>18</v>
      </c>
      <c r="B31" s="102"/>
      <c r="C31" s="272" t="s">
        <v>466</v>
      </c>
      <c r="D31" s="271"/>
      <c r="E31" s="260" t="s">
        <v>25</v>
      </c>
      <c r="F31" s="261"/>
      <c r="G31" s="258">
        <v>0</v>
      </c>
      <c r="H31" s="259"/>
      <c r="I31" s="258">
        <v>8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464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380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469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468</v>
      </c>
      <c r="D40" s="259"/>
      <c r="E40" s="276" t="s">
        <v>173</v>
      </c>
      <c r="F40" s="277"/>
      <c r="G40" s="258">
        <v>6</v>
      </c>
      <c r="H40" s="259"/>
      <c r="I40" s="258" t="s">
        <v>405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463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454</v>
      </c>
      <c r="D42" s="271"/>
      <c r="E42" s="276" t="s">
        <v>455</v>
      </c>
      <c r="F42" s="277"/>
      <c r="G42" s="258">
        <v>0</v>
      </c>
      <c r="H42" s="259"/>
      <c r="I42" s="258" t="s">
        <v>377</v>
      </c>
      <c r="J42" s="259"/>
      <c r="K42" s="8" t="s">
        <v>456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152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2</v>
      </c>
      <c r="D44" s="271"/>
      <c r="E44" s="258" t="s">
        <v>467</v>
      </c>
      <c r="F44" s="259"/>
      <c r="G44" s="258">
        <v>0</v>
      </c>
      <c r="H44" s="259"/>
      <c r="I44" s="258">
        <v>4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442</v>
      </c>
      <c r="D49" s="146"/>
      <c r="E49" s="145" t="s">
        <v>452</v>
      </c>
      <c r="F49" s="146"/>
      <c r="G49" s="145" t="s">
        <v>461</v>
      </c>
      <c r="H49" s="146"/>
      <c r="I49" s="145" t="s">
        <v>464</v>
      </c>
      <c r="J49" s="146"/>
    </row>
    <row r="50" spans="1:11" x14ac:dyDescent="0.3">
      <c r="A50" s="284" t="s">
        <v>30</v>
      </c>
      <c r="B50" s="285"/>
      <c r="C50" s="300">
        <v>13033</v>
      </c>
      <c r="D50" s="301"/>
      <c r="E50" s="300">
        <v>12980</v>
      </c>
      <c r="F50" s="301"/>
      <c r="G50" s="300">
        <v>12949</v>
      </c>
      <c r="H50" s="301"/>
      <c r="I50" s="300">
        <v>12894</v>
      </c>
      <c r="J50" s="301"/>
    </row>
    <row r="51" spans="1:11" x14ac:dyDescent="0.3">
      <c r="A51" s="284" t="s">
        <v>31</v>
      </c>
      <c r="B51" s="285"/>
      <c r="C51" s="286">
        <v>9050</v>
      </c>
      <c r="D51" s="287"/>
      <c r="E51" s="286">
        <v>9112</v>
      </c>
      <c r="F51" s="287"/>
      <c r="G51" s="286">
        <v>9190</v>
      </c>
      <c r="H51" s="287"/>
      <c r="I51" s="286">
        <v>9268</v>
      </c>
      <c r="J51" s="287"/>
    </row>
    <row r="52" spans="1:11" x14ac:dyDescent="0.3">
      <c r="A52" s="284" t="s">
        <v>32</v>
      </c>
      <c r="B52" s="285"/>
      <c r="C52" s="300">
        <v>114062</v>
      </c>
      <c r="D52" s="301"/>
      <c r="E52" s="300">
        <v>114001</v>
      </c>
      <c r="F52" s="301"/>
      <c r="G52" s="300">
        <v>113837</v>
      </c>
      <c r="H52" s="301"/>
      <c r="I52" s="300">
        <v>113736</v>
      </c>
      <c r="J52" s="301"/>
    </row>
    <row r="53" spans="1:11" x14ac:dyDescent="0.3">
      <c r="A53" s="284" t="s">
        <v>33</v>
      </c>
      <c r="B53" s="285"/>
      <c r="C53" s="286">
        <v>240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50401</v>
      </c>
      <c r="D54" s="301"/>
      <c r="E54" s="300">
        <v>50364</v>
      </c>
      <c r="F54" s="301"/>
      <c r="G54" s="300">
        <v>50311</v>
      </c>
      <c r="H54" s="301"/>
      <c r="I54" s="300">
        <v>50235</v>
      </c>
      <c r="J54" s="301"/>
    </row>
    <row r="55" spans="1:11" x14ac:dyDescent="0.3">
      <c r="A55" s="284" t="s">
        <v>53</v>
      </c>
      <c r="B55" s="285"/>
      <c r="C55" s="286">
        <v>4364</v>
      </c>
      <c r="D55" s="287"/>
      <c r="E55" s="286">
        <v>4382</v>
      </c>
      <c r="F55" s="287"/>
      <c r="G55" s="286">
        <v>4408</v>
      </c>
      <c r="H55" s="287"/>
      <c r="I55" s="286">
        <v>4422</v>
      </c>
      <c r="J55" s="287"/>
    </row>
    <row r="56" spans="1:11" x14ac:dyDescent="0.3">
      <c r="A56" s="284" t="s">
        <v>49</v>
      </c>
      <c r="B56" s="285"/>
      <c r="C56" s="300">
        <v>16029</v>
      </c>
      <c r="D56" s="301"/>
      <c r="E56" s="300">
        <v>16227</v>
      </c>
      <c r="F56" s="301"/>
      <c r="G56" s="300">
        <v>16385</v>
      </c>
      <c r="H56" s="301"/>
      <c r="I56" s="300">
        <v>16597</v>
      </c>
      <c r="J56" s="301"/>
      <c r="K56" s="11"/>
    </row>
    <row r="57" spans="1:11" x14ac:dyDescent="0.3">
      <c r="A57" s="284" t="s">
        <v>35</v>
      </c>
      <c r="B57" s="285"/>
      <c r="C57" s="286">
        <v>2547</v>
      </c>
      <c r="D57" s="287"/>
      <c r="E57" s="286">
        <v>2550</v>
      </c>
      <c r="F57" s="287"/>
      <c r="G57" s="286">
        <v>2576</v>
      </c>
      <c r="H57" s="287"/>
      <c r="I57" s="286">
        <v>2617</v>
      </c>
      <c r="J57" s="287"/>
    </row>
    <row r="58" spans="1:11" x14ac:dyDescent="0.3">
      <c r="A58" s="120" t="s">
        <v>36</v>
      </c>
      <c r="B58" s="121"/>
      <c r="C58" s="122">
        <f>SUM(C50:D57)</f>
        <v>209726</v>
      </c>
      <c r="D58" s="123"/>
      <c r="E58" s="122">
        <f>SUM(E50:F57)</f>
        <v>209855</v>
      </c>
      <c r="F58" s="123"/>
      <c r="G58" s="122">
        <f>SUM(G50:H57)</f>
        <v>209895</v>
      </c>
      <c r="H58" s="123"/>
      <c r="I58" s="122">
        <f>SUM(I50:J57)</f>
        <v>210008</v>
      </c>
      <c r="J58" s="123"/>
    </row>
    <row r="60" spans="1:11" x14ac:dyDescent="0.3">
      <c r="A60" s="124" t="s">
        <v>37</v>
      </c>
      <c r="B60" s="125"/>
      <c r="C60" s="130" t="s">
        <v>442</v>
      </c>
      <c r="D60" s="131"/>
      <c r="E60" s="130" t="s">
        <v>452</v>
      </c>
      <c r="F60" s="131"/>
      <c r="G60" s="130" t="s">
        <v>461</v>
      </c>
      <c r="H60" s="131"/>
      <c r="I60" s="130" t="s">
        <v>464</v>
      </c>
      <c r="J60" s="131"/>
    </row>
    <row r="61" spans="1:11" x14ac:dyDescent="0.3">
      <c r="A61" s="126"/>
      <c r="B61" s="127"/>
      <c r="C61" s="288">
        <v>138025</v>
      </c>
      <c r="D61" s="289"/>
      <c r="E61" s="288">
        <v>138131</v>
      </c>
      <c r="F61" s="289"/>
      <c r="G61" s="288">
        <v>138236</v>
      </c>
      <c r="H61" s="289"/>
      <c r="I61" s="288">
        <v>138314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368</v>
      </c>
      <c r="D66" s="115"/>
      <c r="E66" s="114" t="s">
        <v>402</v>
      </c>
      <c r="F66" s="115"/>
      <c r="G66" s="114" t="s">
        <v>435</v>
      </c>
      <c r="H66" s="115"/>
      <c r="I66" s="114" t="s">
        <v>465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ht="15" customHeight="1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28330</v>
      </c>
      <c r="D69" s="287"/>
      <c r="E69" s="286">
        <v>28575</v>
      </c>
      <c r="F69" s="287"/>
      <c r="G69" s="286">
        <v>28847</v>
      </c>
      <c r="H69" s="287"/>
      <c r="I69" s="286">
        <v>29171</v>
      </c>
      <c r="J69" s="287"/>
    </row>
    <row r="70" spans="1:10" x14ac:dyDescent="0.3">
      <c r="A70" s="101" t="s">
        <v>13</v>
      </c>
      <c r="B70" s="102"/>
      <c r="C70" s="286">
        <v>6883</v>
      </c>
      <c r="D70" s="287"/>
      <c r="E70" s="286">
        <v>6940</v>
      </c>
      <c r="F70" s="287"/>
      <c r="G70" s="286">
        <v>6964</v>
      </c>
      <c r="H70" s="287"/>
      <c r="I70" s="286">
        <v>6989</v>
      </c>
      <c r="J70" s="287"/>
    </row>
    <row r="71" spans="1:10" x14ac:dyDescent="0.3">
      <c r="A71" s="107" t="s">
        <v>14</v>
      </c>
      <c r="B71" s="108"/>
      <c r="C71" s="286">
        <v>5939</v>
      </c>
      <c r="D71" s="287"/>
      <c r="E71" s="286">
        <v>6008</v>
      </c>
      <c r="F71" s="287"/>
      <c r="G71" s="286">
        <v>6082</v>
      </c>
      <c r="H71" s="287"/>
      <c r="I71" s="286">
        <v>6128</v>
      </c>
      <c r="J71" s="287"/>
    </row>
    <row r="72" spans="1:10" x14ac:dyDescent="0.3">
      <c r="A72" s="107" t="s">
        <v>41</v>
      </c>
      <c r="B72" s="108"/>
      <c r="C72" s="286">
        <v>1322</v>
      </c>
      <c r="D72" s="287"/>
      <c r="E72" s="286">
        <v>1349</v>
      </c>
      <c r="F72" s="287"/>
      <c r="G72" s="286">
        <v>1362</v>
      </c>
      <c r="H72" s="287"/>
      <c r="I72" s="286">
        <v>1391</v>
      </c>
      <c r="J72" s="287"/>
    </row>
    <row r="73" spans="1:10" x14ac:dyDescent="0.3">
      <c r="A73" s="101" t="s">
        <v>15</v>
      </c>
      <c r="B73" s="102"/>
      <c r="C73" s="286">
        <v>4325</v>
      </c>
      <c r="D73" s="287"/>
      <c r="E73" s="286">
        <v>4391</v>
      </c>
      <c r="F73" s="287"/>
      <c r="G73" s="286">
        <v>4462</v>
      </c>
      <c r="H73" s="287"/>
      <c r="I73" s="286">
        <v>4555</v>
      </c>
      <c r="J73" s="287"/>
    </row>
    <row r="74" spans="1:10" x14ac:dyDescent="0.3">
      <c r="A74" s="107" t="s">
        <v>16</v>
      </c>
      <c r="B74" s="108"/>
      <c r="C74" s="286">
        <v>4699</v>
      </c>
      <c r="D74" s="287"/>
      <c r="E74" s="286">
        <v>4707</v>
      </c>
      <c r="F74" s="287"/>
      <c r="G74" s="286">
        <v>4736</v>
      </c>
      <c r="H74" s="287"/>
      <c r="I74" s="286">
        <v>4774</v>
      </c>
      <c r="J74" s="287"/>
    </row>
    <row r="75" spans="1:10" x14ac:dyDescent="0.3">
      <c r="A75" s="101" t="s">
        <v>17</v>
      </c>
      <c r="B75" s="102"/>
      <c r="C75" s="286">
        <v>6930</v>
      </c>
      <c r="D75" s="287"/>
      <c r="E75" s="286">
        <v>6987</v>
      </c>
      <c r="F75" s="287"/>
      <c r="G75" s="286">
        <v>7119</v>
      </c>
      <c r="H75" s="287"/>
      <c r="I75" s="286">
        <v>7241</v>
      </c>
      <c r="J75" s="287"/>
    </row>
    <row r="76" spans="1:10" x14ac:dyDescent="0.3">
      <c r="A76" s="107" t="s">
        <v>18</v>
      </c>
      <c r="B76" s="108"/>
      <c r="C76" s="286">
        <v>1501</v>
      </c>
      <c r="D76" s="287"/>
      <c r="E76" s="286">
        <v>1514</v>
      </c>
      <c r="F76" s="287"/>
      <c r="G76" s="286">
        <v>1536</v>
      </c>
      <c r="H76" s="287"/>
      <c r="I76" s="286">
        <v>1553</v>
      </c>
      <c r="J76" s="287"/>
    </row>
    <row r="77" spans="1:10" x14ac:dyDescent="0.3">
      <c r="A77" s="101" t="s">
        <v>19</v>
      </c>
      <c r="B77" s="102"/>
      <c r="C77" s="286">
        <v>5384</v>
      </c>
      <c r="D77" s="287"/>
      <c r="E77" s="286">
        <v>5510</v>
      </c>
      <c r="F77" s="287"/>
      <c r="G77" s="286">
        <v>5598</v>
      </c>
      <c r="H77" s="287"/>
      <c r="I77" s="286">
        <v>5711</v>
      </c>
      <c r="J77" s="287"/>
    </row>
    <row r="78" spans="1:10" x14ac:dyDescent="0.3">
      <c r="A78" s="105" t="s">
        <v>42</v>
      </c>
      <c r="B78" s="106"/>
      <c r="C78" s="103">
        <f>SUM(C69:C77)</f>
        <v>65313</v>
      </c>
      <c r="D78" s="104"/>
      <c r="E78" s="103">
        <f>SUM(E69:E77)</f>
        <v>65981</v>
      </c>
      <c r="F78" s="104"/>
      <c r="G78" s="103">
        <f>SUM(G69:G77)</f>
        <v>66706</v>
      </c>
      <c r="H78" s="104"/>
      <c r="I78" s="103">
        <f>SUM(I69:I77)</f>
        <v>67513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78"/>
  <sheetViews>
    <sheetView workbookViewId="0">
      <selection activeCell="O28" sqref="O28"/>
    </sheetView>
  </sheetViews>
  <sheetFormatPr defaultRowHeight="14.4" x14ac:dyDescent="0.3"/>
  <cols>
    <col min="2" max="2" width="22.109375" customWidth="1"/>
    <col min="4" max="4" width="7" customWidth="1"/>
    <col min="6" max="6" width="5.109375" customWidth="1"/>
    <col min="8" max="8" width="8.5546875" customWidth="1"/>
    <col min="10" max="10" width="7.109375" customWidth="1"/>
    <col min="12" max="12" width="6.6640625" customWidth="1"/>
    <col min="13" max="13" width="9.88671875" customWidth="1"/>
    <col min="14" max="14" width="8.33203125" customWidth="1"/>
    <col min="15" max="15" width="8.6640625" customWidth="1"/>
    <col min="16" max="16" width="11.5546875" customWidth="1"/>
    <col min="17" max="17" width="7.44140625" customWidth="1"/>
  </cols>
  <sheetData>
    <row r="1" spans="1:18" x14ac:dyDescent="0.3">
      <c r="C1" s="6"/>
      <c r="G1" s="6"/>
      <c r="M1" s="7"/>
      <c r="N1" s="6"/>
      <c r="O1" s="6"/>
      <c r="P1" s="6"/>
      <c r="Q1" s="6"/>
    </row>
    <row r="2" spans="1:18" x14ac:dyDescent="0.3">
      <c r="A2" s="167" t="s">
        <v>0</v>
      </c>
      <c r="B2" s="168"/>
      <c r="C2" s="231" t="s">
        <v>1</v>
      </c>
      <c r="D2" s="232"/>
      <c r="E2" s="235" t="s">
        <v>2</v>
      </c>
      <c r="F2" s="236"/>
      <c r="G2" s="235" t="s">
        <v>3</v>
      </c>
      <c r="H2" s="236"/>
      <c r="I2" s="235" t="s">
        <v>48</v>
      </c>
      <c r="J2" s="236"/>
      <c r="K2" s="235" t="s">
        <v>65</v>
      </c>
      <c r="L2" s="236"/>
      <c r="M2" s="241" t="s">
        <v>47</v>
      </c>
      <c r="N2" s="243" t="s">
        <v>5</v>
      </c>
      <c r="O2" s="244" t="s">
        <v>6</v>
      </c>
      <c r="P2" s="229" t="s">
        <v>7</v>
      </c>
      <c r="Q2" s="229" t="s">
        <v>8</v>
      </c>
    </row>
    <row r="3" spans="1:18" ht="35.25" customHeight="1" x14ac:dyDescent="0.3">
      <c r="A3" s="169"/>
      <c r="B3" s="170"/>
      <c r="C3" s="233"/>
      <c r="D3" s="234"/>
      <c r="E3" s="237"/>
      <c r="F3" s="238"/>
      <c r="G3" s="237"/>
      <c r="H3" s="238"/>
      <c r="I3" s="237"/>
      <c r="J3" s="238"/>
      <c r="K3" s="237"/>
      <c r="L3" s="238"/>
      <c r="M3" s="242"/>
      <c r="N3" s="242"/>
      <c r="O3" s="244"/>
      <c r="P3" s="229"/>
      <c r="Q3" s="229"/>
    </row>
    <row r="4" spans="1:18" x14ac:dyDescent="0.3">
      <c r="A4" s="105" t="s">
        <v>9</v>
      </c>
      <c r="B4" s="106"/>
      <c r="C4" s="230" t="s">
        <v>470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98">
        <v>1896</v>
      </c>
      <c r="D5" s="299"/>
      <c r="E5" s="298">
        <v>2092</v>
      </c>
      <c r="F5" s="299"/>
      <c r="G5" s="298">
        <v>1903</v>
      </c>
      <c r="H5" s="299"/>
      <c r="I5" s="298">
        <v>4355</v>
      </c>
      <c r="J5" s="299"/>
      <c r="K5" s="302">
        <v>0</v>
      </c>
      <c r="L5" s="303"/>
      <c r="M5" s="12">
        <v>2710</v>
      </c>
      <c r="N5" s="10">
        <v>554</v>
      </c>
      <c r="O5" s="38">
        <v>5878</v>
      </c>
      <c r="P5" s="10">
        <v>309</v>
      </c>
      <c r="Q5" s="10">
        <v>0</v>
      </c>
    </row>
    <row r="6" spans="1:18" ht="13.5" customHeight="1" x14ac:dyDescent="0.3">
      <c r="A6" s="211" t="s">
        <v>11</v>
      </c>
      <c r="B6" s="212"/>
      <c r="C6" s="298">
        <v>859</v>
      </c>
      <c r="D6" s="299"/>
      <c r="E6" s="298">
        <v>0</v>
      </c>
      <c r="F6" s="299"/>
      <c r="G6" s="298">
        <v>0</v>
      </c>
      <c r="H6" s="299"/>
      <c r="I6" s="298">
        <v>0</v>
      </c>
      <c r="J6" s="299"/>
      <c r="K6" s="298">
        <v>0</v>
      </c>
      <c r="L6" s="299"/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8" x14ac:dyDescent="0.3">
      <c r="A7" s="101" t="s">
        <v>12</v>
      </c>
      <c r="B7" s="102"/>
      <c r="C7" s="239">
        <v>441</v>
      </c>
      <c r="D7" s="240"/>
      <c r="E7" s="239">
        <v>78</v>
      </c>
      <c r="F7" s="240"/>
      <c r="G7" s="239">
        <v>6</v>
      </c>
      <c r="H7" s="240"/>
      <c r="I7" s="239">
        <v>361</v>
      </c>
      <c r="J7" s="240"/>
      <c r="K7" s="239">
        <v>41</v>
      </c>
      <c r="L7" s="240"/>
      <c r="M7" s="1">
        <v>542</v>
      </c>
      <c r="N7" s="1">
        <v>44</v>
      </c>
      <c r="O7" s="1">
        <v>0</v>
      </c>
      <c r="P7" s="1">
        <v>0</v>
      </c>
      <c r="Q7" s="1">
        <v>0</v>
      </c>
    </row>
    <row r="8" spans="1:18" x14ac:dyDescent="0.3">
      <c r="A8" s="101" t="s">
        <v>13</v>
      </c>
      <c r="B8" s="102"/>
      <c r="C8" s="239">
        <v>418</v>
      </c>
      <c r="D8" s="240"/>
      <c r="E8" s="239">
        <v>0</v>
      </c>
      <c r="F8" s="240"/>
      <c r="G8" s="239">
        <v>53</v>
      </c>
      <c r="H8" s="240"/>
      <c r="I8" s="239">
        <v>270</v>
      </c>
      <c r="J8" s="240"/>
      <c r="K8" s="239">
        <v>0</v>
      </c>
      <c r="L8" s="240"/>
      <c r="M8" s="1">
        <v>133</v>
      </c>
      <c r="N8" s="1">
        <v>15</v>
      </c>
      <c r="O8" s="1">
        <v>0</v>
      </c>
      <c r="P8" s="1">
        <v>0</v>
      </c>
      <c r="Q8" s="1">
        <v>2</v>
      </c>
      <c r="R8" s="29"/>
    </row>
    <row r="9" spans="1:18" x14ac:dyDescent="0.3">
      <c r="A9" s="101" t="s">
        <v>14</v>
      </c>
      <c r="B9" s="102"/>
      <c r="C9" s="239">
        <v>228</v>
      </c>
      <c r="D9" s="240"/>
      <c r="E9" s="239">
        <v>25</v>
      </c>
      <c r="F9" s="240"/>
      <c r="G9" s="239">
        <v>0</v>
      </c>
      <c r="H9" s="240"/>
      <c r="I9" s="239">
        <v>428</v>
      </c>
      <c r="J9" s="240"/>
      <c r="K9" s="239">
        <v>0</v>
      </c>
      <c r="L9" s="240"/>
      <c r="M9" s="1">
        <v>170</v>
      </c>
      <c r="N9" s="1">
        <v>78</v>
      </c>
      <c r="O9" s="1">
        <v>0</v>
      </c>
      <c r="P9" s="1">
        <v>12</v>
      </c>
      <c r="Q9" s="1">
        <v>1</v>
      </c>
    </row>
    <row r="10" spans="1:18" x14ac:dyDescent="0.3">
      <c r="A10" s="101" t="s">
        <v>15</v>
      </c>
      <c r="B10" s="102"/>
      <c r="C10" s="239">
        <v>220</v>
      </c>
      <c r="D10" s="240"/>
      <c r="E10" s="239">
        <v>177</v>
      </c>
      <c r="F10" s="240"/>
      <c r="G10" s="239">
        <v>65</v>
      </c>
      <c r="H10" s="240"/>
      <c r="I10" s="239">
        <v>30</v>
      </c>
      <c r="J10" s="240"/>
      <c r="K10" s="239">
        <v>0</v>
      </c>
      <c r="L10" s="240"/>
      <c r="M10" s="1">
        <v>110</v>
      </c>
      <c r="N10" s="1">
        <v>50</v>
      </c>
      <c r="O10" s="1">
        <v>0</v>
      </c>
      <c r="P10" s="1">
        <v>0</v>
      </c>
      <c r="Q10" s="1">
        <v>0</v>
      </c>
    </row>
    <row r="11" spans="1:18" x14ac:dyDescent="0.3">
      <c r="A11" s="101" t="s">
        <v>16</v>
      </c>
      <c r="B11" s="102"/>
      <c r="C11" s="245">
        <v>580</v>
      </c>
      <c r="D11" s="246"/>
      <c r="E11" s="239">
        <v>100</v>
      </c>
      <c r="F11" s="240"/>
      <c r="G11" s="239">
        <v>0</v>
      </c>
      <c r="H11" s="240"/>
      <c r="I11" s="239">
        <v>170</v>
      </c>
      <c r="J11" s="240"/>
      <c r="K11" s="239">
        <v>14</v>
      </c>
      <c r="L11" s="240"/>
      <c r="M11" s="1">
        <v>378</v>
      </c>
      <c r="N11" s="1">
        <v>371</v>
      </c>
      <c r="O11" s="1">
        <v>82</v>
      </c>
      <c r="P11" s="1">
        <v>14</v>
      </c>
      <c r="Q11" s="1">
        <v>0</v>
      </c>
    </row>
    <row r="12" spans="1:18" x14ac:dyDescent="0.3">
      <c r="A12" s="101" t="s">
        <v>17</v>
      </c>
      <c r="B12" s="102"/>
      <c r="C12" s="245">
        <v>174</v>
      </c>
      <c r="D12" s="246"/>
      <c r="E12" s="239">
        <v>0</v>
      </c>
      <c r="F12" s="240"/>
      <c r="G12" s="239">
        <v>0</v>
      </c>
      <c r="H12" s="240"/>
      <c r="I12" s="239">
        <v>240</v>
      </c>
      <c r="J12" s="240"/>
      <c r="K12" s="239">
        <v>0</v>
      </c>
      <c r="L12" s="240"/>
      <c r="M12" s="1">
        <v>221</v>
      </c>
      <c r="N12" s="1">
        <v>140</v>
      </c>
      <c r="O12" s="1">
        <v>0</v>
      </c>
      <c r="P12" s="1">
        <v>16</v>
      </c>
      <c r="Q12" s="1">
        <v>5</v>
      </c>
    </row>
    <row r="13" spans="1:18" x14ac:dyDescent="0.3">
      <c r="A13" s="101" t="s">
        <v>18</v>
      </c>
      <c r="B13" s="102"/>
      <c r="C13" s="245">
        <v>292</v>
      </c>
      <c r="D13" s="246"/>
      <c r="E13" s="239">
        <v>152</v>
      </c>
      <c r="F13" s="240"/>
      <c r="G13" s="239">
        <v>0</v>
      </c>
      <c r="H13" s="240"/>
      <c r="I13" s="239">
        <v>1</v>
      </c>
      <c r="J13" s="240"/>
      <c r="K13" s="239">
        <v>0</v>
      </c>
      <c r="L13" s="240"/>
      <c r="M13" s="1">
        <v>80</v>
      </c>
      <c r="N13" s="1">
        <v>41</v>
      </c>
      <c r="O13" s="1">
        <v>0</v>
      </c>
      <c r="P13" s="1">
        <v>0</v>
      </c>
      <c r="Q13" s="1">
        <v>0</v>
      </c>
    </row>
    <row r="14" spans="1:18" x14ac:dyDescent="0.3">
      <c r="A14" s="207" t="s">
        <v>19</v>
      </c>
      <c r="B14" s="208"/>
      <c r="C14" s="247">
        <v>283</v>
      </c>
      <c r="D14" s="248"/>
      <c r="E14" s="247">
        <v>7</v>
      </c>
      <c r="F14" s="248"/>
      <c r="G14" s="247">
        <v>13</v>
      </c>
      <c r="H14" s="248"/>
      <c r="I14" s="239">
        <v>232</v>
      </c>
      <c r="J14" s="240"/>
      <c r="K14" s="247">
        <v>0</v>
      </c>
      <c r="L14" s="248"/>
      <c r="M14" s="2">
        <v>240</v>
      </c>
      <c r="N14" s="2">
        <v>9</v>
      </c>
      <c r="O14" s="1">
        <v>0</v>
      </c>
      <c r="P14" s="1">
        <v>0</v>
      </c>
      <c r="Q14" s="1">
        <v>0</v>
      </c>
    </row>
    <row r="15" spans="1:18" ht="15" thickBot="1" x14ac:dyDescent="0.35">
      <c r="A15" s="203" t="s">
        <v>51</v>
      </c>
      <c r="B15" s="204"/>
      <c r="C15" s="247">
        <v>0</v>
      </c>
      <c r="D15" s="248"/>
      <c r="E15" s="247">
        <v>0</v>
      </c>
      <c r="F15" s="248"/>
      <c r="G15" s="247">
        <v>0</v>
      </c>
      <c r="H15" s="248"/>
      <c r="I15" s="247">
        <v>0</v>
      </c>
      <c r="J15" s="248"/>
      <c r="K15" s="247">
        <v>0</v>
      </c>
      <c r="L15" s="248"/>
      <c r="M15" s="2">
        <v>0</v>
      </c>
      <c r="N15" s="2">
        <v>0</v>
      </c>
      <c r="O15" s="12">
        <v>2862</v>
      </c>
      <c r="P15" s="10">
        <v>2397</v>
      </c>
      <c r="Q15" s="10">
        <v>1496</v>
      </c>
    </row>
    <row r="16" spans="1:18" ht="15" thickBot="1" x14ac:dyDescent="0.35">
      <c r="A16" s="199" t="s">
        <v>20</v>
      </c>
      <c r="B16" s="200"/>
      <c r="C16" s="201">
        <f>SUM(C5:D15)</f>
        <v>5391</v>
      </c>
      <c r="D16" s="202"/>
      <c r="E16" s="201">
        <f>SUM(E5:F15)</f>
        <v>2631</v>
      </c>
      <c r="F16" s="202"/>
      <c r="G16" s="201">
        <f>SUM(G5:H15)</f>
        <v>2040</v>
      </c>
      <c r="H16" s="202"/>
      <c r="I16" s="201">
        <f>SUM(I5:J15)</f>
        <v>6087</v>
      </c>
      <c r="J16" s="202"/>
      <c r="K16" s="201">
        <f>SUM(K5:L15)</f>
        <v>55</v>
      </c>
      <c r="L16" s="202"/>
      <c r="M16" s="3">
        <f>SUM(M5:M15)</f>
        <v>4584</v>
      </c>
      <c r="N16" s="4">
        <f>SUM(N5:N15)</f>
        <v>1302</v>
      </c>
      <c r="O16" s="4">
        <f>SUM(O5:O15)</f>
        <v>8822</v>
      </c>
      <c r="P16" s="4">
        <f>SUM(P5:P15)</f>
        <v>2748</v>
      </c>
      <c r="Q16" s="5">
        <f>SUM(Q5:Q15)</f>
        <v>1504</v>
      </c>
    </row>
    <row r="17" spans="1:20" ht="15" thickBot="1" x14ac:dyDescent="0.35">
      <c r="A17" s="190" t="s">
        <v>21</v>
      </c>
      <c r="B17" s="191"/>
      <c r="C17" s="413">
        <v>1896</v>
      </c>
      <c r="D17" s="414"/>
      <c r="E17" s="298">
        <v>2092</v>
      </c>
      <c r="F17" s="299"/>
      <c r="G17" s="298">
        <v>1903</v>
      </c>
      <c r="H17" s="299"/>
      <c r="I17" s="298">
        <v>4355</v>
      </c>
      <c r="J17" s="299"/>
      <c r="K17" s="302">
        <v>0</v>
      </c>
      <c r="L17" s="303"/>
      <c r="M17" s="12">
        <v>2302</v>
      </c>
      <c r="N17" s="41">
        <v>554</v>
      </c>
      <c r="O17" s="38">
        <v>5878</v>
      </c>
      <c r="P17" s="10">
        <v>309</v>
      </c>
      <c r="Q17" s="10">
        <v>0</v>
      </c>
    </row>
    <row r="18" spans="1:20" x14ac:dyDescent="0.3">
      <c r="A18" s="262" t="s">
        <v>22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T18" s="31"/>
    </row>
    <row r="19" spans="1:20" x14ac:dyDescent="0.3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T19" s="31"/>
    </row>
    <row r="20" spans="1:20" x14ac:dyDescent="0.3">
      <c r="O20" s="40"/>
    </row>
    <row r="21" spans="1:20" x14ac:dyDescent="0.3">
      <c r="Q21" s="39"/>
    </row>
    <row r="22" spans="1:20" x14ac:dyDescent="0.3">
      <c r="A22" s="167" t="s">
        <v>23</v>
      </c>
      <c r="B22" s="168"/>
      <c r="C22" s="231" t="s">
        <v>1</v>
      </c>
      <c r="D22" s="232"/>
      <c r="E22" s="235" t="s">
        <v>24</v>
      </c>
      <c r="F22" s="236"/>
      <c r="G22" s="235" t="s">
        <v>3</v>
      </c>
      <c r="H22" s="236"/>
      <c r="I22" s="264" t="s">
        <v>4</v>
      </c>
      <c r="J22" s="265"/>
      <c r="K22" s="268" t="s">
        <v>5</v>
      </c>
    </row>
    <row r="23" spans="1:20" ht="45" customHeight="1" x14ac:dyDescent="0.3">
      <c r="A23" s="169"/>
      <c r="B23" s="170"/>
      <c r="C23" s="233"/>
      <c r="D23" s="234"/>
      <c r="E23" s="237"/>
      <c r="F23" s="238"/>
      <c r="G23" s="237"/>
      <c r="H23" s="238"/>
      <c r="I23" s="266"/>
      <c r="J23" s="267"/>
      <c r="K23" s="269"/>
    </row>
    <row r="24" spans="1:20" x14ac:dyDescent="0.3">
      <c r="A24" s="105" t="s">
        <v>9</v>
      </c>
      <c r="B24" s="106"/>
      <c r="C24" s="257" t="s">
        <v>470</v>
      </c>
      <c r="D24" s="257"/>
      <c r="E24" s="257"/>
      <c r="F24" s="257"/>
      <c r="G24" s="257"/>
      <c r="H24" s="257"/>
      <c r="I24" s="257"/>
      <c r="J24" s="257"/>
      <c r="K24" s="257"/>
    </row>
    <row r="25" spans="1:20" x14ac:dyDescent="0.3">
      <c r="A25" s="101" t="s">
        <v>12</v>
      </c>
      <c r="B25" s="102"/>
      <c r="C25" s="258">
        <v>222</v>
      </c>
      <c r="D25" s="259"/>
      <c r="E25" s="260" t="s">
        <v>303</v>
      </c>
      <c r="F25" s="261"/>
      <c r="G25" s="258">
        <v>0</v>
      </c>
      <c r="H25" s="259"/>
      <c r="I25" s="258">
        <v>186</v>
      </c>
      <c r="J25" s="259"/>
      <c r="K25" s="8">
        <v>1</v>
      </c>
    </row>
    <row r="26" spans="1:20" x14ac:dyDescent="0.3">
      <c r="A26" s="101" t="s">
        <v>13</v>
      </c>
      <c r="B26" s="102"/>
      <c r="C26" s="258">
        <v>42</v>
      </c>
      <c r="D26" s="259"/>
      <c r="E26" s="260" t="s">
        <v>25</v>
      </c>
      <c r="F26" s="261"/>
      <c r="G26" s="258">
        <v>0</v>
      </c>
      <c r="H26" s="259"/>
      <c r="I26" s="258">
        <v>120</v>
      </c>
      <c r="J26" s="259"/>
      <c r="K26" s="8">
        <v>0</v>
      </c>
    </row>
    <row r="27" spans="1:20" x14ac:dyDescent="0.3">
      <c r="A27" s="101" t="s">
        <v>14</v>
      </c>
      <c r="B27" s="102"/>
      <c r="C27" s="258">
        <v>78</v>
      </c>
      <c r="D27" s="259"/>
      <c r="E27" s="260" t="s">
        <v>46</v>
      </c>
      <c r="F27" s="261"/>
      <c r="G27" s="258">
        <v>1</v>
      </c>
      <c r="H27" s="259"/>
      <c r="I27" s="258">
        <v>58</v>
      </c>
      <c r="J27" s="259"/>
      <c r="K27" s="8">
        <v>0</v>
      </c>
    </row>
    <row r="28" spans="1:20" ht="15" customHeight="1" x14ac:dyDescent="0.3">
      <c r="A28" s="101" t="s">
        <v>15</v>
      </c>
      <c r="B28" s="102"/>
      <c r="C28" s="260" t="s">
        <v>476</v>
      </c>
      <c r="D28" s="261"/>
      <c r="E28" s="260" t="s">
        <v>90</v>
      </c>
      <c r="F28" s="261"/>
      <c r="G28" s="258">
        <v>0</v>
      </c>
      <c r="H28" s="259"/>
      <c r="I28" s="258">
        <v>20</v>
      </c>
      <c r="J28" s="259"/>
      <c r="K28" s="8">
        <v>5</v>
      </c>
    </row>
    <row r="29" spans="1:20" x14ac:dyDescent="0.3">
      <c r="A29" s="101" t="s">
        <v>16</v>
      </c>
      <c r="B29" s="102"/>
      <c r="C29" s="411" t="s">
        <v>472</v>
      </c>
      <c r="D29" s="412"/>
      <c r="E29" s="260" t="s">
        <v>453</v>
      </c>
      <c r="F29" s="261"/>
      <c r="G29" s="258">
        <v>0</v>
      </c>
      <c r="H29" s="259"/>
      <c r="I29" s="258">
        <v>24</v>
      </c>
      <c r="J29" s="259"/>
      <c r="K29" s="8">
        <v>4</v>
      </c>
    </row>
    <row r="30" spans="1:20" x14ac:dyDescent="0.3">
      <c r="A30" s="101" t="s">
        <v>17</v>
      </c>
      <c r="B30" s="102"/>
      <c r="C30" s="272">
        <v>4</v>
      </c>
      <c r="D30" s="271"/>
      <c r="E30" s="258" t="s">
        <v>90</v>
      </c>
      <c r="F30" s="259"/>
      <c r="G30" s="258">
        <v>0</v>
      </c>
      <c r="H30" s="259"/>
      <c r="I30" s="258">
        <v>2</v>
      </c>
      <c r="J30" s="259"/>
      <c r="K30" s="8">
        <v>0</v>
      </c>
    </row>
    <row r="31" spans="1:20" x14ac:dyDescent="0.3">
      <c r="A31" s="101" t="s">
        <v>18</v>
      </c>
      <c r="B31" s="102"/>
      <c r="C31" s="272" t="s">
        <v>471</v>
      </c>
      <c r="D31" s="271"/>
      <c r="E31" s="260" t="s">
        <v>25</v>
      </c>
      <c r="F31" s="261"/>
      <c r="G31" s="258">
        <v>0</v>
      </c>
      <c r="H31" s="259"/>
      <c r="I31" s="258">
        <v>7</v>
      </c>
      <c r="J31" s="259"/>
      <c r="K31" s="8">
        <v>0</v>
      </c>
    </row>
    <row r="32" spans="1:20" x14ac:dyDescent="0.3">
      <c r="A32" s="101" t="s">
        <v>19</v>
      </c>
      <c r="B32" s="102"/>
      <c r="C32" s="258">
        <v>16</v>
      </c>
      <c r="D32" s="259"/>
      <c r="E32" s="260" t="s">
        <v>285</v>
      </c>
      <c r="F32" s="261"/>
      <c r="G32" s="258">
        <v>0</v>
      </c>
      <c r="H32" s="259"/>
      <c r="I32" s="258">
        <v>1</v>
      </c>
      <c r="J32" s="259"/>
      <c r="K32" s="8">
        <v>0</v>
      </c>
    </row>
    <row r="35" spans="1:11" x14ac:dyDescent="0.3">
      <c r="A35" s="167" t="s">
        <v>26</v>
      </c>
      <c r="B35" s="168"/>
      <c r="C35" s="231" t="s">
        <v>1</v>
      </c>
      <c r="D35" s="232"/>
      <c r="E35" s="235" t="s">
        <v>24</v>
      </c>
      <c r="F35" s="236"/>
      <c r="G35" s="235" t="s">
        <v>3</v>
      </c>
      <c r="H35" s="236"/>
      <c r="I35" s="264" t="s">
        <v>4</v>
      </c>
      <c r="J35" s="265"/>
      <c r="K35" s="243" t="s">
        <v>5</v>
      </c>
    </row>
    <row r="36" spans="1:11" ht="49.5" customHeight="1" x14ac:dyDescent="0.3">
      <c r="A36" s="169"/>
      <c r="B36" s="170"/>
      <c r="C36" s="233"/>
      <c r="D36" s="234"/>
      <c r="E36" s="237"/>
      <c r="F36" s="238"/>
      <c r="G36" s="237"/>
      <c r="H36" s="238"/>
      <c r="I36" s="278"/>
      <c r="J36" s="279"/>
      <c r="K36" s="242"/>
    </row>
    <row r="37" spans="1:11" x14ac:dyDescent="0.3">
      <c r="A37" s="105" t="s">
        <v>9</v>
      </c>
      <c r="B37" s="106"/>
      <c r="C37" s="273" t="s">
        <v>470</v>
      </c>
      <c r="D37" s="274"/>
      <c r="E37" s="274"/>
      <c r="F37" s="274"/>
      <c r="G37" s="274"/>
      <c r="H37" s="274"/>
      <c r="I37" s="274"/>
      <c r="J37" s="274"/>
      <c r="K37" s="275"/>
    </row>
    <row r="38" spans="1:11" x14ac:dyDescent="0.3">
      <c r="A38" s="147" t="s">
        <v>12</v>
      </c>
      <c r="B38" s="148"/>
      <c r="C38" s="258">
        <v>0</v>
      </c>
      <c r="D38" s="259"/>
      <c r="E38" s="276" t="s">
        <v>375</v>
      </c>
      <c r="F38" s="277"/>
      <c r="G38" s="258">
        <v>0</v>
      </c>
      <c r="H38" s="259"/>
      <c r="I38" s="258">
        <v>0</v>
      </c>
      <c r="J38" s="259"/>
      <c r="K38" s="8">
        <v>0</v>
      </c>
    </row>
    <row r="39" spans="1:11" x14ac:dyDescent="0.3">
      <c r="A39" s="147" t="s">
        <v>13</v>
      </c>
      <c r="B39" s="148"/>
      <c r="C39" s="258">
        <v>0</v>
      </c>
      <c r="D39" s="259"/>
      <c r="E39" s="276" t="s">
        <v>478</v>
      </c>
      <c r="F39" s="277"/>
      <c r="G39" s="258">
        <v>0</v>
      </c>
      <c r="H39" s="259"/>
      <c r="I39" s="258">
        <v>0</v>
      </c>
      <c r="J39" s="259"/>
      <c r="K39" s="8">
        <v>0</v>
      </c>
    </row>
    <row r="40" spans="1:11" x14ac:dyDescent="0.3">
      <c r="A40" s="147" t="s">
        <v>14</v>
      </c>
      <c r="B40" s="148"/>
      <c r="C40" s="258" t="s">
        <v>468</v>
      </c>
      <c r="D40" s="259"/>
      <c r="E40" s="276" t="s">
        <v>113</v>
      </c>
      <c r="F40" s="277"/>
      <c r="G40" s="258">
        <v>6</v>
      </c>
      <c r="H40" s="259"/>
      <c r="I40" s="258" t="s">
        <v>405</v>
      </c>
      <c r="J40" s="259"/>
      <c r="K40" s="8">
        <v>0</v>
      </c>
    </row>
    <row r="41" spans="1:11" x14ac:dyDescent="0.3">
      <c r="A41" s="147" t="s">
        <v>15</v>
      </c>
      <c r="B41" s="148"/>
      <c r="C41" s="272">
        <v>0</v>
      </c>
      <c r="D41" s="271"/>
      <c r="E41" s="276" t="s">
        <v>477</v>
      </c>
      <c r="F41" s="277"/>
      <c r="G41" s="258">
        <v>0</v>
      </c>
      <c r="H41" s="259"/>
      <c r="I41" s="258">
        <v>0</v>
      </c>
      <c r="J41" s="259"/>
      <c r="K41" s="8">
        <v>0</v>
      </c>
    </row>
    <row r="42" spans="1:11" x14ac:dyDescent="0.3">
      <c r="A42" s="147" t="s">
        <v>16</v>
      </c>
      <c r="B42" s="148"/>
      <c r="C42" s="272" t="s">
        <v>473</v>
      </c>
      <c r="D42" s="271"/>
      <c r="E42" s="276" t="s">
        <v>474</v>
      </c>
      <c r="F42" s="277"/>
      <c r="G42" s="258">
        <v>0</v>
      </c>
      <c r="H42" s="259"/>
      <c r="I42" s="258" t="s">
        <v>373</v>
      </c>
      <c r="J42" s="259"/>
      <c r="K42" s="8" t="s">
        <v>475</v>
      </c>
    </row>
    <row r="43" spans="1:11" x14ac:dyDescent="0.3">
      <c r="A43" s="147" t="s">
        <v>17</v>
      </c>
      <c r="B43" s="148"/>
      <c r="C43" s="272">
        <v>0</v>
      </c>
      <c r="D43" s="271"/>
      <c r="E43" s="258" t="s">
        <v>88</v>
      </c>
      <c r="F43" s="259"/>
      <c r="G43" s="258">
        <v>0</v>
      </c>
      <c r="H43" s="259"/>
      <c r="I43" s="258">
        <v>0</v>
      </c>
      <c r="J43" s="259"/>
      <c r="K43" s="8">
        <v>0</v>
      </c>
    </row>
    <row r="44" spans="1:11" x14ac:dyDescent="0.3">
      <c r="A44" s="147" t="s">
        <v>18</v>
      </c>
      <c r="B44" s="148"/>
      <c r="C44" s="272">
        <v>2</v>
      </c>
      <c r="D44" s="271"/>
      <c r="E44" s="258" t="s">
        <v>467</v>
      </c>
      <c r="F44" s="259"/>
      <c r="G44" s="258">
        <v>0</v>
      </c>
      <c r="H44" s="259"/>
      <c r="I44" s="258">
        <v>4</v>
      </c>
      <c r="J44" s="259"/>
      <c r="K44" s="8">
        <v>0</v>
      </c>
    </row>
    <row r="45" spans="1:11" x14ac:dyDescent="0.3">
      <c r="A45" s="147" t="s">
        <v>19</v>
      </c>
      <c r="B45" s="148"/>
      <c r="C45" s="258">
        <v>0</v>
      </c>
      <c r="D45" s="259"/>
      <c r="E45" s="258">
        <v>0</v>
      </c>
      <c r="F45" s="259"/>
      <c r="G45" s="258">
        <v>0</v>
      </c>
      <c r="H45" s="259"/>
      <c r="I45" s="258">
        <v>0</v>
      </c>
      <c r="J45" s="259"/>
      <c r="K45" s="8">
        <v>0</v>
      </c>
    </row>
    <row r="46" spans="1:11" x14ac:dyDescent="0.3">
      <c r="A46" s="283" t="s">
        <v>27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452</v>
      </c>
      <c r="D49" s="146"/>
      <c r="E49" s="145" t="s">
        <v>461</v>
      </c>
      <c r="F49" s="146"/>
      <c r="G49" s="145" t="s">
        <v>464</v>
      </c>
      <c r="H49" s="146"/>
      <c r="I49" s="145" t="s">
        <v>470</v>
      </c>
      <c r="J49" s="146"/>
    </row>
    <row r="50" spans="1:11" x14ac:dyDescent="0.3">
      <c r="A50" s="284" t="s">
        <v>30</v>
      </c>
      <c r="B50" s="285"/>
      <c r="C50" s="300">
        <v>12980</v>
      </c>
      <c r="D50" s="301"/>
      <c r="E50" s="300">
        <v>12949</v>
      </c>
      <c r="F50" s="301"/>
      <c r="G50" s="300">
        <v>12894</v>
      </c>
      <c r="H50" s="301"/>
      <c r="I50" s="300">
        <v>12857</v>
      </c>
      <c r="J50" s="301"/>
    </row>
    <row r="51" spans="1:11" x14ac:dyDescent="0.3">
      <c r="A51" s="284" t="s">
        <v>31</v>
      </c>
      <c r="B51" s="285"/>
      <c r="C51" s="286">
        <v>9112</v>
      </c>
      <c r="D51" s="287"/>
      <c r="E51" s="286">
        <v>9190</v>
      </c>
      <c r="F51" s="287"/>
      <c r="G51" s="286">
        <v>9268</v>
      </c>
      <c r="H51" s="287"/>
      <c r="I51" s="286">
        <v>9327</v>
      </c>
      <c r="J51" s="287"/>
    </row>
    <row r="52" spans="1:11" x14ac:dyDescent="0.3">
      <c r="A52" s="284" t="s">
        <v>32</v>
      </c>
      <c r="B52" s="285"/>
      <c r="C52" s="300">
        <v>114001</v>
      </c>
      <c r="D52" s="301"/>
      <c r="E52" s="300">
        <v>113837</v>
      </c>
      <c r="F52" s="301"/>
      <c r="G52" s="300">
        <v>113736</v>
      </c>
      <c r="H52" s="301"/>
      <c r="I52" s="300">
        <v>113633</v>
      </c>
      <c r="J52" s="301"/>
    </row>
    <row r="53" spans="1:11" x14ac:dyDescent="0.3">
      <c r="A53" s="284" t="s">
        <v>33</v>
      </c>
      <c r="B53" s="285"/>
      <c r="C53" s="286">
        <v>239</v>
      </c>
      <c r="D53" s="287"/>
      <c r="E53" s="286">
        <v>239</v>
      </c>
      <c r="F53" s="287"/>
      <c r="G53" s="286">
        <v>239</v>
      </c>
      <c r="H53" s="287"/>
      <c r="I53" s="286">
        <v>239</v>
      </c>
      <c r="J53" s="287"/>
    </row>
    <row r="54" spans="1:11" x14ac:dyDescent="0.3">
      <c r="A54" s="284" t="s">
        <v>34</v>
      </c>
      <c r="B54" s="285"/>
      <c r="C54" s="300">
        <v>50364</v>
      </c>
      <c r="D54" s="301"/>
      <c r="E54" s="300">
        <v>50311</v>
      </c>
      <c r="F54" s="301"/>
      <c r="G54" s="300">
        <v>50235</v>
      </c>
      <c r="H54" s="301"/>
      <c r="I54" s="300">
        <v>50163</v>
      </c>
      <c r="J54" s="301"/>
    </row>
    <row r="55" spans="1:11" x14ac:dyDescent="0.3">
      <c r="A55" s="284" t="s">
        <v>53</v>
      </c>
      <c r="B55" s="285"/>
      <c r="C55" s="286">
        <v>4382</v>
      </c>
      <c r="D55" s="287"/>
      <c r="E55" s="286">
        <v>4408</v>
      </c>
      <c r="F55" s="287"/>
      <c r="G55" s="286">
        <v>4422</v>
      </c>
      <c r="H55" s="287"/>
      <c r="I55" s="286">
        <v>4412</v>
      </c>
      <c r="J55" s="287"/>
    </row>
    <row r="56" spans="1:11" x14ac:dyDescent="0.3">
      <c r="A56" s="284" t="s">
        <v>49</v>
      </c>
      <c r="B56" s="285"/>
      <c r="C56" s="300">
        <v>16227</v>
      </c>
      <c r="D56" s="301"/>
      <c r="E56" s="300">
        <v>16385</v>
      </c>
      <c r="F56" s="301"/>
      <c r="G56" s="300">
        <v>16597</v>
      </c>
      <c r="H56" s="301"/>
      <c r="I56" s="300">
        <v>16759</v>
      </c>
      <c r="J56" s="301"/>
      <c r="K56" s="11"/>
    </row>
    <row r="57" spans="1:11" x14ac:dyDescent="0.3">
      <c r="A57" s="284" t="s">
        <v>35</v>
      </c>
      <c r="B57" s="285"/>
      <c r="C57" s="286">
        <v>2550</v>
      </c>
      <c r="D57" s="287"/>
      <c r="E57" s="286">
        <v>2576</v>
      </c>
      <c r="F57" s="287"/>
      <c r="G57" s="286">
        <v>2617</v>
      </c>
      <c r="H57" s="287"/>
      <c r="I57" s="286">
        <v>2675</v>
      </c>
      <c r="J57" s="287"/>
    </row>
    <row r="58" spans="1:11" x14ac:dyDescent="0.3">
      <c r="A58" s="120" t="s">
        <v>36</v>
      </c>
      <c r="B58" s="121"/>
      <c r="C58" s="122">
        <f>SUM(C50:D57)</f>
        <v>209855</v>
      </c>
      <c r="D58" s="123"/>
      <c r="E58" s="122">
        <f>SUM(E50:F57)</f>
        <v>209895</v>
      </c>
      <c r="F58" s="123"/>
      <c r="G58" s="122">
        <f>SUM(G50:H57)</f>
        <v>210008</v>
      </c>
      <c r="H58" s="123"/>
      <c r="I58" s="122">
        <f>SUM(I50:J57)</f>
        <v>210065</v>
      </c>
      <c r="J58" s="123"/>
    </row>
    <row r="60" spans="1:11" x14ac:dyDescent="0.3">
      <c r="A60" s="124" t="s">
        <v>37</v>
      </c>
      <c r="B60" s="125"/>
      <c r="C60" s="130" t="s">
        <v>452</v>
      </c>
      <c r="D60" s="131"/>
      <c r="E60" s="130" t="s">
        <v>461</v>
      </c>
      <c r="F60" s="131"/>
      <c r="G60" s="130" t="s">
        <v>464</v>
      </c>
      <c r="H60" s="131"/>
      <c r="I60" s="130" t="s">
        <v>470</v>
      </c>
      <c r="J60" s="131"/>
    </row>
    <row r="61" spans="1:11" x14ac:dyDescent="0.3">
      <c r="A61" s="126"/>
      <c r="B61" s="127"/>
      <c r="C61" s="288">
        <v>138131</v>
      </c>
      <c r="D61" s="289"/>
      <c r="E61" s="288">
        <v>138236</v>
      </c>
      <c r="F61" s="289"/>
      <c r="G61" s="288">
        <v>138314</v>
      </c>
      <c r="H61" s="289"/>
      <c r="I61" s="288">
        <v>138346</v>
      </c>
      <c r="J61" s="289"/>
    </row>
    <row r="62" spans="1:11" x14ac:dyDescent="0.3">
      <c r="A62" s="128"/>
      <c r="B62" s="129"/>
      <c r="C62" s="290"/>
      <c r="D62" s="291"/>
      <c r="E62" s="290"/>
      <c r="F62" s="291"/>
      <c r="G62" s="290"/>
      <c r="H62" s="291"/>
      <c r="I62" s="290"/>
      <c r="J62" s="291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368</v>
      </c>
      <c r="D66" s="115"/>
      <c r="E66" s="114" t="s">
        <v>402</v>
      </c>
      <c r="F66" s="115"/>
      <c r="G66" s="114" t="s">
        <v>435</v>
      </c>
      <c r="H66" s="115"/>
      <c r="I66" s="114" t="s">
        <v>465</v>
      </c>
      <c r="J66" s="115"/>
    </row>
    <row r="67" spans="1:10" ht="15" customHeight="1" x14ac:dyDescent="0.3">
      <c r="A67" s="116" t="s">
        <v>39</v>
      </c>
      <c r="B67" s="117"/>
      <c r="C67" s="294" t="s">
        <v>40</v>
      </c>
      <c r="D67" s="295"/>
      <c r="E67" s="294" t="s">
        <v>40</v>
      </c>
      <c r="F67" s="295"/>
      <c r="G67" s="294" t="s">
        <v>40</v>
      </c>
      <c r="H67" s="295"/>
      <c r="I67" s="294" t="s">
        <v>40</v>
      </c>
      <c r="J67" s="295"/>
    </row>
    <row r="68" spans="1:10" ht="15" customHeight="1" x14ac:dyDescent="0.3">
      <c r="A68" s="118"/>
      <c r="B68" s="119"/>
      <c r="C68" s="296"/>
      <c r="D68" s="297"/>
      <c r="E68" s="296"/>
      <c r="F68" s="297"/>
      <c r="G68" s="296"/>
      <c r="H68" s="297"/>
      <c r="I68" s="296"/>
      <c r="J68" s="297"/>
    </row>
    <row r="69" spans="1:10" x14ac:dyDescent="0.3">
      <c r="A69" s="107" t="s">
        <v>12</v>
      </c>
      <c r="B69" s="108"/>
      <c r="C69" s="286">
        <v>28330</v>
      </c>
      <c r="D69" s="287"/>
      <c r="E69" s="286">
        <v>28575</v>
      </c>
      <c r="F69" s="287"/>
      <c r="G69" s="286">
        <v>28847</v>
      </c>
      <c r="H69" s="287"/>
      <c r="I69" s="286">
        <v>29171</v>
      </c>
      <c r="J69" s="287"/>
    </row>
    <row r="70" spans="1:10" x14ac:dyDescent="0.3">
      <c r="A70" s="101" t="s">
        <v>13</v>
      </c>
      <c r="B70" s="102"/>
      <c r="C70" s="286">
        <v>6883</v>
      </c>
      <c r="D70" s="287"/>
      <c r="E70" s="286">
        <v>6940</v>
      </c>
      <c r="F70" s="287"/>
      <c r="G70" s="286">
        <v>6964</v>
      </c>
      <c r="H70" s="287"/>
      <c r="I70" s="286">
        <v>6989</v>
      </c>
      <c r="J70" s="287"/>
    </row>
    <row r="71" spans="1:10" x14ac:dyDescent="0.3">
      <c r="A71" s="107" t="s">
        <v>14</v>
      </c>
      <c r="B71" s="108"/>
      <c r="C71" s="286">
        <v>5939</v>
      </c>
      <c r="D71" s="287"/>
      <c r="E71" s="286">
        <v>6008</v>
      </c>
      <c r="F71" s="287"/>
      <c r="G71" s="286">
        <v>6082</v>
      </c>
      <c r="H71" s="287"/>
      <c r="I71" s="286">
        <v>6128</v>
      </c>
      <c r="J71" s="287"/>
    </row>
    <row r="72" spans="1:10" x14ac:dyDescent="0.3">
      <c r="A72" s="107" t="s">
        <v>41</v>
      </c>
      <c r="B72" s="108"/>
      <c r="C72" s="286">
        <v>1322</v>
      </c>
      <c r="D72" s="287"/>
      <c r="E72" s="286">
        <v>1349</v>
      </c>
      <c r="F72" s="287"/>
      <c r="G72" s="286">
        <v>1362</v>
      </c>
      <c r="H72" s="287"/>
      <c r="I72" s="286">
        <v>1391</v>
      </c>
      <c r="J72" s="287"/>
    </row>
    <row r="73" spans="1:10" x14ac:dyDescent="0.3">
      <c r="A73" s="101" t="s">
        <v>15</v>
      </c>
      <c r="B73" s="102"/>
      <c r="C73" s="286">
        <v>4325</v>
      </c>
      <c r="D73" s="287"/>
      <c r="E73" s="286">
        <v>4391</v>
      </c>
      <c r="F73" s="287"/>
      <c r="G73" s="286">
        <v>4462</v>
      </c>
      <c r="H73" s="287"/>
      <c r="I73" s="286">
        <v>4555</v>
      </c>
      <c r="J73" s="287"/>
    </row>
    <row r="74" spans="1:10" x14ac:dyDescent="0.3">
      <c r="A74" s="107" t="s">
        <v>16</v>
      </c>
      <c r="B74" s="108"/>
      <c r="C74" s="286">
        <v>4699</v>
      </c>
      <c r="D74" s="287"/>
      <c r="E74" s="286">
        <v>4707</v>
      </c>
      <c r="F74" s="287"/>
      <c r="G74" s="286">
        <v>4736</v>
      </c>
      <c r="H74" s="287"/>
      <c r="I74" s="286">
        <v>4774</v>
      </c>
      <c r="J74" s="287"/>
    </row>
    <row r="75" spans="1:10" x14ac:dyDescent="0.3">
      <c r="A75" s="101" t="s">
        <v>17</v>
      </c>
      <c r="B75" s="102"/>
      <c r="C75" s="286">
        <v>6930</v>
      </c>
      <c r="D75" s="287"/>
      <c r="E75" s="286">
        <v>6987</v>
      </c>
      <c r="F75" s="287"/>
      <c r="G75" s="286">
        <v>7119</v>
      </c>
      <c r="H75" s="287"/>
      <c r="I75" s="286">
        <v>7241</v>
      </c>
      <c r="J75" s="287"/>
    </row>
    <row r="76" spans="1:10" x14ac:dyDescent="0.3">
      <c r="A76" s="107" t="s">
        <v>18</v>
      </c>
      <c r="B76" s="108"/>
      <c r="C76" s="286">
        <v>1501</v>
      </c>
      <c r="D76" s="287"/>
      <c r="E76" s="286">
        <v>1514</v>
      </c>
      <c r="F76" s="287"/>
      <c r="G76" s="286">
        <v>1536</v>
      </c>
      <c r="H76" s="287"/>
      <c r="I76" s="286">
        <v>1553</v>
      </c>
      <c r="J76" s="287"/>
    </row>
    <row r="77" spans="1:10" x14ac:dyDescent="0.3">
      <c r="A77" s="101" t="s">
        <v>19</v>
      </c>
      <c r="B77" s="102"/>
      <c r="C77" s="286">
        <v>5384</v>
      </c>
      <c r="D77" s="287"/>
      <c r="E77" s="286">
        <v>5510</v>
      </c>
      <c r="F77" s="287"/>
      <c r="G77" s="286">
        <v>5598</v>
      </c>
      <c r="H77" s="287"/>
      <c r="I77" s="286">
        <v>5711</v>
      </c>
      <c r="J77" s="287"/>
    </row>
    <row r="78" spans="1:10" x14ac:dyDescent="0.3">
      <c r="A78" s="105" t="s">
        <v>42</v>
      </c>
      <c r="B78" s="106"/>
      <c r="C78" s="103">
        <f>SUM(C69:C77)</f>
        <v>65313</v>
      </c>
      <c r="D78" s="104"/>
      <c r="E78" s="103">
        <f>SUM(E69:E77)</f>
        <v>65981</v>
      </c>
      <c r="F78" s="104"/>
      <c r="G78" s="103">
        <f>SUM(G69:G77)</f>
        <v>66706</v>
      </c>
      <c r="H78" s="104"/>
      <c r="I78" s="103">
        <f>SUM(I69:I77)</f>
        <v>67513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30" t="s">
        <v>491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3">
        <v>1696</v>
      </c>
      <c r="D5" s="214"/>
      <c r="E5" s="213">
        <v>1912</v>
      </c>
      <c r="F5" s="214"/>
      <c r="G5" s="213">
        <v>1903</v>
      </c>
      <c r="H5" s="214"/>
      <c r="I5" s="213">
        <v>3955</v>
      </c>
      <c r="J5" s="214"/>
      <c r="K5" s="216">
        <v>0</v>
      </c>
      <c r="L5" s="217"/>
      <c r="M5" s="56">
        <v>2500</v>
      </c>
      <c r="N5" s="53">
        <v>354</v>
      </c>
      <c r="O5" s="38">
        <v>5728</v>
      </c>
      <c r="P5" s="53">
        <v>209</v>
      </c>
      <c r="Q5" s="53">
        <v>0</v>
      </c>
    </row>
    <row r="6" spans="1:18" ht="13.5" customHeight="1" x14ac:dyDescent="0.3">
      <c r="A6" s="211" t="s">
        <v>11</v>
      </c>
      <c r="B6" s="212"/>
      <c r="C6" s="213">
        <v>1117</v>
      </c>
      <c r="D6" s="214"/>
      <c r="E6" s="213">
        <v>5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2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387</v>
      </c>
      <c r="D7" s="422"/>
      <c r="E7" s="421">
        <v>145</v>
      </c>
      <c r="F7" s="422"/>
      <c r="G7" s="421">
        <v>6</v>
      </c>
      <c r="H7" s="422"/>
      <c r="I7" s="421">
        <v>225</v>
      </c>
      <c r="J7" s="422"/>
      <c r="K7" s="421">
        <v>41</v>
      </c>
      <c r="L7" s="422"/>
      <c r="M7" s="54">
        <v>473</v>
      </c>
      <c r="N7" s="54">
        <v>44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399</v>
      </c>
      <c r="D8" s="422"/>
      <c r="E8" s="421">
        <v>0</v>
      </c>
      <c r="F8" s="422"/>
      <c r="G8" s="421">
        <v>33</v>
      </c>
      <c r="H8" s="422"/>
      <c r="I8" s="421">
        <v>260</v>
      </c>
      <c r="J8" s="422"/>
      <c r="K8" s="421">
        <v>0</v>
      </c>
      <c r="L8" s="422"/>
      <c r="M8" s="54">
        <v>140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177</v>
      </c>
      <c r="D9" s="422"/>
      <c r="E9" s="421">
        <v>22</v>
      </c>
      <c r="F9" s="422"/>
      <c r="G9" s="421">
        <v>0</v>
      </c>
      <c r="H9" s="422"/>
      <c r="I9" s="421">
        <v>360</v>
      </c>
      <c r="J9" s="422"/>
      <c r="K9" s="421">
        <v>0</v>
      </c>
      <c r="L9" s="422"/>
      <c r="M9" s="54">
        <v>154</v>
      </c>
      <c r="N9" s="54">
        <v>75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189</v>
      </c>
      <c r="D10" s="422"/>
      <c r="E10" s="421">
        <v>153</v>
      </c>
      <c r="F10" s="422"/>
      <c r="G10" s="421">
        <v>56</v>
      </c>
      <c r="H10" s="422"/>
      <c r="I10" s="421">
        <v>30</v>
      </c>
      <c r="J10" s="422"/>
      <c r="K10" s="421">
        <v>0</v>
      </c>
      <c r="L10" s="422"/>
      <c r="M10" s="54">
        <v>85</v>
      </c>
      <c r="N10" s="54">
        <v>30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550</v>
      </c>
      <c r="D11" s="424"/>
      <c r="E11" s="421">
        <v>100</v>
      </c>
      <c r="F11" s="422"/>
      <c r="G11" s="421">
        <v>0</v>
      </c>
      <c r="H11" s="422"/>
      <c r="I11" s="421">
        <v>162</v>
      </c>
      <c r="J11" s="422"/>
      <c r="K11" s="421">
        <v>13</v>
      </c>
      <c r="L11" s="422"/>
      <c r="M11" s="54">
        <v>372</v>
      </c>
      <c r="N11" s="54">
        <v>365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209</v>
      </c>
      <c r="D12" s="424"/>
      <c r="E12" s="421">
        <v>0</v>
      </c>
      <c r="F12" s="422"/>
      <c r="G12" s="421">
        <v>0</v>
      </c>
      <c r="H12" s="422"/>
      <c r="I12" s="421">
        <v>585</v>
      </c>
      <c r="J12" s="422"/>
      <c r="K12" s="421">
        <v>0</v>
      </c>
      <c r="L12" s="422"/>
      <c r="M12" s="54">
        <v>336</v>
      </c>
      <c r="N12" s="54">
        <v>330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256</v>
      </c>
      <c r="D13" s="424"/>
      <c r="E13" s="421">
        <v>123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64</v>
      </c>
      <c r="N13" s="54">
        <v>41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254</v>
      </c>
      <c r="D14" s="420"/>
      <c r="E14" s="419">
        <v>7</v>
      </c>
      <c r="F14" s="420"/>
      <c r="G14" s="419">
        <v>13</v>
      </c>
      <c r="H14" s="420"/>
      <c r="I14" s="421">
        <v>201</v>
      </c>
      <c r="J14" s="422"/>
      <c r="K14" s="419">
        <v>0</v>
      </c>
      <c r="L14" s="420"/>
      <c r="M14" s="55">
        <v>222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2578</v>
      </c>
      <c r="P15" s="53">
        <v>2217</v>
      </c>
      <c r="Q15" s="53">
        <v>1285</v>
      </c>
    </row>
    <row r="16" spans="1:18" ht="15" thickBot="1" x14ac:dyDescent="0.35">
      <c r="A16" s="199" t="s">
        <v>20</v>
      </c>
      <c r="B16" s="200"/>
      <c r="C16" s="201">
        <f>SUM(C5:D15)</f>
        <v>5234</v>
      </c>
      <c r="D16" s="202"/>
      <c r="E16" s="201">
        <f>SUM(E5:F15)</f>
        <v>2467</v>
      </c>
      <c r="F16" s="202"/>
      <c r="G16" s="201">
        <f>SUM(G5:H15)</f>
        <v>2011</v>
      </c>
      <c r="H16" s="202"/>
      <c r="I16" s="201">
        <f>SUM(I5:J15)</f>
        <v>5779</v>
      </c>
      <c r="J16" s="202"/>
      <c r="K16" s="201">
        <f>SUM(K5:L15)</f>
        <v>54</v>
      </c>
      <c r="L16" s="202"/>
      <c r="M16" s="4">
        <f>SUM(M5:M15)</f>
        <v>4348</v>
      </c>
      <c r="N16" s="4">
        <f>SUM(N5:N15)</f>
        <v>1263</v>
      </c>
      <c r="O16" s="4">
        <f>SUM(O5:O15)</f>
        <v>8388</v>
      </c>
      <c r="P16" s="4">
        <f>SUM(P5:P15)</f>
        <v>2468</v>
      </c>
      <c r="Q16" s="5">
        <f>SUM(Q5:Q15)</f>
        <v>1293</v>
      </c>
    </row>
    <row r="17" spans="1:20" ht="15" thickBot="1" x14ac:dyDescent="0.35">
      <c r="A17" s="190" t="s">
        <v>21</v>
      </c>
      <c r="B17" s="191"/>
      <c r="C17" s="193">
        <v>1696</v>
      </c>
      <c r="D17" s="194"/>
      <c r="E17" s="195">
        <v>1912</v>
      </c>
      <c r="F17" s="196"/>
      <c r="G17" s="195">
        <v>1903</v>
      </c>
      <c r="H17" s="196"/>
      <c r="I17" s="195">
        <v>3955</v>
      </c>
      <c r="J17" s="196"/>
      <c r="K17" s="197">
        <v>0</v>
      </c>
      <c r="L17" s="198"/>
      <c r="M17" s="36">
        <v>2092</v>
      </c>
      <c r="N17" s="47">
        <v>354</v>
      </c>
      <c r="O17" s="45">
        <v>5728</v>
      </c>
      <c r="P17" s="37">
        <v>209</v>
      </c>
      <c r="Q17" s="37">
        <v>0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1" spans="1:20" x14ac:dyDescent="0.3">
      <c r="Q21" s="50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491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224</v>
      </c>
      <c r="D25" s="150"/>
      <c r="E25" s="165" t="s">
        <v>133</v>
      </c>
      <c r="F25" s="166"/>
      <c r="G25" s="149">
        <v>0</v>
      </c>
      <c r="H25" s="150"/>
      <c r="I25" s="149">
        <v>186</v>
      </c>
      <c r="J25" s="150"/>
      <c r="K25" s="52">
        <v>1</v>
      </c>
    </row>
    <row r="26" spans="1:20" x14ac:dyDescent="0.3">
      <c r="A26" s="101" t="s">
        <v>13</v>
      </c>
      <c r="B26" s="102"/>
      <c r="C26" s="149">
        <v>40</v>
      </c>
      <c r="D26" s="150"/>
      <c r="E26" s="165" t="s">
        <v>25</v>
      </c>
      <c r="F26" s="166"/>
      <c r="G26" s="149">
        <v>0</v>
      </c>
      <c r="H26" s="150"/>
      <c r="I26" s="149">
        <v>111</v>
      </c>
      <c r="J26" s="150"/>
      <c r="K26" s="52">
        <v>0</v>
      </c>
    </row>
    <row r="27" spans="1:20" x14ac:dyDescent="0.3">
      <c r="A27" s="101" t="s">
        <v>14</v>
      </c>
      <c r="B27" s="102"/>
      <c r="C27" s="149">
        <v>88</v>
      </c>
      <c r="D27" s="150"/>
      <c r="E27" s="165" t="s">
        <v>46</v>
      </c>
      <c r="F27" s="166"/>
      <c r="G27" s="149">
        <v>1</v>
      </c>
      <c r="H27" s="150"/>
      <c r="I27" s="149">
        <v>62</v>
      </c>
      <c r="J27" s="150"/>
      <c r="K27" s="52">
        <v>0</v>
      </c>
    </row>
    <row r="28" spans="1:20" ht="15" customHeight="1" x14ac:dyDescent="0.3">
      <c r="A28" s="101" t="s">
        <v>15</v>
      </c>
      <c r="B28" s="102"/>
      <c r="C28" s="165" t="s">
        <v>476</v>
      </c>
      <c r="D28" s="166"/>
      <c r="E28" s="165" t="s">
        <v>131</v>
      </c>
      <c r="F28" s="166"/>
      <c r="G28" s="149">
        <v>0</v>
      </c>
      <c r="H28" s="150"/>
      <c r="I28" s="149">
        <v>12</v>
      </c>
      <c r="J28" s="150"/>
      <c r="K28" s="52">
        <v>4</v>
      </c>
    </row>
    <row r="29" spans="1:20" x14ac:dyDescent="0.3">
      <c r="A29" s="101" t="s">
        <v>16</v>
      </c>
      <c r="B29" s="102"/>
      <c r="C29" s="183" t="s">
        <v>472</v>
      </c>
      <c r="D29" s="184"/>
      <c r="E29" s="165" t="s">
        <v>90</v>
      </c>
      <c r="F29" s="166"/>
      <c r="G29" s="149">
        <v>0</v>
      </c>
      <c r="H29" s="150"/>
      <c r="I29" s="149">
        <v>24</v>
      </c>
      <c r="J29" s="150"/>
      <c r="K29" s="52">
        <v>4</v>
      </c>
    </row>
    <row r="30" spans="1:20" x14ac:dyDescent="0.3">
      <c r="A30" s="101" t="s">
        <v>17</v>
      </c>
      <c r="B30" s="102"/>
      <c r="C30" s="152">
        <v>2</v>
      </c>
      <c r="D30" s="153"/>
      <c r="E30" s="149" t="s">
        <v>90</v>
      </c>
      <c r="F30" s="150"/>
      <c r="G30" s="149">
        <v>0</v>
      </c>
      <c r="H30" s="150"/>
      <c r="I30" s="149">
        <v>1</v>
      </c>
      <c r="J30" s="150"/>
      <c r="K30" s="52">
        <v>0</v>
      </c>
    </row>
    <row r="31" spans="1:20" x14ac:dyDescent="0.3">
      <c r="A31" s="101" t="s">
        <v>18</v>
      </c>
      <c r="B31" s="102"/>
      <c r="C31" s="152" t="s">
        <v>471</v>
      </c>
      <c r="D31" s="153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</row>
    <row r="35" spans="1:11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1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1" x14ac:dyDescent="0.3">
      <c r="A37" s="105" t="s">
        <v>9</v>
      </c>
      <c r="B37" s="106"/>
      <c r="C37" s="159" t="s">
        <v>491</v>
      </c>
      <c r="D37" s="160"/>
      <c r="E37" s="160"/>
      <c r="F37" s="160"/>
      <c r="G37" s="160"/>
      <c r="H37" s="160"/>
      <c r="I37" s="160"/>
      <c r="J37" s="160"/>
      <c r="K37" s="415"/>
    </row>
    <row r="38" spans="1:11" x14ac:dyDescent="0.3">
      <c r="A38" s="147" t="s">
        <v>12</v>
      </c>
      <c r="B38" s="148"/>
      <c r="C38" s="149">
        <v>0</v>
      </c>
      <c r="D38" s="150"/>
      <c r="E38" s="154" t="s">
        <v>492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1" x14ac:dyDescent="0.3">
      <c r="A39" s="147" t="s">
        <v>13</v>
      </c>
      <c r="B39" s="148"/>
      <c r="C39" s="149">
        <v>0</v>
      </c>
      <c r="D39" s="150"/>
      <c r="E39" s="154" t="s">
        <v>493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1" x14ac:dyDescent="0.3">
      <c r="A40" s="147" t="s">
        <v>14</v>
      </c>
      <c r="B40" s="148"/>
      <c r="C40" s="149" t="s">
        <v>468</v>
      </c>
      <c r="D40" s="150"/>
      <c r="E40" s="154" t="s">
        <v>113</v>
      </c>
      <c r="F40" s="155"/>
      <c r="G40" s="149">
        <v>6</v>
      </c>
      <c r="H40" s="150"/>
      <c r="I40" s="149" t="s">
        <v>405</v>
      </c>
      <c r="J40" s="150"/>
      <c r="K40" s="52">
        <v>0</v>
      </c>
    </row>
    <row r="41" spans="1:11" x14ac:dyDescent="0.3">
      <c r="A41" s="147" t="s">
        <v>15</v>
      </c>
      <c r="B41" s="148"/>
      <c r="C41" s="152">
        <v>0</v>
      </c>
      <c r="D41" s="153"/>
      <c r="E41" s="154" t="s">
        <v>477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1" x14ac:dyDescent="0.3">
      <c r="A42" s="147" t="s">
        <v>16</v>
      </c>
      <c r="B42" s="148"/>
      <c r="C42" s="152" t="s">
        <v>473</v>
      </c>
      <c r="D42" s="153"/>
      <c r="E42" s="154" t="s">
        <v>474</v>
      </c>
      <c r="F42" s="155"/>
      <c r="G42" s="149">
        <v>0</v>
      </c>
      <c r="H42" s="150"/>
      <c r="I42" s="149" t="s">
        <v>373</v>
      </c>
      <c r="J42" s="150"/>
      <c r="K42" s="52" t="s">
        <v>475</v>
      </c>
    </row>
    <row r="43" spans="1:11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1" x14ac:dyDescent="0.3">
      <c r="A44" s="147" t="s">
        <v>18</v>
      </c>
      <c r="B44" s="148"/>
      <c r="C44" s="152">
        <v>2</v>
      </c>
      <c r="D44" s="153"/>
      <c r="E44" s="149" t="s">
        <v>467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1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1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461</v>
      </c>
      <c r="D49" s="146"/>
      <c r="E49" s="145" t="s">
        <v>464</v>
      </c>
      <c r="F49" s="146"/>
      <c r="G49" s="145" t="s">
        <v>470</v>
      </c>
      <c r="H49" s="146"/>
      <c r="I49" s="145" t="s">
        <v>491</v>
      </c>
      <c r="J49" s="146"/>
    </row>
    <row r="50" spans="1:11" x14ac:dyDescent="0.3">
      <c r="A50" s="120" t="s">
        <v>30</v>
      </c>
      <c r="B50" s="121"/>
      <c r="C50" s="122">
        <v>12949</v>
      </c>
      <c r="D50" s="123"/>
      <c r="E50" s="122">
        <v>12894</v>
      </c>
      <c r="F50" s="123"/>
      <c r="G50" s="122">
        <v>12857</v>
      </c>
      <c r="H50" s="123"/>
      <c r="I50" s="122">
        <v>12807</v>
      </c>
      <c r="J50" s="123"/>
    </row>
    <row r="51" spans="1:11" x14ac:dyDescent="0.3">
      <c r="A51" s="120" t="s">
        <v>31</v>
      </c>
      <c r="B51" s="121"/>
      <c r="C51" s="103">
        <v>9190</v>
      </c>
      <c r="D51" s="104"/>
      <c r="E51" s="103">
        <v>9268</v>
      </c>
      <c r="F51" s="104"/>
      <c r="G51" s="103">
        <v>9327</v>
      </c>
      <c r="H51" s="104"/>
      <c r="I51" s="122">
        <v>9364</v>
      </c>
      <c r="J51" s="123"/>
    </row>
    <row r="52" spans="1:11" x14ac:dyDescent="0.3">
      <c r="A52" s="120" t="s">
        <v>32</v>
      </c>
      <c r="B52" s="121"/>
      <c r="C52" s="122">
        <v>113837</v>
      </c>
      <c r="D52" s="123"/>
      <c r="E52" s="122">
        <v>113736</v>
      </c>
      <c r="F52" s="123"/>
      <c r="G52" s="122">
        <v>113633</v>
      </c>
      <c r="H52" s="123"/>
      <c r="I52" s="122">
        <v>113504</v>
      </c>
      <c r="J52" s="123"/>
    </row>
    <row r="53" spans="1:11" x14ac:dyDescent="0.3">
      <c r="A53" s="120" t="s">
        <v>33</v>
      </c>
      <c r="B53" s="121"/>
      <c r="C53" s="103">
        <v>239</v>
      </c>
      <c r="D53" s="104"/>
      <c r="E53" s="103">
        <v>239</v>
      </c>
      <c r="F53" s="104"/>
      <c r="G53" s="103">
        <v>239</v>
      </c>
      <c r="H53" s="104"/>
      <c r="I53" s="103">
        <v>239</v>
      </c>
      <c r="J53" s="104"/>
    </row>
    <row r="54" spans="1:11" x14ac:dyDescent="0.3">
      <c r="A54" s="120" t="s">
        <v>34</v>
      </c>
      <c r="B54" s="121"/>
      <c r="C54" s="122">
        <v>50311</v>
      </c>
      <c r="D54" s="123"/>
      <c r="E54" s="122">
        <v>50235</v>
      </c>
      <c r="F54" s="123"/>
      <c r="G54" s="122">
        <v>50163</v>
      </c>
      <c r="H54" s="123"/>
      <c r="I54" s="122">
        <v>50144</v>
      </c>
      <c r="J54" s="123"/>
      <c r="K54" s="57"/>
    </row>
    <row r="55" spans="1:11" x14ac:dyDescent="0.3">
      <c r="A55" s="120" t="s">
        <v>53</v>
      </c>
      <c r="B55" s="121"/>
      <c r="C55" s="103">
        <v>4408</v>
      </c>
      <c r="D55" s="104"/>
      <c r="E55" s="103">
        <v>4422</v>
      </c>
      <c r="F55" s="104"/>
      <c r="G55" s="103">
        <v>4412</v>
      </c>
      <c r="H55" s="104"/>
      <c r="I55" s="103">
        <v>4410</v>
      </c>
      <c r="J55" s="104"/>
    </row>
    <row r="56" spans="1:11" x14ac:dyDescent="0.3">
      <c r="A56" s="120" t="s">
        <v>49</v>
      </c>
      <c r="B56" s="121"/>
      <c r="C56" s="122">
        <v>16385</v>
      </c>
      <c r="D56" s="123"/>
      <c r="E56" s="122">
        <v>16597</v>
      </c>
      <c r="F56" s="123"/>
      <c r="G56" s="122">
        <v>16759</v>
      </c>
      <c r="H56" s="123"/>
      <c r="I56" s="122">
        <v>16961</v>
      </c>
      <c r="J56" s="123"/>
      <c r="K56" s="51"/>
    </row>
    <row r="57" spans="1:11" x14ac:dyDescent="0.3">
      <c r="A57" s="120" t="s">
        <v>35</v>
      </c>
      <c r="B57" s="121"/>
      <c r="C57" s="103">
        <v>2576</v>
      </c>
      <c r="D57" s="104"/>
      <c r="E57" s="103">
        <v>2617</v>
      </c>
      <c r="F57" s="104"/>
      <c r="G57" s="103">
        <v>2675</v>
      </c>
      <c r="H57" s="104"/>
      <c r="I57" s="103">
        <v>2713</v>
      </c>
      <c r="J57" s="104"/>
    </row>
    <row r="58" spans="1:11" x14ac:dyDescent="0.3">
      <c r="A58" s="120" t="s">
        <v>36</v>
      </c>
      <c r="B58" s="121"/>
      <c r="C58" s="122">
        <f>SUM(C50:D57)</f>
        <v>209895</v>
      </c>
      <c r="D58" s="123"/>
      <c r="E58" s="122">
        <f>SUM(E50:F57)</f>
        <v>210008</v>
      </c>
      <c r="F58" s="123"/>
      <c r="G58" s="122">
        <f>SUM(G50:H57)</f>
        <v>210065</v>
      </c>
      <c r="H58" s="123"/>
      <c r="I58" s="122">
        <f>SUM(I50:J57)</f>
        <v>210142</v>
      </c>
      <c r="J58" s="123"/>
    </row>
    <row r="60" spans="1:11" x14ac:dyDescent="0.3">
      <c r="A60" s="124" t="s">
        <v>37</v>
      </c>
      <c r="B60" s="125"/>
      <c r="C60" s="130" t="s">
        <v>461</v>
      </c>
      <c r="D60" s="131"/>
      <c r="E60" s="130" t="s">
        <v>464</v>
      </c>
      <c r="F60" s="131"/>
      <c r="G60" s="130" t="s">
        <v>470</v>
      </c>
      <c r="H60" s="131"/>
      <c r="I60" s="130" t="s">
        <v>491</v>
      </c>
      <c r="J60" s="131"/>
    </row>
    <row r="61" spans="1:11" x14ac:dyDescent="0.3">
      <c r="A61" s="126"/>
      <c r="B61" s="127"/>
      <c r="C61" s="132">
        <v>138236</v>
      </c>
      <c r="D61" s="133"/>
      <c r="E61" s="132">
        <v>138314</v>
      </c>
      <c r="F61" s="133"/>
      <c r="G61" s="132">
        <v>138346</v>
      </c>
      <c r="H61" s="133"/>
      <c r="I61" s="132">
        <v>138395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368</v>
      </c>
      <c r="D66" s="115"/>
      <c r="E66" s="114" t="s">
        <v>402</v>
      </c>
      <c r="F66" s="115"/>
      <c r="G66" s="114" t="s">
        <v>435</v>
      </c>
      <c r="H66" s="115"/>
      <c r="I66" s="114" t="s">
        <v>465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28330</v>
      </c>
      <c r="D69" s="104"/>
      <c r="E69" s="103">
        <v>28575</v>
      </c>
      <c r="F69" s="104"/>
      <c r="G69" s="103">
        <v>28847</v>
      </c>
      <c r="H69" s="104"/>
      <c r="I69" s="103">
        <v>29171</v>
      </c>
      <c r="J69" s="104"/>
    </row>
    <row r="70" spans="1:10" x14ac:dyDescent="0.3">
      <c r="A70" s="101" t="s">
        <v>13</v>
      </c>
      <c r="B70" s="102"/>
      <c r="C70" s="103">
        <v>6883</v>
      </c>
      <c r="D70" s="104"/>
      <c r="E70" s="103">
        <v>6940</v>
      </c>
      <c r="F70" s="104"/>
      <c r="G70" s="103">
        <v>6964</v>
      </c>
      <c r="H70" s="104"/>
      <c r="I70" s="103">
        <v>6989</v>
      </c>
      <c r="J70" s="104"/>
    </row>
    <row r="71" spans="1:10" x14ac:dyDescent="0.3">
      <c r="A71" s="107" t="s">
        <v>14</v>
      </c>
      <c r="B71" s="108"/>
      <c r="C71" s="103">
        <v>5939</v>
      </c>
      <c r="D71" s="104"/>
      <c r="E71" s="103">
        <v>6008</v>
      </c>
      <c r="F71" s="104"/>
      <c r="G71" s="103">
        <v>6082</v>
      </c>
      <c r="H71" s="104"/>
      <c r="I71" s="103">
        <v>6128</v>
      </c>
      <c r="J71" s="104"/>
    </row>
    <row r="72" spans="1:10" x14ac:dyDescent="0.3">
      <c r="A72" s="107" t="s">
        <v>41</v>
      </c>
      <c r="B72" s="108"/>
      <c r="C72" s="103">
        <v>1322</v>
      </c>
      <c r="D72" s="104"/>
      <c r="E72" s="103">
        <v>1349</v>
      </c>
      <c r="F72" s="104"/>
      <c r="G72" s="103">
        <v>1362</v>
      </c>
      <c r="H72" s="104"/>
      <c r="I72" s="103">
        <v>1391</v>
      </c>
      <c r="J72" s="104"/>
    </row>
    <row r="73" spans="1:10" x14ac:dyDescent="0.3">
      <c r="A73" s="101" t="s">
        <v>15</v>
      </c>
      <c r="B73" s="102"/>
      <c r="C73" s="103">
        <v>4325</v>
      </c>
      <c r="D73" s="104"/>
      <c r="E73" s="103">
        <v>4391</v>
      </c>
      <c r="F73" s="104"/>
      <c r="G73" s="103">
        <v>4462</v>
      </c>
      <c r="H73" s="104"/>
      <c r="I73" s="103">
        <v>4555</v>
      </c>
      <c r="J73" s="104"/>
    </row>
    <row r="74" spans="1:10" x14ac:dyDescent="0.3">
      <c r="A74" s="107" t="s">
        <v>16</v>
      </c>
      <c r="B74" s="108"/>
      <c r="C74" s="103">
        <v>4699</v>
      </c>
      <c r="D74" s="104"/>
      <c r="E74" s="103">
        <v>4707</v>
      </c>
      <c r="F74" s="104"/>
      <c r="G74" s="103">
        <v>4736</v>
      </c>
      <c r="H74" s="104"/>
      <c r="I74" s="103">
        <v>4774</v>
      </c>
      <c r="J74" s="104"/>
    </row>
    <row r="75" spans="1:10" x14ac:dyDescent="0.3">
      <c r="A75" s="101" t="s">
        <v>17</v>
      </c>
      <c r="B75" s="102"/>
      <c r="C75" s="103">
        <v>6930</v>
      </c>
      <c r="D75" s="104"/>
      <c r="E75" s="103">
        <v>6987</v>
      </c>
      <c r="F75" s="104"/>
      <c r="G75" s="103">
        <v>7119</v>
      </c>
      <c r="H75" s="104"/>
      <c r="I75" s="103">
        <v>7241</v>
      </c>
      <c r="J75" s="104"/>
    </row>
    <row r="76" spans="1:10" x14ac:dyDescent="0.3">
      <c r="A76" s="107" t="s">
        <v>18</v>
      </c>
      <c r="B76" s="108"/>
      <c r="C76" s="103">
        <v>1501</v>
      </c>
      <c r="D76" s="104"/>
      <c r="E76" s="103">
        <v>1514</v>
      </c>
      <c r="F76" s="104"/>
      <c r="G76" s="103">
        <v>1536</v>
      </c>
      <c r="H76" s="104"/>
      <c r="I76" s="103">
        <v>1553</v>
      </c>
      <c r="J76" s="104"/>
    </row>
    <row r="77" spans="1:10" x14ac:dyDescent="0.3">
      <c r="A77" s="101" t="s">
        <v>19</v>
      </c>
      <c r="B77" s="102"/>
      <c r="C77" s="103">
        <v>5384</v>
      </c>
      <c r="D77" s="104"/>
      <c r="E77" s="103">
        <v>5510</v>
      </c>
      <c r="F77" s="104"/>
      <c r="G77" s="103">
        <v>5598</v>
      </c>
      <c r="H77" s="104"/>
      <c r="I77" s="103">
        <v>5711</v>
      </c>
      <c r="J77" s="104"/>
    </row>
    <row r="78" spans="1:10" x14ac:dyDescent="0.3">
      <c r="A78" s="105" t="s">
        <v>42</v>
      </c>
      <c r="B78" s="106"/>
      <c r="C78" s="103">
        <f>SUM(C69:C77)</f>
        <v>65313</v>
      </c>
      <c r="D78" s="104"/>
      <c r="E78" s="103">
        <f>SUM(E69:E77)</f>
        <v>65981</v>
      </c>
      <c r="F78" s="104"/>
      <c r="G78" s="103">
        <f>SUM(G69:G77)</f>
        <v>66706</v>
      </c>
      <c r="H78" s="104"/>
      <c r="I78" s="103">
        <f>SUM(I69:I77)</f>
        <v>67513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30" t="s">
        <v>494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3">
        <v>1296</v>
      </c>
      <c r="D5" s="214"/>
      <c r="E5" s="213">
        <v>1642</v>
      </c>
      <c r="F5" s="214"/>
      <c r="G5" s="213">
        <v>1903</v>
      </c>
      <c r="H5" s="214"/>
      <c r="I5" s="213">
        <v>3679</v>
      </c>
      <c r="J5" s="214"/>
      <c r="K5" s="216">
        <v>0</v>
      </c>
      <c r="L5" s="217"/>
      <c r="M5" s="56">
        <v>2270</v>
      </c>
      <c r="N5" s="53">
        <v>274</v>
      </c>
      <c r="O5" s="38">
        <v>4848</v>
      </c>
      <c r="P5" s="53">
        <v>0</v>
      </c>
      <c r="Q5" s="53">
        <v>0</v>
      </c>
    </row>
    <row r="6" spans="1:18" ht="13.5" customHeight="1" x14ac:dyDescent="0.3">
      <c r="A6" s="211" t="s">
        <v>11</v>
      </c>
      <c r="B6" s="212"/>
      <c r="C6" s="213">
        <v>1177</v>
      </c>
      <c r="D6" s="214"/>
      <c r="E6" s="213">
        <v>5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4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337</v>
      </c>
      <c r="D7" s="422"/>
      <c r="E7" s="421">
        <v>142</v>
      </c>
      <c r="F7" s="422"/>
      <c r="G7" s="421">
        <v>6</v>
      </c>
      <c r="H7" s="422"/>
      <c r="I7" s="421">
        <v>322</v>
      </c>
      <c r="J7" s="422"/>
      <c r="K7" s="421">
        <v>41</v>
      </c>
      <c r="L7" s="422"/>
      <c r="M7" s="54">
        <v>439</v>
      </c>
      <c r="N7" s="54">
        <v>44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334</v>
      </c>
      <c r="D8" s="422"/>
      <c r="E8" s="421">
        <v>270</v>
      </c>
      <c r="F8" s="422"/>
      <c r="G8" s="421">
        <v>33</v>
      </c>
      <c r="H8" s="422"/>
      <c r="I8" s="421">
        <v>200</v>
      </c>
      <c r="J8" s="422"/>
      <c r="K8" s="421">
        <v>0</v>
      </c>
      <c r="L8" s="422"/>
      <c r="M8" s="54">
        <v>131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128</v>
      </c>
      <c r="D9" s="422"/>
      <c r="E9" s="421">
        <v>13</v>
      </c>
      <c r="F9" s="422"/>
      <c r="G9" s="421">
        <v>0</v>
      </c>
      <c r="H9" s="422"/>
      <c r="I9" s="421">
        <v>353</v>
      </c>
      <c r="J9" s="422"/>
      <c r="K9" s="421">
        <v>12</v>
      </c>
      <c r="L9" s="422"/>
      <c r="M9" s="54">
        <v>147</v>
      </c>
      <c r="N9" s="54">
        <v>70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334</v>
      </c>
      <c r="D10" s="422"/>
      <c r="E10" s="421">
        <v>117</v>
      </c>
      <c r="F10" s="422"/>
      <c r="G10" s="421">
        <v>51</v>
      </c>
      <c r="H10" s="422"/>
      <c r="I10" s="421">
        <v>40</v>
      </c>
      <c r="J10" s="422"/>
      <c r="K10" s="421">
        <v>0</v>
      </c>
      <c r="L10" s="422"/>
      <c r="M10" s="54">
        <v>144</v>
      </c>
      <c r="N10" s="54">
        <v>100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545</v>
      </c>
      <c r="D11" s="424"/>
      <c r="E11" s="421">
        <v>100</v>
      </c>
      <c r="F11" s="422"/>
      <c r="G11" s="421">
        <v>0</v>
      </c>
      <c r="H11" s="422"/>
      <c r="I11" s="421">
        <v>152</v>
      </c>
      <c r="J11" s="422"/>
      <c r="K11" s="421">
        <v>12</v>
      </c>
      <c r="L11" s="422"/>
      <c r="M11" s="54">
        <v>364</v>
      </c>
      <c r="N11" s="54">
        <v>360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175</v>
      </c>
      <c r="D12" s="424"/>
      <c r="E12" s="421">
        <v>0</v>
      </c>
      <c r="F12" s="422"/>
      <c r="G12" s="421">
        <v>0</v>
      </c>
      <c r="H12" s="422"/>
      <c r="I12" s="421">
        <v>560</v>
      </c>
      <c r="J12" s="422"/>
      <c r="K12" s="421">
        <v>0</v>
      </c>
      <c r="L12" s="422"/>
      <c r="M12" s="54">
        <v>316</v>
      </c>
      <c r="N12" s="54">
        <v>322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249</v>
      </c>
      <c r="D13" s="424"/>
      <c r="E13" s="421">
        <v>113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82</v>
      </c>
      <c r="N13" s="54">
        <v>47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266</v>
      </c>
      <c r="D14" s="420"/>
      <c r="E14" s="419">
        <v>7</v>
      </c>
      <c r="F14" s="420"/>
      <c r="G14" s="419">
        <v>13</v>
      </c>
      <c r="H14" s="420"/>
      <c r="I14" s="421">
        <v>241</v>
      </c>
      <c r="J14" s="422"/>
      <c r="K14" s="419">
        <v>0</v>
      </c>
      <c r="L14" s="420"/>
      <c r="M14" s="55">
        <v>235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2954</v>
      </c>
      <c r="P15" s="53">
        <v>2157</v>
      </c>
      <c r="Q15" s="53">
        <v>1144</v>
      </c>
    </row>
    <row r="16" spans="1:18" ht="15" thickBot="1" x14ac:dyDescent="0.35">
      <c r="A16" s="199" t="s">
        <v>20</v>
      </c>
      <c r="B16" s="200"/>
      <c r="C16" s="201">
        <f>SUM(C5:D15)</f>
        <v>4841</v>
      </c>
      <c r="D16" s="202"/>
      <c r="E16" s="201">
        <f>SUM(E5:F15)</f>
        <v>2409</v>
      </c>
      <c r="F16" s="202"/>
      <c r="G16" s="201">
        <f>SUM(G5:H15)</f>
        <v>2006</v>
      </c>
      <c r="H16" s="202"/>
      <c r="I16" s="201">
        <f>SUM(I5:J15)</f>
        <v>5548</v>
      </c>
      <c r="J16" s="202"/>
      <c r="K16" s="201">
        <f>SUM(K5:L15)</f>
        <v>65</v>
      </c>
      <c r="L16" s="202"/>
      <c r="M16" s="4">
        <f>SUM(M5:M15)</f>
        <v>4132</v>
      </c>
      <c r="N16" s="4">
        <f>SUM(N5:N15)</f>
        <v>1241</v>
      </c>
      <c r="O16" s="4">
        <f>SUM(O5:O15)</f>
        <v>7884</v>
      </c>
      <c r="P16" s="4">
        <f>SUM(P5:P15)</f>
        <v>2199</v>
      </c>
      <c r="Q16" s="5">
        <f>SUM(Q5:Q15)</f>
        <v>1152</v>
      </c>
    </row>
    <row r="17" spans="1:20" ht="15" thickBot="1" x14ac:dyDescent="0.35">
      <c r="A17" s="190" t="s">
        <v>21</v>
      </c>
      <c r="B17" s="191"/>
      <c r="C17" s="193">
        <v>1296</v>
      </c>
      <c r="D17" s="194"/>
      <c r="E17" s="195">
        <v>1642</v>
      </c>
      <c r="F17" s="196"/>
      <c r="G17" s="195">
        <v>1903</v>
      </c>
      <c r="H17" s="196"/>
      <c r="I17" s="195">
        <v>3679</v>
      </c>
      <c r="J17" s="196"/>
      <c r="K17" s="197">
        <v>0</v>
      </c>
      <c r="L17" s="198"/>
      <c r="M17" s="36">
        <v>1762</v>
      </c>
      <c r="N17" s="47">
        <v>274</v>
      </c>
      <c r="O17" s="38">
        <v>4848</v>
      </c>
      <c r="P17" s="53">
        <v>0</v>
      </c>
      <c r="Q17" s="53">
        <v>0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1" spans="1:20" x14ac:dyDescent="0.3">
      <c r="Q21" s="50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494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184</v>
      </c>
      <c r="D25" s="150"/>
      <c r="E25" s="165" t="s">
        <v>502</v>
      </c>
      <c r="F25" s="166"/>
      <c r="G25" s="149">
        <v>0</v>
      </c>
      <c r="H25" s="150"/>
      <c r="I25" s="149">
        <v>187</v>
      </c>
      <c r="J25" s="150"/>
      <c r="K25" s="52">
        <v>1</v>
      </c>
    </row>
    <row r="26" spans="1:20" x14ac:dyDescent="0.3">
      <c r="A26" s="101" t="s">
        <v>13</v>
      </c>
      <c r="B26" s="102"/>
      <c r="C26" s="149">
        <v>39</v>
      </c>
      <c r="D26" s="150"/>
      <c r="E26" s="165" t="s">
        <v>25</v>
      </c>
      <c r="F26" s="166"/>
      <c r="G26" s="149">
        <v>0</v>
      </c>
      <c r="H26" s="150"/>
      <c r="I26" s="149">
        <v>108</v>
      </c>
      <c r="J26" s="150"/>
      <c r="K26" s="52">
        <v>0</v>
      </c>
    </row>
    <row r="27" spans="1:20" x14ac:dyDescent="0.3">
      <c r="A27" s="101" t="s">
        <v>14</v>
      </c>
      <c r="B27" s="102"/>
      <c r="C27" s="149">
        <v>88</v>
      </c>
      <c r="D27" s="150"/>
      <c r="E27" s="165" t="s">
        <v>498</v>
      </c>
      <c r="F27" s="166"/>
      <c r="G27" s="149">
        <v>1</v>
      </c>
      <c r="H27" s="150"/>
      <c r="I27" s="149">
        <v>65</v>
      </c>
      <c r="J27" s="150"/>
      <c r="K27" s="52">
        <v>0</v>
      </c>
    </row>
    <row r="28" spans="1:20" ht="15" customHeight="1" x14ac:dyDescent="0.3">
      <c r="A28" s="101" t="s">
        <v>15</v>
      </c>
      <c r="B28" s="102"/>
      <c r="C28" s="165" t="s">
        <v>476</v>
      </c>
      <c r="D28" s="166"/>
      <c r="E28" s="165" t="s">
        <v>90</v>
      </c>
      <c r="F28" s="166"/>
      <c r="G28" s="149">
        <v>0</v>
      </c>
      <c r="H28" s="150"/>
      <c r="I28" s="149">
        <v>20</v>
      </c>
      <c r="J28" s="150"/>
      <c r="K28" s="52">
        <v>4</v>
      </c>
    </row>
    <row r="29" spans="1:20" x14ac:dyDescent="0.3">
      <c r="A29" s="101" t="s">
        <v>16</v>
      </c>
      <c r="B29" s="102"/>
      <c r="C29" s="183" t="s">
        <v>472</v>
      </c>
      <c r="D29" s="184"/>
      <c r="E29" s="165" t="s">
        <v>90</v>
      </c>
      <c r="F29" s="166"/>
      <c r="G29" s="149">
        <v>0</v>
      </c>
      <c r="H29" s="150"/>
      <c r="I29" s="149">
        <v>24</v>
      </c>
      <c r="J29" s="150"/>
      <c r="K29" s="52">
        <v>4</v>
      </c>
    </row>
    <row r="30" spans="1:20" x14ac:dyDescent="0.3">
      <c r="A30" s="101" t="s">
        <v>17</v>
      </c>
      <c r="B30" s="102"/>
      <c r="C30" s="152">
        <v>3</v>
      </c>
      <c r="D30" s="153"/>
      <c r="E30" s="149" t="s">
        <v>90</v>
      </c>
      <c r="F30" s="150"/>
      <c r="G30" s="149">
        <v>0</v>
      </c>
      <c r="H30" s="150"/>
      <c r="I30" s="149">
        <v>2</v>
      </c>
      <c r="J30" s="150"/>
      <c r="K30" s="52">
        <v>0</v>
      </c>
    </row>
    <row r="31" spans="1:20" x14ac:dyDescent="0.3">
      <c r="A31" s="101" t="s">
        <v>18</v>
      </c>
      <c r="B31" s="102"/>
      <c r="C31" s="152" t="s">
        <v>496</v>
      </c>
      <c r="D31" s="153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</row>
    <row r="35" spans="1:11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1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1" x14ac:dyDescent="0.3">
      <c r="A37" s="105" t="s">
        <v>9</v>
      </c>
      <c r="B37" s="106"/>
      <c r="C37" s="159" t="s">
        <v>494</v>
      </c>
      <c r="D37" s="160"/>
      <c r="E37" s="160"/>
      <c r="F37" s="160"/>
      <c r="G37" s="160"/>
      <c r="H37" s="160"/>
      <c r="I37" s="160"/>
      <c r="J37" s="160"/>
      <c r="K37" s="415"/>
    </row>
    <row r="38" spans="1:11" x14ac:dyDescent="0.3">
      <c r="A38" s="147" t="s">
        <v>12</v>
      </c>
      <c r="B38" s="148"/>
      <c r="C38" s="149">
        <v>0</v>
      </c>
      <c r="D38" s="150"/>
      <c r="E38" s="154" t="s">
        <v>503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1" x14ac:dyDescent="0.3">
      <c r="A39" s="147" t="s">
        <v>13</v>
      </c>
      <c r="B39" s="148"/>
      <c r="C39" s="149">
        <v>0</v>
      </c>
      <c r="D39" s="150"/>
      <c r="E39" s="154" t="s">
        <v>501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1" x14ac:dyDescent="0.3">
      <c r="A40" s="147" t="s">
        <v>14</v>
      </c>
      <c r="B40" s="148"/>
      <c r="C40" s="149" t="s">
        <v>499</v>
      </c>
      <c r="D40" s="150"/>
      <c r="E40" s="154" t="s">
        <v>500</v>
      </c>
      <c r="F40" s="155"/>
      <c r="G40" s="149">
        <v>6</v>
      </c>
      <c r="H40" s="150"/>
      <c r="I40" s="149" t="s">
        <v>54</v>
      </c>
      <c r="J40" s="150"/>
      <c r="K40" s="52">
        <v>0</v>
      </c>
    </row>
    <row r="41" spans="1:11" x14ac:dyDescent="0.3">
      <c r="A41" s="147" t="s">
        <v>15</v>
      </c>
      <c r="B41" s="148"/>
      <c r="C41" s="152">
        <v>0</v>
      </c>
      <c r="D41" s="153"/>
      <c r="E41" s="154" t="s">
        <v>504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1" x14ac:dyDescent="0.3">
      <c r="A42" s="147" t="s">
        <v>16</v>
      </c>
      <c r="B42" s="148"/>
      <c r="C42" s="152" t="s">
        <v>473</v>
      </c>
      <c r="D42" s="153"/>
      <c r="E42" s="154" t="s">
        <v>495</v>
      </c>
      <c r="F42" s="155"/>
      <c r="G42" s="149">
        <v>0</v>
      </c>
      <c r="H42" s="150"/>
      <c r="I42" s="149" t="s">
        <v>364</v>
      </c>
      <c r="J42" s="150"/>
      <c r="K42" s="52" t="s">
        <v>475</v>
      </c>
    </row>
    <row r="43" spans="1:11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1" x14ac:dyDescent="0.3">
      <c r="A44" s="147" t="s">
        <v>18</v>
      </c>
      <c r="B44" s="148"/>
      <c r="C44" s="152">
        <v>3</v>
      </c>
      <c r="D44" s="153"/>
      <c r="E44" s="149" t="s">
        <v>497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1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1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1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464</v>
      </c>
      <c r="D49" s="146"/>
      <c r="E49" s="145" t="s">
        <v>470</v>
      </c>
      <c r="F49" s="146"/>
      <c r="G49" s="145" t="s">
        <v>491</v>
      </c>
      <c r="H49" s="146"/>
      <c r="I49" s="145" t="s">
        <v>494</v>
      </c>
      <c r="J49" s="146"/>
    </row>
    <row r="50" spans="1:11" x14ac:dyDescent="0.3">
      <c r="A50" s="120" t="s">
        <v>30</v>
      </c>
      <c r="B50" s="121"/>
      <c r="C50" s="122">
        <v>12894</v>
      </c>
      <c r="D50" s="123"/>
      <c r="E50" s="122">
        <v>12857</v>
      </c>
      <c r="F50" s="123"/>
      <c r="G50" s="122">
        <v>12807</v>
      </c>
      <c r="H50" s="123"/>
      <c r="I50" s="122">
        <v>12744</v>
      </c>
      <c r="J50" s="123"/>
    </row>
    <row r="51" spans="1:11" x14ac:dyDescent="0.3">
      <c r="A51" s="120" t="s">
        <v>31</v>
      </c>
      <c r="B51" s="121"/>
      <c r="C51" s="103">
        <v>9268</v>
      </c>
      <c r="D51" s="104"/>
      <c r="E51" s="103">
        <v>9327</v>
      </c>
      <c r="F51" s="104"/>
      <c r="G51" s="122">
        <v>9364</v>
      </c>
      <c r="H51" s="123"/>
      <c r="I51" s="122">
        <v>9400</v>
      </c>
      <c r="J51" s="123"/>
    </row>
    <row r="52" spans="1:11" x14ac:dyDescent="0.3">
      <c r="A52" s="120" t="s">
        <v>32</v>
      </c>
      <c r="B52" s="121"/>
      <c r="C52" s="122">
        <v>113736</v>
      </c>
      <c r="D52" s="123"/>
      <c r="E52" s="122">
        <v>113633</v>
      </c>
      <c r="F52" s="123"/>
      <c r="G52" s="122">
        <v>113504</v>
      </c>
      <c r="H52" s="123"/>
      <c r="I52" s="122">
        <v>113514</v>
      </c>
      <c r="J52" s="123"/>
    </row>
    <row r="53" spans="1:11" x14ac:dyDescent="0.3">
      <c r="A53" s="120" t="s">
        <v>33</v>
      </c>
      <c r="B53" s="121"/>
      <c r="C53" s="103">
        <v>239</v>
      </c>
      <c r="D53" s="104"/>
      <c r="E53" s="103">
        <v>239</v>
      </c>
      <c r="F53" s="104"/>
      <c r="G53" s="103">
        <v>239</v>
      </c>
      <c r="H53" s="104"/>
      <c r="I53" s="103">
        <v>239</v>
      </c>
      <c r="J53" s="104"/>
    </row>
    <row r="54" spans="1:11" x14ac:dyDescent="0.3">
      <c r="A54" s="120" t="s">
        <v>34</v>
      </c>
      <c r="B54" s="121"/>
      <c r="C54" s="122">
        <v>50235</v>
      </c>
      <c r="D54" s="123"/>
      <c r="E54" s="122">
        <v>50163</v>
      </c>
      <c r="F54" s="123"/>
      <c r="G54" s="122">
        <v>50144</v>
      </c>
      <c r="H54" s="123"/>
      <c r="I54" s="122">
        <v>50122</v>
      </c>
      <c r="J54" s="123"/>
      <c r="K54" s="57"/>
    </row>
    <row r="55" spans="1:11" x14ac:dyDescent="0.3">
      <c r="A55" s="120" t="s">
        <v>53</v>
      </c>
      <c r="B55" s="121"/>
      <c r="C55" s="103">
        <v>4422</v>
      </c>
      <c r="D55" s="104"/>
      <c r="E55" s="103">
        <v>4412</v>
      </c>
      <c r="F55" s="104"/>
      <c r="G55" s="103">
        <v>4410</v>
      </c>
      <c r="H55" s="104"/>
      <c r="I55" s="103">
        <v>4405</v>
      </c>
      <c r="J55" s="104"/>
    </row>
    <row r="56" spans="1:11" x14ac:dyDescent="0.3">
      <c r="A56" s="120" t="s">
        <v>49</v>
      </c>
      <c r="B56" s="121"/>
      <c r="C56" s="122">
        <v>16597</v>
      </c>
      <c r="D56" s="123"/>
      <c r="E56" s="122">
        <v>16759</v>
      </c>
      <c r="F56" s="123"/>
      <c r="G56" s="122">
        <v>16961</v>
      </c>
      <c r="H56" s="123"/>
      <c r="I56" s="122">
        <v>17140</v>
      </c>
      <c r="J56" s="123"/>
      <c r="K56" s="51"/>
    </row>
    <row r="57" spans="1:11" x14ac:dyDescent="0.3">
      <c r="A57" s="120" t="s">
        <v>35</v>
      </c>
      <c r="B57" s="121"/>
      <c r="C57" s="103">
        <v>2617</v>
      </c>
      <c r="D57" s="104"/>
      <c r="E57" s="103">
        <v>2675</v>
      </c>
      <c r="F57" s="104"/>
      <c r="G57" s="103">
        <v>2713</v>
      </c>
      <c r="H57" s="104"/>
      <c r="I57" s="103">
        <v>2724</v>
      </c>
      <c r="J57" s="104"/>
    </row>
    <row r="58" spans="1:11" x14ac:dyDescent="0.3">
      <c r="A58" s="120" t="s">
        <v>36</v>
      </c>
      <c r="B58" s="121"/>
      <c r="C58" s="122">
        <f>SUM(C50:D57)</f>
        <v>210008</v>
      </c>
      <c r="D58" s="123"/>
      <c r="E58" s="122">
        <f>SUM(E50:F57)</f>
        <v>210065</v>
      </c>
      <c r="F58" s="123"/>
      <c r="G58" s="122">
        <f>SUM(G50:H57)</f>
        <v>210142</v>
      </c>
      <c r="H58" s="123"/>
      <c r="I58" s="122">
        <f>SUM(I50:J57)</f>
        <v>210288</v>
      </c>
      <c r="J58" s="123"/>
    </row>
    <row r="60" spans="1:11" x14ac:dyDescent="0.3">
      <c r="A60" s="124" t="s">
        <v>37</v>
      </c>
      <c r="B60" s="125"/>
      <c r="C60" s="130" t="s">
        <v>464</v>
      </c>
      <c r="D60" s="131"/>
      <c r="E60" s="130" t="s">
        <v>470</v>
      </c>
      <c r="F60" s="131"/>
      <c r="G60" s="130" t="s">
        <v>491</v>
      </c>
      <c r="H60" s="131"/>
      <c r="I60" s="130" t="s">
        <v>494</v>
      </c>
      <c r="J60" s="131"/>
    </row>
    <row r="61" spans="1:11" x14ac:dyDescent="0.3">
      <c r="A61" s="126"/>
      <c r="B61" s="127"/>
      <c r="C61" s="132">
        <v>138314</v>
      </c>
      <c r="D61" s="133"/>
      <c r="E61" s="132">
        <v>138346</v>
      </c>
      <c r="F61" s="133"/>
      <c r="G61" s="132">
        <v>138395</v>
      </c>
      <c r="H61" s="133"/>
      <c r="I61" s="132">
        <v>138511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368</v>
      </c>
      <c r="D66" s="115"/>
      <c r="E66" s="114" t="s">
        <v>402</v>
      </c>
      <c r="F66" s="115"/>
      <c r="G66" s="114" t="s">
        <v>435</v>
      </c>
      <c r="H66" s="115"/>
      <c r="I66" s="114" t="s">
        <v>465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28330</v>
      </c>
      <c r="D69" s="104"/>
      <c r="E69" s="103">
        <v>28575</v>
      </c>
      <c r="F69" s="104"/>
      <c r="G69" s="103">
        <v>28847</v>
      </c>
      <c r="H69" s="104"/>
      <c r="I69" s="103">
        <v>29171</v>
      </c>
      <c r="J69" s="104"/>
    </row>
    <row r="70" spans="1:10" x14ac:dyDescent="0.3">
      <c r="A70" s="101" t="s">
        <v>13</v>
      </c>
      <c r="B70" s="102"/>
      <c r="C70" s="103">
        <v>6883</v>
      </c>
      <c r="D70" s="104"/>
      <c r="E70" s="103">
        <v>6940</v>
      </c>
      <c r="F70" s="104"/>
      <c r="G70" s="103">
        <v>6964</v>
      </c>
      <c r="H70" s="104"/>
      <c r="I70" s="103">
        <v>6989</v>
      </c>
      <c r="J70" s="104"/>
    </row>
    <row r="71" spans="1:10" x14ac:dyDescent="0.3">
      <c r="A71" s="107" t="s">
        <v>14</v>
      </c>
      <c r="B71" s="108"/>
      <c r="C71" s="103">
        <v>5939</v>
      </c>
      <c r="D71" s="104"/>
      <c r="E71" s="103">
        <v>6008</v>
      </c>
      <c r="F71" s="104"/>
      <c r="G71" s="103">
        <v>6082</v>
      </c>
      <c r="H71" s="104"/>
      <c r="I71" s="103">
        <v>6128</v>
      </c>
      <c r="J71" s="104"/>
    </row>
    <row r="72" spans="1:10" x14ac:dyDescent="0.3">
      <c r="A72" s="107" t="s">
        <v>41</v>
      </c>
      <c r="B72" s="108"/>
      <c r="C72" s="103">
        <v>1322</v>
      </c>
      <c r="D72" s="104"/>
      <c r="E72" s="103">
        <v>1349</v>
      </c>
      <c r="F72" s="104"/>
      <c r="G72" s="103">
        <v>1362</v>
      </c>
      <c r="H72" s="104"/>
      <c r="I72" s="103">
        <v>1391</v>
      </c>
      <c r="J72" s="104"/>
    </row>
    <row r="73" spans="1:10" x14ac:dyDescent="0.3">
      <c r="A73" s="101" t="s">
        <v>15</v>
      </c>
      <c r="B73" s="102"/>
      <c r="C73" s="103">
        <v>4325</v>
      </c>
      <c r="D73" s="104"/>
      <c r="E73" s="103">
        <v>4391</v>
      </c>
      <c r="F73" s="104"/>
      <c r="G73" s="103">
        <v>4462</v>
      </c>
      <c r="H73" s="104"/>
      <c r="I73" s="103">
        <v>4555</v>
      </c>
      <c r="J73" s="104"/>
    </row>
    <row r="74" spans="1:10" x14ac:dyDescent="0.3">
      <c r="A74" s="107" t="s">
        <v>16</v>
      </c>
      <c r="B74" s="108"/>
      <c r="C74" s="103">
        <v>4699</v>
      </c>
      <c r="D74" s="104"/>
      <c r="E74" s="103">
        <v>4707</v>
      </c>
      <c r="F74" s="104"/>
      <c r="G74" s="103">
        <v>4736</v>
      </c>
      <c r="H74" s="104"/>
      <c r="I74" s="103">
        <v>4774</v>
      </c>
      <c r="J74" s="104"/>
    </row>
    <row r="75" spans="1:10" x14ac:dyDescent="0.3">
      <c r="A75" s="101" t="s">
        <v>17</v>
      </c>
      <c r="B75" s="102"/>
      <c r="C75" s="103">
        <v>6930</v>
      </c>
      <c r="D75" s="104"/>
      <c r="E75" s="103">
        <v>6987</v>
      </c>
      <c r="F75" s="104"/>
      <c r="G75" s="103">
        <v>7119</v>
      </c>
      <c r="H75" s="104"/>
      <c r="I75" s="103">
        <v>7241</v>
      </c>
      <c r="J75" s="104"/>
    </row>
    <row r="76" spans="1:10" x14ac:dyDescent="0.3">
      <c r="A76" s="107" t="s">
        <v>18</v>
      </c>
      <c r="B76" s="108"/>
      <c r="C76" s="103">
        <v>1501</v>
      </c>
      <c r="D76" s="104"/>
      <c r="E76" s="103">
        <v>1514</v>
      </c>
      <c r="F76" s="104"/>
      <c r="G76" s="103">
        <v>1536</v>
      </c>
      <c r="H76" s="104"/>
      <c r="I76" s="103">
        <v>1553</v>
      </c>
      <c r="J76" s="104"/>
    </row>
    <row r="77" spans="1:10" x14ac:dyDescent="0.3">
      <c r="A77" s="101" t="s">
        <v>19</v>
      </c>
      <c r="B77" s="102"/>
      <c r="C77" s="103">
        <v>5384</v>
      </c>
      <c r="D77" s="104"/>
      <c r="E77" s="103">
        <v>5510</v>
      </c>
      <c r="F77" s="104"/>
      <c r="G77" s="103">
        <v>5598</v>
      </c>
      <c r="H77" s="104"/>
      <c r="I77" s="103">
        <v>5711</v>
      </c>
      <c r="J77" s="104"/>
    </row>
    <row r="78" spans="1:10" x14ac:dyDescent="0.3">
      <c r="A78" s="105" t="s">
        <v>42</v>
      </c>
      <c r="B78" s="106"/>
      <c r="C78" s="103">
        <f>SUM(C69:C77)</f>
        <v>65313</v>
      </c>
      <c r="D78" s="104"/>
      <c r="E78" s="103">
        <f>SUM(E69:E77)</f>
        <v>65981</v>
      </c>
      <c r="F78" s="104"/>
      <c r="G78" s="103">
        <f>SUM(G69:G77)</f>
        <v>66706</v>
      </c>
      <c r="H78" s="104"/>
      <c r="I78" s="103">
        <f>SUM(I69:I77)</f>
        <v>67513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78"/>
  <sheetViews>
    <sheetView workbookViewId="0">
      <selection activeCell="C13" sqref="C13:Q13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30" t="s">
        <v>505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3">
        <v>1016</v>
      </c>
      <c r="D5" s="214"/>
      <c r="E5" s="213">
        <v>1592</v>
      </c>
      <c r="F5" s="214"/>
      <c r="G5" s="213">
        <v>1903</v>
      </c>
      <c r="H5" s="214"/>
      <c r="I5" s="213">
        <v>3559</v>
      </c>
      <c r="J5" s="214"/>
      <c r="K5" s="216">
        <v>0</v>
      </c>
      <c r="L5" s="217"/>
      <c r="M5" s="56">
        <v>1870</v>
      </c>
      <c r="N5" s="53">
        <v>274</v>
      </c>
      <c r="O5" s="38">
        <v>4848</v>
      </c>
      <c r="P5" s="53">
        <v>0</v>
      </c>
      <c r="Q5" s="53">
        <v>0</v>
      </c>
    </row>
    <row r="6" spans="1:18" ht="13.5" customHeight="1" x14ac:dyDescent="0.3">
      <c r="A6" s="211" t="s">
        <v>11</v>
      </c>
      <c r="B6" s="212"/>
      <c r="C6" s="213">
        <v>859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499</v>
      </c>
      <c r="D7" s="422"/>
      <c r="E7" s="421">
        <v>142</v>
      </c>
      <c r="F7" s="422"/>
      <c r="G7" s="421">
        <v>6</v>
      </c>
      <c r="H7" s="422"/>
      <c r="I7" s="421">
        <v>268</v>
      </c>
      <c r="J7" s="422"/>
      <c r="K7" s="421">
        <v>41</v>
      </c>
      <c r="L7" s="422"/>
      <c r="M7" s="54">
        <v>389</v>
      </c>
      <c r="N7" s="54">
        <v>44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320</v>
      </c>
      <c r="D8" s="422"/>
      <c r="E8" s="421">
        <v>295</v>
      </c>
      <c r="F8" s="422"/>
      <c r="G8" s="421">
        <v>0</v>
      </c>
      <c r="H8" s="422"/>
      <c r="I8" s="421">
        <v>196</v>
      </c>
      <c r="J8" s="422"/>
      <c r="K8" s="421">
        <v>0</v>
      </c>
      <c r="L8" s="422"/>
      <c r="M8" s="54">
        <v>217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261</v>
      </c>
      <c r="D9" s="422"/>
      <c r="E9" s="421">
        <v>0</v>
      </c>
      <c r="F9" s="422"/>
      <c r="G9" s="421">
        <v>10</v>
      </c>
      <c r="H9" s="422"/>
      <c r="I9" s="421">
        <v>264</v>
      </c>
      <c r="J9" s="422"/>
      <c r="K9" s="421">
        <v>8</v>
      </c>
      <c r="L9" s="422"/>
      <c r="M9" s="54">
        <v>227</v>
      </c>
      <c r="N9" s="54">
        <v>70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380</v>
      </c>
      <c r="D10" s="422"/>
      <c r="E10" s="421">
        <v>264</v>
      </c>
      <c r="F10" s="422"/>
      <c r="G10" s="421">
        <v>44</v>
      </c>
      <c r="H10" s="422"/>
      <c r="I10" s="421">
        <v>40</v>
      </c>
      <c r="J10" s="422"/>
      <c r="K10" s="421">
        <v>0</v>
      </c>
      <c r="L10" s="422"/>
      <c r="M10" s="54">
        <v>190</v>
      </c>
      <c r="N10" s="54">
        <v>90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533</v>
      </c>
      <c r="D11" s="424"/>
      <c r="E11" s="421">
        <v>100</v>
      </c>
      <c r="F11" s="422"/>
      <c r="G11" s="421">
        <v>0</v>
      </c>
      <c r="H11" s="422"/>
      <c r="I11" s="421">
        <v>131</v>
      </c>
      <c r="J11" s="422"/>
      <c r="K11" s="421">
        <v>10</v>
      </c>
      <c r="L11" s="422"/>
      <c r="M11" s="54">
        <v>357</v>
      </c>
      <c r="N11" s="54">
        <v>358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125</v>
      </c>
      <c r="D12" s="424"/>
      <c r="E12" s="421">
        <v>0</v>
      </c>
      <c r="F12" s="422"/>
      <c r="G12" s="421">
        <v>0</v>
      </c>
      <c r="H12" s="422"/>
      <c r="I12" s="421">
        <v>475</v>
      </c>
      <c r="J12" s="422"/>
      <c r="K12" s="421">
        <v>0</v>
      </c>
      <c r="L12" s="422"/>
      <c r="M12" s="54">
        <v>286</v>
      </c>
      <c r="N12" s="54">
        <v>292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235</v>
      </c>
      <c r="D13" s="424"/>
      <c r="E13" s="421">
        <v>105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69</v>
      </c>
      <c r="N13" s="54">
        <v>47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232</v>
      </c>
      <c r="D14" s="420"/>
      <c r="E14" s="419">
        <v>7</v>
      </c>
      <c r="F14" s="420"/>
      <c r="G14" s="419">
        <v>13</v>
      </c>
      <c r="H14" s="420"/>
      <c r="I14" s="421">
        <v>193</v>
      </c>
      <c r="J14" s="422"/>
      <c r="K14" s="419">
        <v>0</v>
      </c>
      <c r="L14" s="420"/>
      <c r="M14" s="55">
        <v>207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2468</v>
      </c>
      <c r="P15" s="53">
        <v>1880</v>
      </c>
      <c r="Q15" s="53">
        <v>987</v>
      </c>
    </row>
    <row r="16" spans="1:18" ht="15" thickBot="1" x14ac:dyDescent="0.35">
      <c r="A16" s="199" t="s">
        <v>20</v>
      </c>
      <c r="B16" s="200"/>
      <c r="C16" s="201">
        <f>SUM(C5:D15)</f>
        <v>4460</v>
      </c>
      <c r="D16" s="202"/>
      <c r="E16" s="201">
        <f>SUM(E5:F15)</f>
        <v>2505</v>
      </c>
      <c r="F16" s="202"/>
      <c r="G16" s="201">
        <f>SUM(G5:H15)</f>
        <v>1976</v>
      </c>
      <c r="H16" s="202"/>
      <c r="I16" s="201">
        <f>SUM(I5:J15)</f>
        <v>5127</v>
      </c>
      <c r="J16" s="202"/>
      <c r="K16" s="201">
        <f>SUM(K5:L15)</f>
        <v>59</v>
      </c>
      <c r="L16" s="202"/>
      <c r="M16" s="4">
        <f>SUM(M5:M15)</f>
        <v>3812</v>
      </c>
      <c r="N16" s="4">
        <f>SUM(N5:N15)</f>
        <v>1199</v>
      </c>
      <c r="O16" s="4">
        <f>SUM(O5:O15)</f>
        <v>7398</v>
      </c>
      <c r="P16" s="4">
        <f>SUM(P5:P15)</f>
        <v>1922</v>
      </c>
      <c r="Q16" s="5">
        <f>SUM(Q5:Q15)</f>
        <v>995</v>
      </c>
    </row>
    <row r="17" spans="1:20" ht="15" thickBot="1" x14ac:dyDescent="0.35">
      <c r="A17" s="190" t="s">
        <v>21</v>
      </c>
      <c r="B17" s="191"/>
      <c r="C17" s="193">
        <v>1016</v>
      </c>
      <c r="D17" s="194"/>
      <c r="E17" s="195">
        <v>1592</v>
      </c>
      <c r="F17" s="196"/>
      <c r="G17" s="195">
        <v>1903</v>
      </c>
      <c r="H17" s="196"/>
      <c r="I17" s="195">
        <v>3559</v>
      </c>
      <c r="J17" s="196"/>
      <c r="K17" s="197">
        <v>0</v>
      </c>
      <c r="L17" s="198"/>
      <c r="M17" s="36">
        <v>1462</v>
      </c>
      <c r="N17" s="47">
        <v>274</v>
      </c>
      <c r="O17" s="38">
        <v>2468</v>
      </c>
      <c r="P17" s="53">
        <v>1880</v>
      </c>
      <c r="Q17" s="53">
        <v>987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505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206</v>
      </c>
      <c r="D25" s="150"/>
      <c r="E25" s="165" t="s">
        <v>510</v>
      </c>
      <c r="F25" s="166"/>
      <c r="G25" s="149">
        <v>0</v>
      </c>
      <c r="H25" s="150"/>
      <c r="I25" s="149">
        <v>187</v>
      </c>
      <c r="J25" s="150"/>
      <c r="K25" s="52">
        <v>1</v>
      </c>
      <c r="N25"/>
      <c r="O25"/>
    </row>
    <row r="26" spans="1:20" x14ac:dyDescent="0.3">
      <c r="A26" s="101" t="s">
        <v>13</v>
      </c>
      <c r="B26" s="102"/>
      <c r="C26" s="149">
        <v>42</v>
      </c>
      <c r="D26" s="150"/>
      <c r="E26" s="165" t="s">
        <v>25</v>
      </c>
      <c r="F26" s="166"/>
      <c r="G26" s="149">
        <v>0</v>
      </c>
      <c r="H26" s="150"/>
      <c r="I26" s="149">
        <v>111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140</v>
      </c>
      <c r="D27" s="150"/>
      <c r="E27" s="165" t="s">
        <v>307</v>
      </c>
      <c r="F27" s="166"/>
      <c r="G27" s="149">
        <v>2</v>
      </c>
      <c r="H27" s="150"/>
      <c r="I27" s="149">
        <v>65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476</v>
      </c>
      <c r="D28" s="166"/>
      <c r="E28" s="165" t="s">
        <v>90</v>
      </c>
      <c r="F28" s="166"/>
      <c r="G28" s="149">
        <v>0</v>
      </c>
      <c r="H28" s="150"/>
      <c r="I28" s="149">
        <v>20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472</v>
      </c>
      <c r="D29" s="184"/>
      <c r="E29" s="165" t="s">
        <v>90</v>
      </c>
      <c r="F29" s="166"/>
      <c r="G29" s="149">
        <v>0</v>
      </c>
      <c r="H29" s="150"/>
      <c r="I29" s="149">
        <v>21</v>
      </c>
      <c r="J29" s="150"/>
      <c r="K29" s="52">
        <v>4</v>
      </c>
      <c r="N29"/>
      <c r="O29" s="58"/>
    </row>
    <row r="30" spans="1:20" x14ac:dyDescent="0.3">
      <c r="A30" s="101" t="s">
        <v>17</v>
      </c>
      <c r="B30" s="102"/>
      <c r="C30" s="152">
        <v>2</v>
      </c>
      <c r="D30" s="153"/>
      <c r="E30" s="149" t="s">
        <v>90</v>
      </c>
      <c r="F30" s="150"/>
      <c r="G30" s="149">
        <v>0</v>
      </c>
      <c r="H30" s="150"/>
      <c r="I30" s="149">
        <v>1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194</v>
      </c>
      <c r="D31" s="153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505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503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513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499</v>
      </c>
      <c r="D40" s="150"/>
      <c r="E40" s="154" t="s">
        <v>500</v>
      </c>
      <c r="F40" s="155"/>
      <c r="G40" s="149">
        <v>6</v>
      </c>
      <c r="H40" s="150"/>
      <c r="I40" s="149" t="s">
        <v>512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511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506</v>
      </c>
      <c r="D42" s="153"/>
      <c r="E42" s="154" t="s">
        <v>507</v>
      </c>
      <c r="F42" s="155"/>
      <c r="G42" s="149">
        <v>0</v>
      </c>
      <c r="H42" s="150"/>
      <c r="I42" s="149" t="s">
        <v>377</v>
      </c>
      <c r="J42" s="150"/>
      <c r="K42" s="52" t="s">
        <v>475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508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470</v>
      </c>
      <c r="D49" s="146"/>
      <c r="E49" s="145" t="s">
        <v>491</v>
      </c>
      <c r="F49" s="146"/>
      <c r="G49" s="145" t="s">
        <v>494</v>
      </c>
      <c r="H49" s="146"/>
      <c r="I49" s="145" t="s">
        <v>505</v>
      </c>
      <c r="J49" s="146"/>
    </row>
    <row r="50" spans="1:11" x14ac:dyDescent="0.3">
      <c r="A50" s="120" t="s">
        <v>30</v>
      </c>
      <c r="B50" s="121"/>
      <c r="C50" s="122">
        <v>12857</v>
      </c>
      <c r="D50" s="123"/>
      <c r="E50" s="122">
        <v>12807</v>
      </c>
      <c r="F50" s="123"/>
      <c r="G50" s="122">
        <v>12744</v>
      </c>
      <c r="H50" s="123"/>
      <c r="I50" s="122">
        <v>12747</v>
      </c>
      <c r="J50" s="123"/>
    </row>
    <row r="51" spans="1:11" x14ac:dyDescent="0.3">
      <c r="A51" s="120" t="s">
        <v>31</v>
      </c>
      <c r="B51" s="121"/>
      <c r="C51" s="103">
        <v>9327</v>
      </c>
      <c r="D51" s="104"/>
      <c r="E51" s="122">
        <v>9364</v>
      </c>
      <c r="F51" s="123"/>
      <c r="G51" s="122">
        <v>9400</v>
      </c>
      <c r="H51" s="123"/>
      <c r="I51" s="122">
        <v>9449</v>
      </c>
      <c r="J51" s="123"/>
    </row>
    <row r="52" spans="1:11" x14ac:dyDescent="0.3">
      <c r="A52" s="120" t="s">
        <v>32</v>
      </c>
      <c r="B52" s="121"/>
      <c r="C52" s="122">
        <v>113633</v>
      </c>
      <c r="D52" s="123"/>
      <c r="E52" s="122">
        <v>113504</v>
      </c>
      <c r="F52" s="123"/>
      <c r="G52" s="122">
        <v>113514</v>
      </c>
      <c r="H52" s="123"/>
      <c r="I52" s="122">
        <v>113424</v>
      </c>
      <c r="J52" s="123"/>
    </row>
    <row r="53" spans="1:11" x14ac:dyDescent="0.3">
      <c r="A53" s="120" t="s">
        <v>33</v>
      </c>
      <c r="B53" s="121"/>
      <c r="C53" s="103">
        <v>239</v>
      </c>
      <c r="D53" s="104"/>
      <c r="E53" s="103">
        <v>239</v>
      </c>
      <c r="F53" s="104"/>
      <c r="G53" s="103">
        <v>239</v>
      </c>
      <c r="H53" s="104"/>
      <c r="I53" s="103">
        <v>240</v>
      </c>
      <c r="J53" s="104"/>
    </row>
    <row r="54" spans="1:11" x14ac:dyDescent="0.3">
      <c r="A54" s="120" t="s">
        <v>34</v>
      </c>
      <c r="B54" s="121"/>
      <c r="C54" s="122">
        <v>50163</v>
      </c>
      <c r="D54" s="123"/>
      <c r="E54" s="122">
        <v>50144</v>
      </c>
      <c r="F54" s="123"/>
      <c r="G54" s="122">
        <v>50122</v>
      </c>
      <c r="H54" s="123"/>
      <c r="I54" s="122">
        <v>50082</v>
      </c>
      <c r="J54" s="123"/>
    </row>
    <row r="55" spans="1:11" x14ac:dyDescent="0.3">
      <c r="A55" s="120" t="s">
        <v>53</v>
      </c>
      <c r="B55" s="121"/>
      <c r="C55" s="103">
        <v>4412</v>
      </c>
      <c r="D55" s="104"/>
      <c r="E55" s="103">
        <v>4410</v>
      </c>
      <c r="F55" s="104"/>
      <c r="G55" s="103">
        <v>4405</v>
      </c>
      <c r="H55" s="104"/>
      <c r="I55" s="103">
        <v>17463</v>
      </c>
      <c r="J55" s="104"/>
    </row>
    <row r="56" spans="1:11" x14ac:dyDescent="0.3">
      <c r="A56" s="120" t="s">
        <v>49</v>
      </c>
      <c r="B56" s="121"/>
      <c r="C56" s="122">
        <v>16759</v>
      </c>
      <c r="D56" s="123"/>
      <c r="E56" s="122">
        <v>16961</v>
      </c>
      <c r="F56" s="123"/>
      <c r="G56" s="122">
        <v>17140</v>
      </c>
      <c r="H56" s="123"/>
      <c r="I56" s="122">
        <v>4404</v>
      </c>
      <c r="J56" s="123"/>
      <c r="K56" s="51"/>
    </row>
    <row r="57" spans="1:11" x14ac:dyDescent="0.3">
      <c r="A57" s="120" t="s">
        <v>35</v>
      </c>
      <c r="B57" s="121"/>
      <c r="C57" s="103">
        <v>2675</v>
      </c>
      <c r="D57" s="104"/>
      <c r="E57" s="103">
        <v>2713</v>
      </c>
      <c r="F57" s="104"/>
      <c r="G57" s="103">
        <v>2724</v>
      </c>
      <c r="H57" s="104"/>
      <c r="I57" s="103">
        <v>2739</v>
      </c>
      <c r="J57" s="104"/>
    </row>
    <row r="58" spans="1:11" x14ac:dyDescent="0.3">
      <c r="A58" s="120" t="s">
        <v>36</v>
      </c>
      <c r="B58" s="121"/>
      <c r="C58" s="122">
        <f>SUM(C50:D57)</f>
        <v>210065</v>
      </c>
      <c r="D58" s="123"/>
      <c r="E58" s="122">
        <f>SUM(E50:F57)</f>
        <v>210142</v>
      </c>
      <c r="F58" s="123"/>
      <c r="G58" s="122">
        <f>SUM(G50:H57)</f>
        <v>210288</v>
      </c>
      <c r="H58" s="123"/>
      <c r="I58" s="122">
        <f>SUM(I50:J57)</f>
        <v>210548</v>
      </c>
      <c r="J58" s="123"/>
    </row>
    <row r="60" spans="1:11" x14ac:dyDescent="0.3">
      <c r="A60" s="124" t="s">
        <v>37</v>
      </c>
      <c r="B60" s="125"/>
      <c r="C60" s="130" t="s">
        <v>470</v>
      </c>
      <c r="D60" s="131"/>
      <c r="E60" s="130" t="s">
        <v>491</v>
      </c>
      <c r="F60" s="131"/>
      <c r="G60" s="130" t="s">
        <v>494</v>
      </c>
      <c r="H60" s="131"/>
      <c r="I60" s="130" t="s">
        <v>505</v>
      </c>
      <c r="J60" s="131"/>
    </row>
    <row r="61" spans="1:11" x14ac:dyDescent="0.3">
      <c r="A61" s="126"/>
      <c r="B61" s="127"/>
      <c r="C61" s="132">
        <v>138346</v>
      </c>
      <c r="D61" s="133"/>
      <c r="E61" s="132">
        <v>138395</v>
      </c>
      <c r="F61" s="133"/>
      <c r="G61" s="132">
        <v>138511</v>
      </c>
      <c r="H61" s="133"/>
      <c r="I61" s="132">
        <v>138719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402</v>
      </c>
      <c r="D66" s="115"/>
      <c r="E66" s="114" t="s">
        <v>435</v>
      </c>
      <c r="F66" s="115"/>
      <c r="G66" s="114" t="s">
        <v>465</v>
      </c>
      <c r="H66" s="115"/>
      <c r="I66" s="114" t="s">
        <v>509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28575</v>
      </c>
      <c r="D69" s="104"/>
      <c r="E69" s="103">
        <v>28847</v>
      </c>
      <c r="F69" s="104"/>
      <c r="G69" s="103">
        <v>29171</v>
      </c>
      <c r="H69" s="104"/>
      <c r="I69" s="103">
        <v>29615</v>
      </c>
      <c r="J69" s="104"/>
    </row>
    <row r="70" spans="1:10" x14ac:dyDescent="0.3">
      <c r="A70" s="101" t="s">
        <v>13</v>
      </c>
      <c r="B70" s="102"/>
      <c r="C70" s="103">
        <v>6940</v>
      </c>
      <c r="D70" s="104"/>
      <c r="E70" s="103">
        <v>6964</v>
      </c>
      <c r="F70" s="104"/>
      <c r="G70" s="103">
        <v>6989</v>
      </c>
      <c r="H70" s="104"/>
      <c r="I70" s="103">
        <v>7028</v>
      </c>
      <c r="J70" s="104"/>
    </row>
    <row r="71" spans="1:10" x14ac:dyDescent="0.3">
      <c r="A71" s="107" t="s">
        <v>14</v>
      </c>
      <c r="B71" s="108"/>
      <c r="C71" s="103">
        <v>6008</v>
      </c>
      <c r="D71" s="104"/>
      <c r="E71" s="103">
        <v>6082</v>
      </c>
      <c r="F71" s="104"/>
      <c r="G71" s="103">
        <v>6128</v>
      </c>
      <c r="H71" s="104"/>
      <c r="I71" s="103">
        <v>6175</v>
      </c>
      <c r="J71" s="104"/>
    </row>
    <row r="72" spans="1:10" x14ac:dyDescent="0.3">
      <c r="A72" s="107" t="s">
        <v>41</v>
      </c>
      <c r="B72" s="108"/>
      <c r="C72" s="103">
        <v>1349</v>
      </c>
      <c r="D72" s="104"/>
      <c r="E72" s="103">
        <v>1362</v>
      </c>
      <c r="F72" s="104"/>
      <c r="G72" s="103">
        <v>1391</v>
      </c>
      <c r="H72" s="104"/>
      <c r="I72" s="103">
        <v>1420</v>
      </c>
      <c r="J72" s="104"/>
    </row>
    <row r="73" spans="1:10" x14ac:dyDescent="0.3">
      <c r="A73" s="101" t="s">
        <v>15</v>
      </c>
      <c r="B73" s="102"/>
      <c r="C73" s="103">
        <v>4391</v>
      </c>
      <c r="D73" s="104"/>
      <c r="E73" s="103">
        <v>4462</v>
      </c>
      <c r="F73" s="104"/>
      <c r="G73" s="103">
        <v>4555</v>
      </c>
      <c r="H73" s="104"/>
      <c r="I73" s="103">
        <v>4623</v>
      </c>
      <c r="J73" s="104"/>
    </row>
    <row r="74" spans="1:10" x14ac:dyDescent="0.3">
      <c r="A74" s="107" t="s">
        <v>16</v>
      </c>
      <c r="B74" s="108"/>
      <c r="C74" s="103">
        <v>4707</v>
      </c>
      <c r="D74" s="104"/>
      <c r="E74" s="103">
        <v>4736</v>
      </c>
      <c r="F74" s="104"/>
      <c r="G74" s="103">
        <v>4774</v>
      </c>
      <c r="H74" s="104"/>
      <c r="I74" s="103">
        <v>4824</v>
      </c>
      <c r="J74" s="104"/>
    </row>
    <row r="75" spans="1:10" x14ac:dyDescent="0.3">
      <c r="A75" s="101" t="s">
        <v>17</v>
      </c>
      <c r="B75" s="102"/>
      <c r="C75" s="103">
        <v>6987</v>
      </c>
      <c r="D75" s="104"/>
      <c r="E75" s="103">
        <v>7119</v>
      </c>
      <c r="F75" s="104"/>
      <c r="G75" s="103">
        <v>7241</v>
      </c>
      <c r="H75" s="104"/>
      <c r="I75" s="103">
        <v>7361</v>
      </c>
      <c r="J75" s="104"/>
    </row>
    <row r="76" spans="1:10" x14ac:dyDescent="0.3">
      <c r="A76" s="107" t="s">
        <v>18</v>
      </c>
      <c r="B76" s="108"/>
      <c r="C76" s="103">
        <v>1514</v>
      </c>
      <c r="D76" s="104"/>
      <c r="E76" s="103">
        <v>1536</v>
      </c>
      <c r="F76" s="104"/>
      <c r="G76" s="103">
        <v>1553</v>
      </c>
      <c r="H76" s="104"/>
      <c r="I76" s="103">
        <v>1582</v>
      </c>
      <c r="J76" s="104"/>
    </row>
    <row r="77" spans="1:10" x14ac:dyDescent="0.3">
      <c r="A77" s="101" t="s">
        <v>19</v>
      </c>
      <c r="B77" s="102"/>
      <c r="C77" s="103">
        <v>5510</v>
      </c>
      <c r="D77" s="104"/>
      <c r="E77" s="103">
        <v>5598</v>
      </c>
      <c r="F77" s="104"/>
      <c r="G77" s="103">
        <v>5711</v>
      </c>
      <c r="H77" s="104"/>
      <c r="I77" s="103">
        <v>5778</v>
      </c>
      <c r="J77" s="104"/>
    </row>
    <row r="78" spans="1:10" x14ac:dyDescent="0.3">
      <c r="A78" s="105" t="s">
        <v>42</v>
      </c>
      <c r="B78" s="106"/>
      <c r="C78" s="103">
        <f>SUM(C69:C77)</f>
        <v>65981</v>
      </c>
      <c r="D78" s="104"/>
      <c r="E78" s="103">
        <f>SUM(E69:E77)</f>
        <v>66706</v>
      </c>
      <c r="F78" s="104"/>
      <c r="G78" s="103">
        <f>SUM(G69:G77)</f>
        <v>67513</v>
      </c>
      <c r="H78" s="104"/>
      <c r="I78" s="103">
        <f>SUM(I69:I77)</f>
        <v>68406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30" t="s">
        <v>514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3">
        <v>466</v>
      </c>
      <c r="D5" s="214"/>
      <c r="E5" s="213">
        <v>1252</v>
      </c>
      <c r="F5" s="214"/>
      <c r="G5" s="213">
        <v>1663</v>
      </c>
      <c r="H5" s="214"/>
      <c r="I5" s="213">
        <v>2509</v>
      </c>
      <c r="J5" s="214"/>
      <c r="K5" s="216">
        <v>0</v>
      </c>
      <c r="L5" s="217"/>
      <c r="M5" s="56">
        <v>1370</v>
      </c>
      <c r="N5" s="53">
        <v>184</v>
      </c>
      <c r="O5" s="38">
        <v>3178</v>
      </c>
      <c r="P5" s="53">
        <v>3570</v>
      </c>
      <c r="Q5" s="53">
        <v>3460</v>
      </c>
    </row>
    <row r="6" spans="1:18" ht="13.5" customHeight="1" x14ac:dyDescent="0.3">
      <c r="A6" s="211" t="s">
        <v>11</v>
      </c>
      <c r="B6" s="212"/>
      <c r="C6" s="213">
        <v>859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518</v>
      </c>
      <c r="D7" s="422"/>
      <c r="E7" s="421">
        <v>611</v>
      </c>
      <c r="F7" s="422"/>
      <c r="G7" s="421">
        <v>6</v>
      </c>
      <c r="H7" s="422"/>
      <c r="I7" s="421">
        <v>712</v>
      </c>
      <c r="J7" s="422"/>
      <c r="K7" s="421">
        <v>40</v>
      </c>
      <c r="L7" s="422"/>
      <c r="M7" s="54">
        <v>531</v>
      </c>
      <c r="N7" s="54">
        <v>56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303</v>
      </c>
      <c r="D8" s="422"/>
      <c r="E8" s="421">
        <v>283</v>
      </c>
      <c r="F8" s="422"/>
      <c r="G8" s="421">
        <v>0</v>
      </c>
      <c r="H8" s="422"/>
      <c r="I8" s="421">
        <v>186</v>
      </c>
      <c r="J8" s="422"/>
      <c r="K8" s="421">
        <v>0</v>
      </c>
      <c r="L8" s="422"/>
      <c r="M8" s="54">
        <v>208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239</v>
      </c>
      <c r="D9" s="422"/>
      <c r="E9" s="421">
        <v>10</v>
      </c>
      <c r="F9" s="422"/>
      <c r="G9" s="421">
        <v>0</v>
      </c>
      <c r="H9" s="422"/>
      <c r="I9" s="421">
        <v>270</v>
      </c>
      <c r="J9" s="422"/>
      <c r="K9" s="421">
        <v>8</v>
      </c>
      <c r="L9" s="422"/>
      <c r="M9" s="54">
        <v>228</v>
      </c>
      <c r="N9" s="54">
        <v>70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370</v>
      </c>
      <c r="D10" s="422"/>
      <c r="E10" s="421">
        <v>250</v>
      </c>
      <c r="F10" s="422"/>
      <c r="G10" s="421">
        <v>44</v>
      </c>
      <c r="H10" s="422"/>
      <c r="I10" s="421">
        <v>5</v>
      </c>
      <c r="J10" s="422"/>
      <c r="K10" s="421">
        <v>0</v>
      </c>
      <c r="L10" s="422"/>
      <c r="M10" s="54">
        <v>170</v>
      </c>
      <c r="N10" s="54">
        <v>90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496</v>
      </c>
      <c r="D11" s="424"/>
      <c r="E11" s="421">
        <v>100</v>
      </c>
      <c r="F11" s="422"/>
      <c r="G11" s="421">
        <v>0</v>
      </c>
      <c r="H11" s="422"/>
      <c r="I11" s="421">
        <v>116</v>
      </c>
      <c r="J11" s="422"/>
      <c r="K11" s="421">
        <v>9</v>
      </c>
      <c r="L11" s="422"/>
      <c r="M11" s="54">
        <v>352</v>
      </c>
      <c r="N11" s="54">
        <v>347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215</v>
      </c>
      <c r="D12" s="424"/>
      <c r="E12" s="421">
        <v>0</v>
      </c>
      <c r="F12" s="422"/>
      <c r="G12" s="421">
        <v>0</v>
      </c>
      <c r="H12" s="422"/>
      <c r="I12" s="421">
        <v>545</v>
      </c>
      <c r="J12" s="422"/>
      <c r="K12" s="421">
        <v>0</v>
      </c>
      <c r="L12" s="422"/>
      <c r="M12" s="54">
        <v>351</v>
      </c>
      <c r="N12" s="54">
        <v>301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235</v>
      </c>
      <c r="D13" s="424"/>
      <c r="E13" s="421">
        <v>105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69</v>
      </c>
      <c r="N13" s="54">
        <v>47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205</v>
      </c>
      <c r="D14" s="420"/>
      <c r="E14" s="419">
        <v>7</v>
      </c>
      <c r="F14" s="420"/>
      <c r="G14" s="419">
        <v>13</v>
      </c>
      <c r="H14" s="420"/>
      <c r="I14" s="421">
        <v>181</v>
      </c>
      <c r="J14" s="422"/>
      <c r="K14" s="419">
        <v>0</v>
      </c>
      <c r="L14" s="420"/>
      <c r="M14" s="55">
        <v>189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3410</v>
      </c>
      <c r="P15" s="53">
        <v>2867</v>
      </c>
      <c r="Q15" s="53">
        <v>2106</v>
      </c>
    </row>
    <row r="16" spans="1:18" ht="15" thickBot="1" x14ac:dyDescent="0.35">
      <c r="A16" s="199" t="s">
        <v>20</v>
      </c>
      <c r="B16" s="200"/>
      <c r="C16" s="201">
        <f>SUM(C5:D15)</f>
        <v>3906</v>
      </c>
      <c r="D16" s="202"/>
      <c r="E16" s="201">
        <f>SUM(E5:F15)</f>
        <v>2618</v>
      </c>
      <c r="F16" s="202"/>
      <c r="G16" s="201">
        <f>SUM(G5:H15)</f>
        <v>1726</v>
      </c>
      <c r="H16" s="202"/>
      <c r="I16" s="201">
        <f>SUM(I5:J15)</f>
        <v>4525</v>
      </c>
      <c r="J16" s="202"/>
      <c r="K16" s="201">
        <f>SUM(K5:L15)</f>
        <v>57</v>
      </c>
      <c r="L16" s="202"/>
      <c r="M16" s="4">
        <f>SUM(M5:M15)</f>
        <v>3468</v>
      </c>
      <c r="N16" s="4">
        <f>SUM(N5:N15)</f>
        <v>1119</v>
      </c>
      <c r="O16" s="4">
        <f>SUM(O5:O15)</f>
        <v>6670</v>
      </c>
      <c r="P16" s="4">
        <f>SUM(P5:P15)</f>
        <v>6479</v>
      </c>
      <c r="Q16" s="5">
        <f>SUM(Q5:Q15)</f>
        <v>5574</v>
      </c>
    </row>
    <row r="17" spans="1:20" ht="15" thickBot="1" x14ac:dyDescent="0.35">
      <c r="A17" s="190" t="s">
        <v>21</v>
      </c>
      <c r="B17" s="191"/>
      <c r="C17" s="193">
        <v>466</v>
      </c>
      <c r="D17" s="194"/>
      <c r="E17" s="195">
        <v>1252</v>
      </c>
      <c r="F17" s="196"/>
      <c r="G17" s="195">
        <v>1663</v>
      </c>
      <c r="H17" s="196"/>
      <c r="I17" s="195">
        <v>2509</v>
      </c>
      <c r="J17" s="196"/>
      <c r="K17" s="197">
        <v>0</v>
      </c>
      <c r="L17" s="198"/>
      <c r="M17" s="36">
        <v>962</v>
      </c>
      <c r="N17" s="47">
        <v>184</v>
      </c>
      <c r="O17" s="38">
        <v>3178</v>
      </c>
      <c r="P17" s="53">
        <v>3570</v>
      </c>
      <c r="Q17" s="53">
        <v>3460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514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213</v>
      </c>
      <c r="D25" s="150"/>
      <c r="E25" s="165" t="s">
        <v>520</v>
      </c>
      <c r="F25" s="166"/>
      <c r="G25" s="149">
        <v>0</v>
      </c>
      <c r="H25" s="150"/>
      <c r="I25" s="149">
        <v>65</v>
      </c>
      <c r="J25" s="150"/>
      <c r="K25" s="52">
        <v>1</v>
      </c>
      <c r="N25"/>
      <c r="O25"/>
    </row>
    <row r="26" spans="1:20" x14ac:dyDescent="0.3">
      <c r="A26" s="101" t="s">
        <v>13</v>
      </c>
      <c r="B26" s="102"/>
      <c r="C26" s="149">
        <v>46</v>
      </c>
      <c r="D26" s="150"/>
      <c r="E26" s="165" t="s">
        <v>25</v>
      </c>
      <c r="F26" s="166"/>
      <c r="G26" s="149">
        <v>0</v>
      </c>
      <c r="H26" s="150"/>
      <c r="I26" s="149">
        <v>112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141</v>
      </c>
      <c r="D27" s="150"/>
      <c r="E27" s="165" t="s">
        <v>276</v>
      </c>
      <c r="F27" s="166"/>
      <c r="G27" s="149">
        <v>2</v>
      </c>
      <c r="H27" s="150"/>
      <c r="I27" s="149">
        <v>67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476</v>
      </c>
      <c r="D28" s="166"/>
      <c r="E28" s="165" t="s">
        <v>90</v>
      </c>
      <c r="F28" s="166"/>
      <c r="G28" s="149">
        <v>0</v>
      </c>
      <c r="H28" s="150"/>
      <c r="I28" s="149">
        <v>20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457</v>
      </c>
      <c r="D29" s="184"/>
      <c r="E29" s="165" t="s">
        <v>90</v>
      </c>
      <c r="F29" s="166"/>
      <c r="G29" s="149">
        <v>0</v>
      </c>
      <c r="H29" s="150"/>
      <c r="I29" s="149">
        <v>19</v>
      </c>
      <c r="J29" s="150"/>
      <c r="K29" s="52">
        <v>2</v>
      </c>
      <c r="N29"/>
      <c r="O29" s="58"/>
    </row>
    <row r="30" spans="1:20" x14ac:dyDescent="0.3">
      <c r="A30" s="101" t="s">
        <v>17</v>
      </c>
      <c r="B30" s="102"/>
      <c r="C30" s="152">
        <v>3</v>
      </c>
      <c r="D30" s="153"/>
      <c r="E30" s="149" t="s">
        <v>90</v>
      </c>
      <c r="F30" s="150"/>
      <c r="G30" s="149">
        <v>0</v>
      </c>
      <c r="H30" s="150"/>
      <c r="I30" s="149">
        <v>2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194</v>
      </c>
      <c r="D31" s="153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514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413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518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499</v>
      </c>
      <c r="D40" s="150"/>
      <c r="E40" s="154" t="s">
        <v>519</v>
      </c>
      <c r="F40" s="155"/>
      <c r="G40" s="149">
        <v>6</v>
      </c>
      <c r="H40" s="150"/>
      <c r="I40" s="149" t="s">
        <v>54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511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515</v>
      </c>
      <c r="D42" s="153"/>
      <c r="E42" s="154" t="s">
        <v>507</v>
      </c>
      <c r="F42" s="155"/>
      <c r="G42" s="149">
        <v>0</v>
      </c>
      <c r="H42" s="150"/>
      <c r="I42" s="149" t="s">
        <v>516</v>
      </c>
      <c r="J42" s="150"/>
      <c r="K42" s="52" t="s">
        <v>517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508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491</v>
      </c>
      <c r="D49" s="146"/>
      <c r="E49" s="145" t="s">
        <v>494</v>
      </c>
      <c r="F49" s="146"/>
      <c r="G49" s="145" t="s">
        <v>505</v>
      </c>
      <c r="H49" s="146"/>
      <c r="I49" s="145" t="s">
        <v>514</v>
      </c>
      <c r="J49" s="146"/>
    </row>
    <row r="50" spans="1:11" x14ac:dyDescent="0.3">
      <c r="A50" s="120" t="s">
        <v>30</v>
      </c>
      <c r="B50" s="121"/>
      <c r="C50" s="122">
        <v>12807</v>
      </c>
      <c r="D50" s="123"/>
      <c r="E50" s="122">
        <v>12744</v>
      </c>
      <c r="F50" s="123"/>
      <c r="G50" s="122">
        <v>12747</v>
      </c>
      <c r="H50" s="123"/>
      <c r="I50" s="122">
        <v>12721</v>
      </c>
      <c r="J50" s="123"/>
    </row>
    <row r="51" spans="1:11" x14ac:dyDescent="0.3">
      <c r="A51" s="120" t="s">
        <v>31</v>
      </c>
      <c r="B51" s="121"/>
      <c r="C51" s="122">
        <v>9364</v>
      </c>
      <c r="D51" s="123"/>
      <c r="E51" s="122">
        <v>9400</v>
      </c>
      <c r="F51" s="123"/>
      <c r="G51" s="122">
        <v>9449</v>
      </c>
      <c r="H51" s="123"/>
      <c r="I51" s="122">
        <v>9488</v>
      </c>
      <c r="J51" s="123"/>
    </row>
    <row r="52" spans="1:11" x14ac:dyDescent="0.3">
      <c r="A52" s="120" t="s">
        <v>32</v>
      </c>
      <c r="B52" s="121"/>
      <c r="C52" s="122">
        <v>113504</v>
      </c>
      <c r="D52" s="123"/>
      <c r="E52" s="122">
        <v>113514</v>
      </c>
      <c r="F52" s="123"/>
      <c r="G52" s="122">
        <v>113424</v>
      </c>
      <c r="H52" s="123"/>
      <c r="I52" s="122">
        <v>113354</v>
      </c>
      <c r="J52" s="123"/>
    </row>
    <row r="53" spans="1:11" x14ac:dyDescent="0.3">
      <c r="A53" s="120" t="s">
        <v>33</v>
      </c>
      <c r="B53" s="121"/>
      <c r="C53" s="103">
        <v>239</v>
      </c>
      <c r="D53" s="104"/>
      <c r="E53" s="103">
        <v>239</v>
      </c>
      <c r="F53" s="104"/>
      <c r="G53" s="103">
        <v>240</v>
      </c>
      <c r="H53" s="104"/>
      <c r="I53" s="103">
        <v>240</v>
      </c>
      <c r="J53" s="104"/>
    </row>
    <row r="54" spans="1:11" x14ac:dyDescent="0.3">
      <c r="A54" s="120" t="s">
        <v>34</v>
      </c>
      <c r="B54" s="121"/>
      <c r="C54" s="122">
        <v>50144</v>
      </c>
      <c r="D54" s="123"/>
      <c r="E54" s="122">
        <v>50122</v>
      </c>
      <c r="F54" s="123"/>
      <c r="G54" s="122">
        <v>50082</v>
      </c>
      <c r="H54" s="123"/>
      <c r="I54" s="122">
        <v>50055</v>
      </c>
      <c r="J54" s="123"/>
    </row>
    <row r="55" spans="1:11" x14ac:dyDescent="0.3">
      <c r="A55" s="120" t="s">
        <v>53</v>
      </c>
      <c r="B55" s="121"/>
      <c r="C55" s="103">
        <v>4410</v>
      </c>
      <c r="D55" s="104"/>
      <c r="E55" s="103">
        <v>4405</v>
      </c>
      <c r="F55" s="104"/>
      <c r="G55" s="103">
        <v>17463</v>
      </c>
      <c r="H55" s="104"/>
      <c r="I55" s="103">
        <v>4390</v>
      </c>
      <c r="J55" s="104"/>
    </row>
    <row r="56" spans="1:11" x14ac:dyDescent="0.3">
      <c r="A56" s="120" t="s">
        <v>49</v>
      </c>
      <c r="B56" s="121"/>
      <c r="C56" s="122">
        <v>16961</v>
      </c>
      <c r="D56" s="123"/>
      <c r="E56" s="122">
        <v>17140</v>
      </c>
      <c r="F56" s="123"/>
      <c r="G56" s="122">
        <v>4404</v>
      </c>
      <c r="H56" s="123"/>
      <c r="I56" s="122">
        <v>17852</v>
      </c>
      <c r="J56" s="123"/>
      <c r="K56" s="51"/>
    </row>
    <row r="57" spans="1:11" x14ac:dyDescent="0.3">
      <c r="A57" s="120" t="s">
        <v>35</v>
      </c>
      <c r="B57" s="121"/>
      <c r="C57" s="103">
        <v>2713</v>
      </c>
      <c r="D57" s="104"/>
      <c r="E57" s="103">
        <v>2724</v>
      </c>
      <c r="F57" s="104"/>
      <c r="G57" s="103">
        <v>2739</v>
      </c>
      <c r="H57" s="104"/>
      <c r="I57" s="103">
        <v>2747</v>
      </c>
      <c r="J57" s="104"/>
    </row>
    <row r="58" spans="1:11" x14ac:dyDescent="0.3">
      <c r="A58" s="120" t="s">
        <v>36</v>
      </c>
      <c r="B58" s="121"/>
      <c r="C58" s="122">
        <f>SUM(C50:D57)</f>
        <v>210142</v>
      </c>
      <c r="D58" s="123"/>
      <c r="E58" s="122">
        <f>SUM(E50:F57)</f>
        <v>210288</v>
      </c>
      <c r="F58" s="123"/>
      <c r="G58" s="122">
        <f>SUM(G50:H57)</f>
        <v>210548</v>
      </c>
      <c r="H58" s="123"/>
      <c r="I58" s="122">
        <f>SUM(I50:J57)</f>
        <v>210847</v>
      </c>
      <c r="J58" s="123"/>
    </row>
    <row r="60" spans="1:11" x14ac:dyDescent="0.3">
      <c r="A60" s="124" t="s">
        <v>37</v>
      </c>
      <c r="B60" s="125"/>
      <c r="C60" s="130" t="s">
        <v>491</v>
      </c>
      <c r="D60" s="131"/>
      <c r="E60" s="130" t="s">
        <v>494</v>
      </c>
      <c r="F60" s="131"/>
      <c r="G60" s="130" t="s">
        <v>505</v>
      </c>
      <c r="H60" s="131"/>
      <c r="I60" s="130" t="s">
        <v>514</v>
      </c>
      <c r="J60" s="131"/>
    </row>
    <row r="61" spans="1:11" x14ac:dyDescent="0.3">
      <c r="A61" s="126"/>
      <c r="B61" s="127"/>
      <c r="C61" s="132">
        <v>138395</v>
      </c>
      <c r="D61" s="133"/>
      <c r="E61" s="132">
        <v>138511</v>
      </c>
      <c r="F61" s="133"/>
      <c r="G61" s="132">
        <v>138719</v>
      </c>
      <c r="H61" s="133"/>
      <c r="I61" s="132">
        <v>138868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402</v>
      </c>
      <c r="D66" s="115"/>
      <c r="E66" s="114" t="s">
        <v>435</v>
      </c>
      <c r="F66" s="115"/>
      <c r="G66" s="114" t="s">
        <v>465</v>
      </c>
      <c r="H66" s="115"/>
      <c r="I66" s="114" t="s">
        <v>509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28575</v>
      </c>
      <c r="D69" s="104"/>
      <c r="E69" s="103">
        <v>28847</v>
      </c>
      <c r="F69" s="104"/>
      <c r="G69" s="103">
        <v>29171</v>
      </c>
      <c r="H69" s="104"/>
      <c r="I69" s="103">
        <v>29615</v>
      </c>
      <c r="J69" s="104"/>
    </row>
    <row r="70" spans="1:10" x14ac:dyDescent="0.3">
      <c r="A70" s="101" t="s">
        <v>13</v>
      </c>
      <c r="B70" s="102"/>
      <c r="C70" s="103">
        <v>6940</v>
      </c>
      <c r="D70" s="104"/>
      <c r="E70" s="103">
        <v>6964</v>
      </c>
      <c r="F70" s="104"/>
      <c r="G70" s="103">
        <v>6989</v>
      </c>
      <c r="H70" s="104"/>
      <c r="I70" s="103">
        <v>7028</v>
      </c>
      <c r="J70" s="104"/>
    </row>
    <row r="71" spans="1:10" x14ac:dyDescent="0.3">
      <c r="A71" s="107" t="s">
        <v>14</v>
      </c>
      <c r="B71" s="108"/>
      <c r="C71" s="103">
        <v>6008</v>
      </c>
      <c r="D71" s="104"/>
      <c r="E71" s="103">
        <v>6082</v>
      </c>
      <c r="F71" s="104"/>
      <c r="G71" s="103">
        <v>6128</v>
      </c>
      <c r="H71" s="104"/>
      <c r="I71" s="103">
        <v>6175</v>
      </c>
      <c r="J71" s="104"/>
    </row>
    <row r="72" spans="1:10" x14ac:dyDescent="0.3">
      <c r="A72" s="107" t="s">
        <v>41</v>
      </c>
      <c r="B72" s="108"/>
      <c r="C72" s="103">
        <v>1349</v>
      </c>
      <c r="D72" s="104"/>
      <c r="E72" s="103">
        <v>1362</v>
      </c>
      <c r="F72" s="104"/>
      <c r="G72" s="103">
        <v>1391</v>
      </c>
      <c r="H72" s="104"/>
      <c r="I72" s="103">
        <v>1420</v>
      </c>
      <c r="J72" s="104"/>
    </row>
    <row r="73" spans="1:10" x14ac:dyDescent="0.3">
      <c r="A73" s="101" t="s">
        <v>15</v>
      </c>
      <c r="B73" s="102"/>
      <c r="C73" s="103">
        <v>4391</v>
      </c>
      <c r="D73" s="104"/>
      <c r="E73" s="103">
        <v>4462</v>
      </c>
      <c r="F73" s="104"/>
      <c r="G73" s="103">
        <v>4555</v>
      </c>
      <c r="H73" s="104"/>
      <c r="I73" s="103">
        <v>4623</v>
      </c>
      <c r="J73" s="104"/>
    </row>
    <row r="74" spans="1:10" x14ac:dyDescent="0.3">
      <c r="A74" s="107" t="s">
        <v>16</v>
      </c>
      <c r="B74" s="108"/>
      <c r="C74" s="103">
        <v>4707</v>
      </c>
      <c r="D74" s="104"/>
      <c r="E74" s="103">
        <v>4736</v>
      </c>
      <c r="F74" s="104"/>
      <c r="G74" s="103">
        <v>4774</v>
      </c>
      <c r="H74" s="104"/>
      <c r="I74" s="103">
        <v>4824</v>
      </c>
      <c r="J74" s="104"/>
    </row>
    <row r="75" spans="1:10" x14ac:dyDescent="0.3">
      <c r="A75" s="101" t="s">
        <v>17</v>
      </c>
      <c r="B75" s="102"/>
      <c r="C75" s="103">
        <v>6987</v>
      </c>
      <c r="D75" s="104"/>
      <c r="E75" s="103">
        <v>7119</v>
      </c>
      <c r="F75" s="104"/>
      <c r="G75" s="103">
        <v>7241</v>
      </c>
      <c r="H75" s="104"/>
      <c r="I75" s="103">
        <v>7361</v>
      </c>
      <c r="J75" s="104"/>
    </row>
    <row r="76" spans="1:10" x14ac:dyDescent="0.3">
      <c r="A76" s="107" t="s">
        <v>18</v>
      </c>
      <c r="B76" s="108"/>
      <c r="C76" s="103">
        <v>1514</v>
      </c>
      <c r="D76" s="104"/>
      <c r="E76" s="103">
        <v>1536</v>
      </c>
      <c r="F76" s="104"/>
      <c r="G76" s="103">
        <v>1553</v>
      </c>
      <c r="H76" s="104"/>
      <c r="I76" s="103">
        <v>1582</v>
      </c>
      <c r="J76" s="104"/>
    </row>
    <row r="77" spans="1:10" x14ac:dyDescent="0.3">
      <c r="A77" s="101" t="s">
        <v>19</v>
      </c>
      <c r="B77" s="102"/>
      <c r="C77" s="103">
        <v>5510</v>
      </c>
      <c r="D77" s="104"/>
      <c r="E77" s="103">
        <v>5598</v>
      </c>
      <c r="F77" s="104"/>
      <c r="G77" s="103">
        <v>5711</v>
      </c>
      <c r="H77" s="104"/>
      <c r="I77" s="103">
        <v>5778</v>
      </c>
      <c r="J77" s="104"/>
    </row>
    <row r="78" spans="1:10" x14ac:dyDescent="0.3">
      <c r="A78" s="105" t="s">
        <v>42</v>
      </c>
      <c r="B78" s="106"/>
      <c r="C78" s="103">
        <f>SUM(C69:C77)</f>
        <v>65981</v>
      </c>
      <c r="D78" s="104"/>
      <c r="E78" s="103">
        <f>SUM(E69:E77)</f>
        <v>66706</v>
      </c>
      <c r="F78" s="104"/>
      <c r="G78" s="103">
        <f>SUM(G69:G77)</f>
        <v>67513</v>
      </c>
      <c r="H78" s="104"/>
      <c r="I78" s="103">
        <f>SUM(I69:I77)</f>
        <v>68406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30" t="s">
        <v>521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3">
        <v>10666</v>
      </c>
      <c r="D5" s="214"/>
      <c r="E5" s="213">
        <v>1072</v>
      </c>
      <c r="F5" s="214"/>
      <c r="G5" s="213">
        <v>1663</v>
      </c>
      <c r="H5" s="214"/>
      <c r="I5" s="213">
        <v>2409</v>
      </c>
      <c r="J5" s="214"/>
      <c r="K5" s="216">
        <v>0</v>
      </c>
      <c r="L5" s="217"/>
      <c r="M5" s="56">
        <v>1250</v>
      </c>
      <c r="N5" s="53">
        <v>70</v>
      </c>
      <c r="O5" s="38">
        <v>2878</v>
      </c>
      <c r="P5" s="53">
        <v>3370</v>
      </c>
      <c r="Q5" s="53">
        <v>3260</v>
      </c>
    </row>
    <row r="6" spans="1:18" ht="13.5" customHeight="1" x14ac:dyDescent="0.3">
      <c r="A6" s="211" t="s">
        <v>11</v>
      </c>
      <c r="B6" s="212"/>
      <c r="C6" s="213">
        <v>859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443</v>
      </c>
      <c r="D7" s="422"/>
      <c r="E7" s="421">
        <v>357</v>
      </c>
      <c r="F7" s="422"/>
      <c r="G7" s="421">
        <v>158</v>
      </c>
      <c r="H7" s="422"/>
      <c r="I7" s="421">
        <v>549</v>
      </c>
      <c r="J7" s="422"/>
      <c r="K7" s="421">
        <v>38</v>
      </c>
      <c r="L7" s="422"/>
      <c r="M7" s="54">
        <v>419</v>
      </c>
      <c r="N7" s="54">
        <v>55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296</v>
      </c>
      <c r="D8" s="422"/>
      <c r="E8" s="421">
        <v>241</v>
      </c>
      <c r="F8" s="422"/>
      <c r="G8" s="421">
        <v>0</v>
      </c>
      <c r="H8" s="422"/>
      <c r="I8" s="421">
        <v>186</v>
      </c>
      <c r="J8" s="422"/>
      <c r="K8" s="421">
        <v>0</v>
      </c>
      <c r="L8" s="422"/>
      <c r="M8" s="54">
        <v>190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398</v>
      </c>
      <c r="D9" s="422"/>
      <c r="E9" s="421">
        <v>10</v>
      </c>
      <c r="F9" s="422"/>
      <c r="G9" s="421">
        <v>0</v>
      </c>
      <c r="H9" s="422"/>
      <c r="I9" s="421">
        <v>330</v>
      </c>
      <c r="J9" s="422"/>
      <c r="K9" s="421">
        <v>5</v>
      </c>
      <c r="L9" s="422"/>
      <c r="M9" s="54">
        <v>300</v>
      </c>
      <c r="N9" s="54">
        <v>75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340</v>
      </c>
      <c r="D10" s="422"/>
      <c r="E10" s="421">
        <v>210</v>
      </c>
      <c r="F10" s="422"/>
      <c r="G10" s="421">
        <v>33</v>
      </c>
      <c r="H10" s="422"/>
      <c r="I10" s="421">
        <v>5</v>
      </c>
      <c r="J10" s="422"/>
      <c r="K10" s="421">
        <v>0</v>
      </c>
      <c r="L10" s="422"/>
      <c r="M10" s="54">
        <v>147</v>
      </c>
      <c r="N10" s="54">
        <v>60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474</v>
      </c>
      <c r="D11" s="424"/>
      <c r="E11" s="421">
        <v>100</v>
      </c>
      <c r="F11" s="422"/>
      <c r="G11" s="421">
        <v>0</v>
      </c>
      <c r="H11" s="422"/>
      <c r="I11" s="421">
        <v>102</v>
      </c>
      <c r="J11" s="422"/>
      <c r="K11" s="421">
        <v>8</v>
      </c>
      <c r="L11" s="422"/>
      <c r="M11" s="54">
        <v>341</v>
      </c>
      <c r="N11" s="54">
        <v>342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170</v>
      </c>
      <c r="D12" s="424"/>
      <c r="E12" s="421">
        <v>0</v>
      </c>
      <c r="F12" s="422"/>
      <c r="G12" s="421">
        <v>0</v>
      </c>
      <c r="H12" s="422"/>
      <c r="I12" s="421">
        <v>415</v>
      </c>
      <c r="J12" s="422"/>
      <c r="K12" s="421">
        <v>0</v>
      </c>
      <c r="L12" s="422"/>
      <c r="M12" s="54">
        <v>311</v>
      </c>
      <c r="N12" s="54">
        <v>250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305</v>
      </c>
      <c r="D13" s="424"/>
      <c r="E13" s="421">
        <v>174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107</v>
      </c>
      <c r="N13" s="54">
        <v>47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190</v>
      </c>
      <c r="D14" s="420"/>
      <c r="E14" s="419">
        <v>7</v>
      </c>
      <c r="F14" s="420"/>
      <c r="G14" s="419">
        <v>13</v>
      </c>
      <c r="H14" s="420"/>
      <c r="I14" s="421">
        <v>167</v>
      </c>
      <c r="J14" s="422"/>
      <c r="K14" s="419">
        <v>0</v>
      </c>
      <c r="L14" s="420"/>
      <c r="M14" s="55">
        <v>165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3142</v>
      </c>
      <c r="P15" s="53">
        <v>2748</v>
      </c>
      <c r="Q15" s="53">
        <v>2035</v>
      </c>
    </row>
    <row r="16" spans="1:18" ht="15" thickBot="1" x14ac:dyDescent="0.35">
      <c r="A16" s="199" t="s">
        <v>20</v>
      </c>
      <c r="B16" s="200"/>
      <c r="C16" s="201">
        <f>SUM(C5:D15)</f>
        <v>14141</v>
      </c>
      <c r="D16" s="202"/>
      <c r="E16" s="201">
        <f>SUM(E5:F15)</f>
        <v>2171</v>
      </c>
      <c r="F16" s="202"/>
      <c r="G16" s="201">
        <f>SUM(G5:H15)</f>
        <v>1867</v>
      </c>
      <c r="H16" s="202"/>
      <c r="I16" s="201">
        <f>SUM(I5:J15)</f>
        <v>4164</v>
      </c>
      <c r="J16" s="202"/>
      <c r="K16" s="201">
        <f>SUM(K5:L15)</f>
        <v>51</v>
      </c>
      <c r="L16" s="202"/>
      <c r="M16" s="4">
        <f>SUM(M5:M15)</f>
        <v>3230</v>
      </c>
      <c r="N16" s="4">
        <f>SUM(N5:N15)</f>
        <v>923</v>
      </c>
      <c r="O16" s="4">
        <f>SUM(O5:O15)</f>
        <v>6102</v>
      </c>
      <c r="P16" s="4">
        <f>SUM(P5:P15)</f>
        <v>6160</v>
      </c>
      <c r="Q16" s="5">
        <f>SUM(Q5:Q15)</f>
        <v>5303</v>
      </c>
    </row>
    <row r="17" spans="1:20" ht="15" thickBot="1" x14ac:dyDescent="0.35">
      <c r="A17" s="190" t="s">
        <v>21</v>
      </c>
      <c r="B17" s="191"/>
      <c r="C17" s="193">
        <v>10666</v>
      </c>
      <c r="D17" s="194"/>
      <c r="E17" s="195">
        <v>1072</v>
      </c>
      <c r="F17" s="196"/>
      <c r="G17" s="195">
        <v>1663</v>
      </c>
      <c r="H17" s="196"/>
      <c r="I17" s="195">
        <v>2409</v>
      </c>
      <c r="J17" s="196"/>
      <c r="K17" s="197">
        <v>0</v>
      </c>
      <c r="L17" s="198"/>
      <c r="M17" s="36">
        <v>842</v>
      </c>
      <c r="N17" s="47">
        <v>70</v>
      </c>
      <c r="O17" s="38">
        <v>3142</v>
      </c>
      <c r="P17" s="53">
        <v>2748</v>
      </c>
      <c r="Q17" s="53">
        <v>2035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521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211</v>
      </c>
      <c r="D25" s="150"/>
      <c r="E25" s="165" t="s">
        <v>520</v>
      </c>
      <c r="F25" s="166"/>
      <c r="G25" s="149">
        <v>0</v>
      </c>
      <c r="H25" s="150"/>
      <c r="I25" s="149">
        <v>66</v>
      </c>
      <c r="J25" s="150"/>
      <c r="K25" s="52">
        <v>0</v>
      </c>
      <c r="N25"/>
      <c r="O25"/>
    </row>
    <row r="26" spans="1:20" x14ac:dyDescent="0.3">
      <c r="A26" s="101" t="s">
        <v>13</v>
      </c>
      <c r="B26" s="102"/>
      <c r="C26" s="149">
        <v>43</v>
      </c>
      <c r="D26" s="150"/>
      <c r="E26" s="165" t="s">
        <v>25</v>
      </c>
      <c r="F26" s="166"/>
      <c r="G26" s="149">
        <v>0</v>
      </c>
      <c r="H26" s="150"/>
      <c r="I26" s="149">
        <v>115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142</v>
      </c>
      <c r="D27" s="150"/>
      <c r="E27" s="165" t="s">
        <v>307</v>
      </c>
      <c r="F27" s="166"/>
      <c r="G27" s="149">
        <v>2</v>
      </c>
      <c r="H27" s="150"/>
      <c r="I27" s="149">
        <v>67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526</v>
      </c>
      <c r="D28" s="166"/>
      <c r="E28" s="165" t="s">
        <v>90</v>
      </c>
      <c r="F28" s="166"/>
      <c r="G28" s="149">
        <v>0</v>
      </c>
      <c r="H28" s="150"/>
      <c r="I28" s="149">
        <v>20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457</v>
      </c>
      <c r="D29" s="184"/>
      <c r="E29" s="165" t="s">
        <v>90</v>
      </c>
      <c r="F29" s="166"/>
      <c r="G29" s="149">
        <v>0</v>
      </c>
      <c r="H29" s="150"/>
      <c r="I29" s="149">
        <v>17</v>
      </c>
      <c r="J29" s="150"/>
      <c r="K29" s="52">
        <v>2</v>
      </c>
      <c r="N29"/>
      <c r="O29" s="58"/>
    </row>
    <row r="30" spans="1:20" x14ac:dyDescent="0.3">
      <c r="A30" s="101" t="s">
        <v>17</v>
      </c>
      <c r="B30" s="102"/>
      <c r="C30" s="152">
        <v>2</v>
      </c>
      <c r="D30" s="153"/>
      <c r="E30" s="149" t="s">
        <v>90</v>
      </c>
      <c r="F30" s="150"/>
      <c r="G30" s="149">
        <v>0</v>
      </c>
      <c r="H30" s="150"/>
      <c r="I30" s="149">
        <v>3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522</v>
      </c>
      <c r="D31" s="153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521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492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525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499</v>
      </c>
      <c r="D40" s="150"/>
      <c r="E40" s="154" t="s">
        <v>519</v>
      </c>
      <c r="F40" s="155"/>
      <c r="G40" s="149">
        <v>6</v>
      </c>
      <c r="H40" s="150"/>
      <c r="I40" s="149" t="s">
        <v>54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511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515</v>
      </c>
      <c r="D42" s="153"/>
      <c r="E42" s="154" t="s">
        <v>507</v>
      </c>
      <c r="F42" s="155"/>
      <c r="G42" s="149">
        <v>0</v>
      </c>
      <c r="H42" s="150"/>
      <c r="I42" s="149" t="s">
        <v>524</v>
      </c>
      <c r="J42" s="150"/>
      <c r="K42" s="52" t="s">
        <v>517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523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494</v>
      </c>
      <c r="D49" s="146"/>
      <c r="E49" s="145" t="s">
        <v>505</v>
      </c>
      <c r="F49" s="146"/>
      <c r="G49" s="145" t="s">
        <v>514</v>
      </c>
      <c r="H49" s="146"/>
      <c r="I49" s="145" t="s">
        <v>521</v>
      </c>
      <c r="J49" s="146"/>
    </row>
    <row r="50" spans="1:11" x14ac:dyDescent="0.3">
      <c r="A50" s="120" t="s">
        <v>30</v>
      </c>
      <c r="B50" s="121"/>
      <c r="C50" s="122">
        <v>12744</v>
      </c>
      <c r="D50" s="123"/>
      <c r="E50" s="122">
        <v>12747</v>
      </c>
      <c r="F50" s="123"/>
      <c r="G50" s="122">
        <v>12721</v>
      </c>
      <c r="H50" s="123"/>
      <c r="I50" s="122">
        <v>12658</v>
      </c>
      <c r="J50" s="123"/>
    </row>
    <row r="51" spans="1:11" x14ac:dyDescent="0.3">
      <c r="A51" s="120" t="s">
        <v>31</v>
      </c>
      <c r="B51" s="121"/>
      <c r="C51" s="122">
        <v>9400</v>
      </c>
      <c r="D51" s="123"/>
      <c r="E51" s="122">
        <v>9449</v>
      </c>
      <c r="F51" s="123"/>
      <c r="G51" s="122">
        <v>9488</v>
      </c>
      <c r="H51" s="123"/>
      <c r="I51" s="122">
        <v>9576</v>
      </c>
      <c r="J51" s="123"/>
    </row>
    <row r="52" spans="1:11" x14ac:dyDescent="0.3">
      <c r="A52" s="120" t="s">
        <v>32</v>
      </c>
      <c r="B52" s="121"/>
      <c r="C52" s="122">
        <v>113514</v>
      </c>
      <c r="D52" s="123"/>
      <c r="E52" s="122">
        <v>113424</v>
      </c>
      <c r="F52" s="123"/>
      <c r="G52" s="122">
        <v>113354</v>
      </c>
      <c r="H52" s="123"/>
      <c r="I52" s="122">
        <v>113325</v>
      </c>
      <c r="J52" s="123"/>
    </row>
    <row r="53" spans="1:11" x14ac:dyDescent="0.3">
      <c r="A53" s="120" t="s">
        <v>33</v>
      </c>
      <c r="B53" s="121"/>
      <c r="C53" s="103">
        <v>239</v>
      </c>
      <c r="D53" s="104"/>
      <c r="E53" s="103">
        <v>240</v>
      </c>
      <c r="F53" s="104"/>
      <c r="G53" s="103">
        <v>240</v>
      </c>
      <c r="H53" s="104"/>
      <c r="I53" s="103">
        <v>240</v>
      </c>
      <c r="J53" s="104"/>
    </row>
    <row r="54" spans="1:11" x14ac:dyDescent="0.3">
      <c r="A54" s="120" t="s">
        <v>34</v>
      </c>
      <c r="B54" s="121"/>
      <c r="C54" s="122">
        <v>50122</v>
      </c>
      <c r="D54" s="123"/>
      <c r="E54" s="122">
        <v>50082</v>
      </c>
      <c r="F54" s="123"/>
      <c r="G54" s="122">
        <v>50055</v>
      </c>
      <c r="H54" s="123"/>
      <c r="I54" s="122">
        <v>50073</v>
      </c>
      <c r="J54" s="123"/>
    </row>
    <row r="55" spans="1:11" x14ac:dyDescent="0.3">
      <c r="A55" s="120" t="s">
        <v>53</v>
      </c>
      <c r="B55" s="121"/>
      <c r="C55" s="103">
        <v>4405</v>
      </c>
      <c r="D55" s="104"/>
      <c r="E55" s="103">
        <v>17463</v>
      </c>
      <c r="F55" s="104"/>
      <c r="G55" s="103">
        <v>4390</v>
      </c>
      <c r="H55" s="104"/>
      <c r="I55" s="103">
        <v>4383</v>
      </c>
      <c r="J55" s="104"/>
    </row>
    <row r="56" spans="1:11" x14ac:dyDescent="0.3">
      <c r="A56" s="120" t="s">
        <v>49</v>
      </c>
      <c r="B56" s="121"/>
      <c r="C56" s="122">
        <v>17140</v>
      </c>
      <c r="D56" s="123"/>
      <c r="E56" s="122">
        <v>4404</v>
      </c>
      <c r="F56" s="123"/>
      <c r="G56" s="122">
        <v>17852</v>
      </c>
      <c r="H56" s="123"/>
      <c r="I56" s="122">
        <v>18223</v>
      </c>
      <c r="J56" s="123"/>
      <c r="K56" s="51"/>
    </row>
    <row r="57" spans="1:11" x14ac:dyDescent="0.3">
      <c r="A57" s="120" t="s">
        <v>35</v>
      </c>
      <c r="B57" s="121"/>
      <c r="C57" s="103">
        <v>2724</v>
      </c>
      <c r="D57" s="104"/>
      <c r="E57" s="103">
        <v>2739</v>
      </c>
      <c r="F57" s="104"/>
      <c r="G57" s="103">
        <v>2747</v>
      </c>
      <c r="H57" s="104"/>
      <c r="I57" s="103">
        <v>2753</v>
      </c>
      <c r="J57" s="104"/>
    </row>
    <row r="58" spans="1:11" x14ac:dyDescent="0.3">
      <c r="A58" s="120" t="s">
        <v>36</v>
      </c>
      <c r="B58" s="121"/>
      <c r="C58" s="122">
        <f>SUM(C50:D57)</f>
        <v>210288</v>
      </c>
      <c r="D58" s="123"/>
      <c r="E58" s="122">
        <f>SUM(E50:F57)</f>
        <v>210548</v>
      </c>
      <c r="F58" s="123"/>
      <c r="G58" s="122">
        <f>SUM(G50:H57)</f>
        <v>210847</v>
      </c>
      <c r="H58" s="123"/>
      <c r="I58" s="122">
        <f>SUM(I50:J57)</f>
        <v>211231</v>
      </c>
      <c r="J58" s="123"/>
    </row>
    <row r="60" spans="1:11" x14ac:dyDescent="0.3">
      <c r="A60" s="124" t="s">
        <v>37</v>
      </c>
      <c r="B60" s="125"/>
      <c r="C60" s="130" t="s">
        <v>494</v>
      </c>
      <c r="D60" s="131"/>
      <c r="E60" s="130" t="s">
        <v>505</v>
      </c>
      <c r="F60" s="131"/>
      <c r="G60" s="130" t="s">
        <v>514</v>
      </c>
      <c r="H60" s="131"/>
      <c r="I60" s="130" t="s">
        <v>521</v>
      </c>
      <c r="J60" s="131"/>
    </row>
    <row r="61" spans="1:11" x14ac:dyDescent="0.3">
      <c r="A61" s="126"/>
      <c r="B61" s="127"/>
      <c r="C61" s="132">
        <v>138511</v>
      </c>
      <c r="D61" s="133"/>
      <c r="E61" s="132">
        <v>138719</v>
      </c>
      <c r="F61" s="133"/>
      <c r="G61" s="132">
        <v>138868</v>
      </c>
      <c r="H61" s="133"/>
      <c r="I61" s="132">
        <v>139036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402</v>
      </c>
      <c r="D66" s="115"/>
      <c r="E66" s="114" t="s">
        <v>435</v>
      </c>
      <c r="F66" s="115"/>
      <c r="G66" s="114" t="s">
        <v>465</v>
      </c>
      <c r="H66" s="115"/>
      <c r="I66" s="114" t="s">
        <v>509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28575</v>
      </c>
      <c r="D69" s="104"/>
      <c r="E69" s="103">
        <v>28847</v>
      </c>
      <c r="F69" s="104"/>
      <c r="G69" s="103">
        <v>29171</v>
      </c>
      <c r="H69" s="104"/>
      <c r="I69" s="103">
        <v>29615</v>
      </c>
      <c r="J69" s="104"/>
    </row>
    <row r="70" spans="1:10" x14ac:dyDescent="0.3">
      <c r="A70" s="101" t="s">
        <v>13</v>
      </c>
      <c r="B70" s="102"/>
      <c r="C70" s="103">
        <v>6940</v>
      </c>
      <c r="D70" s="104"/>
      <c r="E70" s="103">
        <v>6964</v>
      </c>
      <c r="F70" s="104"/>
      <c r="G70" s="103">
        <v>6989</v>
      </c>
      <c r="H70" s="104"/>
      <c r="I70" s="103">
        <v>7028</v>
      </c>
      <c r="J70" s="104"/>
    </row>
    <row r="71" spans="1:10" x14ac:dyDescent="0.3">
      <c r="A71" s="107" t="s">
        <v>14</v>
      </c>
      <c r="B71" s="108"/>
      <c r="C71" s="103">
        <v>6008</v>
      </c>
      <c r="D71" s="104"/>
      <c r="E71" s="103">
        <v>6082</v>
      </c>
      <c r="F71" s="104"/>
      <c r="G71" s="103">
        <v>6128</v>
      </c>
      <c r="H71" s="104"/>
      <c r="I71" s="103">
        <v>6175</v>
      </c>
      <c r="J71" s="104"/>
    </row>
    <row r="72" spans="1:10" x14ac:dyDescent="0.3">
      <c r="A72" s="107" t="s">
        <v>41</v>
      </c>
      <c r="B72" s="108"/>
      <c r="C72" s="103">
        <v>1349</v>
      </c>
      <c r="D72" s="104"/>
      <c r="E72" s="103">
        <v>1362</v>
      </c>
      <c r="F72" s="104"/>
      <c r="G72" s="103">
        <v>1391</v>
      </c>
      <c r="H72" s="104"/>
      <c r="I72" s="103">
        <v>1420</v>
      </c>
      <c r="J72" s="104"/>
    </row>
    <row r="73" spans="1:10" x14ac:dyDescent="0.3">
      <c r="A73" s="101" t="s">
        <v>15</v>
      </c>
      <c r="B73" s="102"/>
      <c r="C73" s="103">
        <v>4391</v>
      </c>
      <c r="D73" s="104"/>
      <c r="E73" s="103">
        <v>4462</v>
      </c>
      <c r="F73" s="104"/>
      <c r="G73" s="103">
        <v>4555</v>
      </c>
      <c r="H73" s="104"/>
      <c r="I73" s="103">
        <v>4623</v>
      </c>
      <c r="J73" s="104"/>
    </row>
    <row r="74" spans="1:10" x14ac:dyDescent="0.3">
      <c r="A74" s="107" t="s">
        <v>16</v>
      </c>
      <c r="B74" s="108"/>
      <c r="C74" s="103">
        <v>4707</v>
      </c>
      <c r="D74" s="104"/>
      <c r="E74" s="103">
        <v>4736</v>
      </c>
      <c r="F74" s="104"/>
      <c r="G74" s="103">
        <v>4774</v>
      </c>
      <c r="H74" s="104"/>
      <c r="I74" s="103">
        <v>4824</v>
      </c>
      <c r="J74" s="104"/>
    </row>
    <row r="75" spans="1:10" x14ac:dyDescent="0.3">
      <c r="A75" s="101" t="s">
        <v>17</v>
      </c>
      <c r="B75" s="102"/>
      <c r="C75" s="103">
        <v>6987</v>
      </c>
      <c r="D75" s="104"/>
      <c r="E75" s="103">
        <v>7119</v>
      </c>
      <c r="F75" s="104"/>
      <c r="G75" s="103">
        <v>7241</v>
      </c>
      <c r="H75" s="104"/>
      <c r="I75" s="103">
        <v>7361</v>
      </c>
      <c r="J75" s="104"/>
    </row>
    <row r="76" spans="1:10" x14ac:dyDescent="0.3">
      <c r="A76" s="107" t="s">
        <v>18</v>
      </c>
      <c r="B76" s="108"/>
      <c r="C76" s="103">
        <v>1514</v>
      </c>
      <c r="D76" s="104"/>
      <c r="E76" s="103">
        <v>1536</v>
      </c>
      <c r="F76" s="104"/>
      <c r="G76" s="103">
        <v>1553</v>
      </c>
      <c r="H76" s="104"/>
      <c r="I76" s="103">
        <v>1582</v>
      </c>
      <c r="J76" s="104"/>
    </row>
    <row r="77" spans="1:10" x14ac:dyDescent="0.3">
      <c r="A77" s="101" t="s">
        <v>19</v>
      </c>
      <c r="B77" s="102"/>
      <c r="C77" s="103">
        <v>5510</v>
      </c>
      <c r="D77" s="104"/>
      <c r="E77" s="103">
        <v>5598</v>
      </c>
      <c r="F77" s="104"/>
      <c r="G77" s="103">
        <v>5711</v>
      </c>
      <c r="H77" s="104"/>
      <c r="I77" s="103">
        <v>5778</v>
      </c>
      <c r="J77" s="104"/>
    </row>
    <row r="78" spans="1:10" x14ac:dyDescent="0.3">
      <c r="A78" s="105" t="s">
        <v>42</v>
      </c>
      <c r="B78" s="106"/>
      <c r="C78" s="103">
        <f>SUM(C69:C77)</f>
        <v>65981</v>
      </c>
      <c r="D78" s="104"/>
      <c r="E78" s="103">
        <f>SUM(E69:E77)</f>
        <v>66706</v>
      </c>
      <c r="F78" s="104"/>
      <c r="G78" s="103">
        <f>SUM(G69:G77)</f>
        <v>67513</v>
      </c>
      <c r="H78" s="104"/>
      <c r="I78" s="103">
        <f>SUM(I69:I77)</f>
        <v>68406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ht="15" thickBot="1" x14ac:dyDescent="0.35">
      <c r="A4" s="105" t="s">
        <v>9</v>
      </c>
      <c r="B4" s="106"/>
      <c r="C4" s="230" t="s">
        <v>527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3">
        <v>10666</v>
      </c>
      <c r="D5" s="194"/>
      <c r="E5" s="213">
        <v>1022</v>
      </c>
      <c r="F5" s="214"/>
      <c r="G5" s="213">
        <v>1563</v>
      </c>
      <c r="H5" s="214"/>
      <c r="I5" s="213">
        <v>2289</v>
      </c>
      <c r="J5" s="214"/>
      <c r="K5" s="216">
        <v>0</v>
      </c>
      <c r="L5" s="217"/>
      <c r="M5" s="56">
        <v>642</v>
      </c>
      <c r="N5" s="53">
        <v>70</v>
      </c>
      <c r="O5" s="38">
        <v>2878</v>
      </c>
      <c r="P5" s="53">
        <v>3355</v>
      </c>
      <c r="Q5" s="53">
        <v>3245</v>
      </c>
    </row>
    <row r="6" spans="1:18" ht="13.5" customHeight="1" x14ac:dyDescent="0.3">
      <c r="A6" s="211" t="s">
        <v>11</v>
      </c>
      <c r="B6" s="212"/>
      <c r="C6" s="213">
        <v>859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459</v>
      </c>
      <c r="D7" s="422"/>
      <c r="E7" s="421">
        <v>346</v>
      </c>
      <c r="F7" s="422"/>
      <c r="G7" s="421">
        <v>240</v>
      </c>
      <c r="H7" s="422"/>
      <c r="I7" s="421">
        <v>443</v>
      </c>
      <c r="J7" s="422"/>
      <c r="K7" s="421">
        <v>37</v>
      </c>
      <c r="L7" s="422"/>
      <c r="M7" s="54">
        <v>327</v>
      </c>
      <c r="N7" s="54">
        <v>55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288</v>
      </c>
      <c r="D8" s="422"/>
      <c r="E8" s="421">
        <v>222</v>
      </c>
      <c r="F8" s="422"/>
      <c r="G8" s="421">
        <v>0</v>
      </c>
      <c r="H8" s="422"/>
      <c r="I8" s="421">
        <v>174</v>
      </c>
      <c r="J8" s="422"/>
      <c r="K8" s="421">
        <v>0</v>
      </c>
      <c r="L8" s="422"/>
      <c r="M8" s="54">
        <v>156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347</v>
      </c>
      <c r="D9" s="422"/>
      <c r="E9" s="421">
        <v>8</v>
      </c>
      <c r="F9" s="422"/>
      <c r="G9" s="421">
        <v>0</v>
      </c>
      <c r="H9" s="422"/>
      <c r="I9" s="421">
        <v>341</v>
      </c>
      <c r="J9" s="422"/>
      <c r="K9" s="421">
        <v>18</v>
      </c>
      <c r="L9" s="422"/>
      <c r="M9" s="54">
        <v>313</v>
      </c>
      <c r="N9" s="54">
        <v>70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400</v>
      </c>
      <c r="D10" s="422"/>
      <c r="E10" s="421">
        <v>340</v>
      </c>
      <c r="F10" s="422"/>
      <c r="G10" s="421">
        <v>30</v>
      </c>
      <c r="H10" s="422"/>
      <c r="I10" s="421">
        <v>5</v>
      </c>
      <c r="J10" s="422"/>
      <c r="K10" s="421">
        <v>0</v>
      </c>
      <c r="L10" s="422"/>
      <c r="M10" s="54">
        <v>148</v>
      </c>
      <c r="N10" s="54">
        <v>70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460</v>
      </c>
      <c r="D11" s="424"/>
      <c r="E11" s="421">
        <v>100</v>
      </c>
      <c r="F11" s="422"/>
      <c r="G11" s="421">
        <v>0</v>
      </c>
      <c r="H11" s="422"/>
      <c r="I11" s="421">
        <v>85</v>
      </c>
      <c r="J11" s="422"/>
      <c r="K11" s="421">
        <v>7</v>
      </c>
      <c r="L11" s="422"/>
      <c r="M11" s="54">
        <v>333</v>
      </c>
      <c r="N11" s="54">
        <v>337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120</v>
      </c>
      <c r="D12" s="424"/>
      <c r="E12" s="421">
        <v>0</v>
      </c>
      <c r="F12" s="422"/>
      <c r="G12" s="421">
        <v>0</v>
      </c>
      <c r="H12" s="422"/>
      <c r="I12" s="421">
        <v>302</v>
      </c>
      <c r="J12" s="422"/>
      <c r="K12" s="421">
        <v>0</v>
      </c>
      <c r="L12" s="422"/>
      <c r="M12" s="54">
        <v>266</v>
      </c>
      <c r="N12" s="54">
        <v>292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299</v>
      </c>
      <c r="D13" s="424"/>
      <c r="E13" s="421">
        <v>160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101</v>
      </c>
      <c r="N13" s="54">
        <v>47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171</v>
      </c>
      <c r="D14" s="420"/>
      <c r="E14" s="419">
        <v>7</v>
      </c>
      <c r="F14" s="420"/>
      <c r="G14" s="419">
        <v>13</v>
      </c>
      <c r="H14" s="420"/>
      <c r="I14" s="421">
        <v>150</v>
      </c>
      <c r="J14" s="422"/>
      <c r="K14" s="419">
        <v>0</v>
      </c>
      <c r="L14" s="420"/>
      <c r="M14" s="55">
        <v>139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2687</v>
      </c>
      <c r="P15" s="53">
        <v>2472</v>
      </c>
      <c r="Q15" s="53">
        <v>1791</v>
      </c>
    </row>
    <row r="16" spans="1:18" ht="15" thickBot="1" x14ac:dyDescent="0.35">
      <c r="A16" s="199" t="s">
        <v>20</v>
      </c>
      <c r="B16" s="200"/>
      <c r="C16" s="201">
        <f>SUM(C5:D15)</f>
        <v>14069</v>
      </c>
      <c r="D16" s="202"/>
      <c r="E16" s="201">
        <f>SUM(E5:F15)</f>
        <v>2205</v>
      </c>
      <c r="F16" s="202"/>
      <c r="G16" s="201">
        <f>SUM(G5:H15)</f>
        <v>1846</v>
      </c>
      <c r="H16" s="202"/>
      <c r="I16" s="201">
        <f>SUM(I5:J15)</f>
        <v>3790</v>
      </c>
      <c r="J16" s="202"/>
      <c r="K16" s="201">
        <f>SUM(K5:L15)</f>
        <v>62</v>
      </c>
      <c r="L16" s="202"/>
      <c r="M16" s="4">
        <f>SUM(M5:M15)</f>
        <v>2425</v>
      </c>
      <c r="N16" s="4">
        <f>SUM(N5:N15)</f>
        <v>965</v>
      </c>
      <c r="O16" s="4">
        <f>SUM(O5:O15)</f>
        <v>5647</v>
      </c>
      <c r="P16" s="4">
        <f>SUM(P5:P15)</f>
        <v>5869</v>
      </c>
      <c r="Q16" s="5">
        <f>SUM(Q5:Q15)</f>
        <v>5044</v>
      </c>
    </row>
    <row r="17" spans="1:20" ht="15" thickBot="1" x14ac:dyDescent="0.35">
      <c r="A17" s="190" t="s">
        <v>21</v>
      </c>
      <c r="B17" s="191"/>
      <c r="C17" s="193">
        <v>10666</v>
      </c>
      <c r="D17" s="194"/>
      <c r="E17" s="195">
        <v>1022</v>
      </c>
      <c r="F17" s="196"/>
      <c r="G17" s="195">
        <v>1563</v>
      </c>
      <c r="H17" s="196"/>
      <c r="I17" s="195">
        <v>2289</v>
      </c>
      <c r="J17" s="196"/>
      <c r="K17" s="197">
        <v>0</v>
      </c>
      <c r="L17" s="198"/>
      <c r="M17" s="36">
        <v>642</v>
      </c>
      <c r="N17" s="47">
        <v>70</v>
      </c>
      <c r="O17" s="38">
        <v>2878</v>
      </c>
      <c r="P17" s="53">
        <v>3355</v>
      </c>
      <c r="Q17" s="53">
        <v>3245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527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226</v>
      </c>
      <c r="D25" s="150"/>
      <c r="E25" s="165" t="s">
        <v>532</v>
      </c>
      <c r="F25" s="166"/>
      <c r="G25" s="149">
        <v>0</v>
      </c>
      <c r="H25" s="150"/>
      <c r="I25" s="149">
        <v>71</v>
      </c>
      <c r="J25" s="150"/>
      <c r="K25" s="52">
        <v>0</v>
      </c>
      <c r="N25"/>
      <c r="O25"/>
    </row>
    <row r="26" spans="1:20" x14ac:dyDescent="0.3">
      <c r="A26" s="101" t="s">
        <v>13</v>
      </c>
      <c r="B26" s="102"/>
      <c r="C26" s="149">
        <v>40</v>
      </c>
      <c r="D26" s="150"/>
      <c r="E26" s="165" t="s">
        <v>25</v>
      </c>
      <c r="F26" s="166"/>
      <c r="G26" s="149">
        <v>0</v>
      </c>
      <c r="H26" s="150"/>
      <c r="I26" s="149">
        <v>117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139</v>
      </c>
      <c r="D27" s="150"/>
      <c r="E27" s="165" t="s">
        <v>210</v>
      </c>
      <c r="F27" s="166"/>
      <c r="G27" s="149">
        <v>2</v>
      </c>
      <c r="H27" s="150"/>
      <c r="I27" s="149">
        <v>67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526</v>
      </c>
      <c r="D28" s="166"/>
      <c r="E28" s="165" t="s">
        <v>90</v>
      </c>
      <c r="F28" s="166"/>
      <c r="G28" s="149">
        <v>0</v>
      </c>
      <c r="H28" s="150"/>
      <c r="I28" s="149">
        <v>20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529</v>
      </c>
      <c r="D29" s="184"/>
      <c r="E29" s="165" t="s">
        <v>90</v>
      </c>
      <c r="F29" s="166"/>
      <c r="G29" s="149">
        <v>0</v>
      </c>
      <c r="H29" s="150"/>
      <c r="I29" s="149">
        <v>14</v>
      </c>
      <c r="J29" s="150"/>
      <c r="K29" s="52">
        <v>2</v>
      </c>
      <c r="N29"/>
      <c r="O29" s="58"/>
    </row>
    <row r="30" spans="1:20" x14ac:dyDescent="0.3">
      <c r="A30" s="101" t="s">
        <v>17</v>
      </c>
      <c r="B30" s="102"/>
      <c r="C30" s="152">
        <v>1</v>
      </c>
      <c r="D30" s="153"/>
      <c r="E30" s="149" t="s">
        <v>90</v>
      </c>
      <c r="F30" s="150"/>
      <c r="G30" s="149">
        <v>0</v>
      </c>
      <c r="H30" s="150"/>
      <c r="I30" s="149">
        <v>2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528</v>
      </c>
      <c r="D31" s="153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527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492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534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417</v>
      </c>
      <c r="D40" s="150"/>
      <c r="E40" s="154" t="s">
        <v>355</v>
      </c>
      <c r="F40" s="155"/>
      <c r="G40" s="149">
        <v>6</v>
      </c>
      <c r="H40" s="150"/>
      <c r="I40" s="149" t="s">
        <v>533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511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530</v>
      </c>
      <c r="D42" s="153"/>
      <c r="E42" s="154" t="s">
        <v>531</v>
      </c>
      <c r="F42" s="155"/>
      <c r="G42" s="149">
        <v>0</v>
      </c>
      <c r="H42" s="150"/>
      <c r="I42" s="149" t="s">
        <v>524</v>
      </c>
      <c r="J42" s="150"/>
      <c r="K42" s="52" t="s">
        <v>517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523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505</v>
      </c>
      <c r="D49" s="146"/>
      <c r="E49" s="145" t="s">
        <v>514</v>
      </c>
      <c r="F49" s="146"/>
      <c r="G49" s="145" t="s">
        <v>521</v>
      </c>
      <c r="H49" s="146"/>
      <c r="I49" s="145" t="s">
        <v>527</v>
      </c>
      <c r="J49" s="146"/>
    </row>
    <row r="50" spans="1:11" x14ac:dyDescent="0.3">
      <c r="A50" s="120" t="s">
        <v>30</v>
      </c>
      <c r="B50" s="121"/>
      <c r="C50" s="122">
        <v>12747</v>
      </c>
      <c r="D50" s="123"/>
      <c r="E50" s="122">
        <v>12721</v>
      </c>
      <c r="F50" s="123"/>
      <c r="G50" s="122">
        <v>12658</v>
      </c>
      <c r="H50" s="123"/>
      <c r="I50" s="122">
        <v>12614</v>
      </c>
      <c r="J50" s="123"/>
    </row>
    <row r="51" spans="1:11" x14ac:dyDescent="0.3">
      <c r="A51" s="120" t="s">
        <v>31</v>
      </c>
      <c r="B51" s="121"/>
      <c r="C51" s="122">
        <v>9449</v>
      </c>
      <c r="D51" s="123"/>
      <c r="E51" s="122">
        <v>9488</v>
      </c>
      <c r="F51" s="123"/>
      <c r="G51" s="122">
        <v>9576</v>
      </c>
      <c r="H51" s="123"/>
      <c r="I51" s="122">
        <v>9657</v>
      </c>
      <c r="J51" s="123"/>
    </row>
    <row r="52" spans="1:11" x14ac:dyDescent="0.3">
      <c r="A52" s="120" t="s">
        <v>32</v>
      </c>
      <c r="B52" s="121"/>
      <c r="C52" s="122">
        <v>113424</v>
      </c>
      <c r="D52" s="123"/>
      <c r="E52" s="122">
        <v>113354</v>
      </c>
      <c r="F52" s="123"/>
      <c r="G52" s="122">
        <v>113325</v>
      </c>
      <c r="H52" s="123"/>
      <c r="I52" s="122">
        <v>113282</v>
      </c>
      <c r="J52" s="123"/>
    </row>
    <row r="53" spans="1:11" x14ac:dyDescent="0.3">
      <c r="A53" s="120" t="s">
        <v>33</v>
      </c>
      <c r="B53" s="121"/>
      <c r="C53" s="103">
        <v>240</v>
      </c>
      <c r="D53" s="104"/>
      <c r="E53" s="103">
        <v>240</v>
      </c>
      <c r="F53" s="104"/>
      <c r="G53" s="103">
        <v>240</v>
      </c>
      <c r="H53" s="104"/>
      <c r="I53" s="103">
        <v>240</v>
      </c>
      <c r="J53" s="104"/>
    </row>
    <row r="54" spans="1:11" x14ac:dyDescent="0.3">
      <c r="A54" s="120" t="s">
        <v>34</v>
      </c>
      <c r="B54" s="121"/>
      <c r="C54" s="122">
        <v>50082</v>
      </c>
      <c r="D54" s="123"/>
      <c r="E54" s="122">
        <v>50055</v>
      </c>
      <c r="F54" s="123"/>
      <c r="G54" s="122">
        <v>50073</v>
      </c>
      <c r="H54" s="123"/>
      <c r="I54" s="122">
        <v>50031</v>
      </c>
      <c r="J54" s="123"/>
    </row>
    <row r="55" spans="1:11" x14ac:dyDescent="0.3">
      <c r="A55" s="120" t="s">
        <v>53</v>
      </c>
      <c r="B55" s="121"/>
      <c r="C55" s="103">
        <v>17463</v>
      </c>
      <c r="D55" s="104"/>
      <c r="E55" s="103">
        <v>4390</v>
      </c>
      <c r="F55" s="104"/>
      <c r="G55" s="103">
        <v>4383</v>
      </c>
      <c r="H55" s="104"/>
      <c r="I55" s="103">
        <v>4377</v>
      </c>
      <c r="J55" s="104"/>
    </row>
    <row r="56" spans="1:11" x14ac:dyDescent="0.3">
      <c r="A56" s="120" t="s">
        <v>49</v>
      </c>
      <c r="B56" s="121"/>
      <c r="C56" s="122">
        <v>4404</v>
      </c>
      <c r="D56" s="123"/>
      <c r="E56" s="122">
        <v>17852</v>
      </c>
      <c r="F56" s="123"/>
      <c r="G56" s="122">
        <v>18223</v>
      </c>
      <c r="H56" s="123"/>
      <c r="I56" s="122">
        <v>18473</v>
      </c>
      <c r="J56" s="123"/>
      <c r="K56" s="51"/>
    </row>
    <row r="57" spans="1:11" x14ac:dyDescent="0.3">
      <c r="A57" s="120" t="s">
        <v>35</v>
      </c>
      <c r="B57" s="121"/>
      <c r="C57" s="103">
        <v>2739</v>
      </c>
      <c r="D57" s="104"/>
      <c r="E57" s="103">
        <v>2747</v>
      </c>
      <c r="F57" s="104"/>
      <c r="G57" s="103">
        <v>2753</v>
      </c>
      <c r="H57" s="104"/>
      <c r="I57" s="103">
        <v>2762</v>
      </c>
      <c r="J57" s="104"/>
    </row>
    <row r="58" spans="1:11" x14ac:dyDescent="0.3">
      <c r="A58" s="120" t="s">
        <v>36</v>
      </c>
      <c r="B58" s="121"/>
      <c r="C58" s="122">
        <f>SUM(C50:D57)</f>
        <v>210548</v>
      </c>
      <c r="D58" s="123"/>
      <c r="E58" s="122">
        <f>SUM(E50:F57)</f>
        <v>210847</v>
      </c>
      <c r="F58" s="123"/>
      <c r="G58" s="122">
        <f>SUM(G50:H57)</f>
        <v>211231</v>
      </c>
      <c r="H58" s="123"/>
      <c r="I58" s="122">
        <f>SUM(I50:J57)</f>
        <v>211436</v>
      </c>
      <c r="J58" s="123"/>
    </row>
    <row r="60" spans="1:11" x14ac:dyDescent="0.3">
      <c r="A60" s="124" t="s">
        <v>37</v>
      </c>
      <c r="B60" s="125"/>
      <c r="C60" s="130" t="s">
        <v>505</v>
      </c>
      <c r="D60" s="131"/>
      <c r="E60" s="130" t="s">
        <v>514</v>
      </c>
      <c r="F60" s="131"/>
      <c r="G60" s="130" t="s">
        <v>521</v>
      </c>
      <c r="H60" s="131"/>
      <c r="I60" s="130" t="s">
        <v>527</v>
      </c>
      <c r="J60" s="131"/>
    </row>
    <row r="61" spans="1:11" x14ac:dyDescent="0.3">
      <c r="A61" s="126"/>
      <c r="B61" s="127"/>
      <c r="C61" s="132">
        <v>138719</v>
      </c>
      <c r="D61" s="133"/>
      <c r="E61" s="132">
        <v>138868</v>
      </c>
      <c r="F61" s="133"/>
      <c r="G61" s="132">
        <v>139036</v>
      </c>
      <c r="H61" s="133"/>
      <c r="I61" s="132">
        <v>139196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402</v>
      </c>
      <c r="D66" s="115"/>
      <c r="E66" s="114" t="s">
        <v>435</v>
      </c>
      <c r="F66" s="115"/>
      <c r="G66" s="114" t="s">
        <v>465</v>
      </c>
      <c r="H66" s="115"/>
      <c r="I66" s="114" t="s">
        <v>509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28575</v>
      </c>
      <c r="D69" s="104"/>
      <c r="E69" s="103">
        <v>28847</v>
      </c>
      <c r="F69" s="104"/>
      <c r="G69" s="103">
        <v>29171</v>
      </c>
      <c r="H69" s="104"/>
      <c r="I69" s="103">
        <v>29615</v>
      </c>
      <c r="J69" s="104"/>
    </row>
    <row r="70" spans="1:10" x14ac:dyDescent="0.3">
      <c r="A70" s="101" t="s">
        <v>13</v>
      </c>
      <c r="B70" s="102"/>
      <c r="C70" s="103">
        <v>6940</v>
      </c>
      <c r="D70" s="104"/>
      <c r="E70" s="103">
        <v>6964</v>
      </c>
      <c r="F70" s="104"/>
      <c r="G70" s="103">
        <v>6989</v>
      </c>
      <c r="H70" s="104"/>
      <c r="I70" s="103">
        <v>7028</v>
      </c>
      <c r="J70" s="104"/>
    </row>
    <row r="71" spans="1:10" x14ac:dyDescent="0.3">
      <c r="A71" s="107" t="s">
        <v>14</v>
      </c>
      <c r="B71" s="108"/>
      <c r="C71" s="103">
        <v>6008</v>
      </c>
      <c r="D71" s="104"/>
      <c r="E71" s="103">
        <v>6082</v>
      </c>
      <c r="F71" s="104"/>
      <c r="G71" s="103">
        <v>6128</v>
      </c>
      <c r="H71" s="104"/>
      <c r="I71" s="103">
        <v>6175</v>
      </c>
      <c r="J71" s="104"/>
    </row>
    <row r="72" spans="1:10" x14ac:dyDescent="0.3">
      <c r="A72" s="107" t="s">
        <v>41</v>
      </c>
      <c r="B72" s="108"/>
      <c r="C72" s="103">
        <v>1349</v>
      </c>
      <c r="D72" s="104"/>
      <c r="E72" s="103">
        <v>1362</v>
      </c>
      <c r="F72" s="104"/>
      <c r="G72" s="103">
        <v>1391</v>
      </c>
      <c r="H72" s="104"/>
      <c r="I72" s="103">
        <v>1420</v>
      </c>
      <c r="J72" s="104"/>
    </row>
    <row r="73" spans="1:10" x14ac:dyDescent="0.3">
      <c r="A73" s="101" t="s">
        <v>15</v>
      </c>
      <c r="B73" s="102"/>
      <c r="C73" s="103">
        <v>4391</v>
      </c>
      <c r="D73" s="104"/>
      <c r="E73" s="103">
        <v>4462</v>
      </c>
      <c r="F73" s="104"/>
      <c r="G73" s="103">
        <v>4555</v>
      </c>
      <c r="H73" s="104"/>
      <c r="I73" s="103">
        <v>4623</v>
      </c>
      <c r="J73" s="104"/>
    </row>
    <row r="74" spans="1:10" x14ac:dyDescent="0.3">
      <c r="A74" s="107" t="s">
        <v>16</v>
      </c>
      <c r="B74" s="108"/>
      <c r="C74" s="103">
        <v>4707</v>
      </c>
      <c r="D74" s="104"/>
      <c r="E74" s="103">
        <v>4736</v>
      </c>
      <c r="F74" s="104"/>
      <c r="G74" s="103">
        <v>4774</v>
      </c>
      <c r="H74" s="104"/>
      <c r="I74" s="103">
        <v>4824</v>
      </c>
      <c r="J74" s="104"/>
    </row>
    <row r="75" spans="1:10" x14ac:dyDescent="0.3">
      <c r="A75" s="101" t="s">
        <v>17</v>
      </c>
      <c r="B75" s="102"/>
      <c r="C75" s="103">
        <v>6987</v>
      </c>
      <c r="D75" s="104"/>
      <c r="E75" s="103">
        <v>7119</v>
      </c>
      <c r="F75" s="104"/>
      <c r="G75" s="103">
        <v>7241</v>
      </c>
      <c r="H75" s="104"/>
      <c r="I75" s="103">
        <v>7361</v>
      </c>
      <c r="J75" s="104"/>
    </row>
    <row r="76" spans="1:10" x14ac:dyDescent="0.3">
      <c r="A76" s="107" t="s">
        <v>18</v>
      </c>
      <c r="B76" s="108"/>
      <c r="C76" s="103">
        <v>1514</v>
      </c>
      <c r="D76" s="104"/>
      <c r="E76" s="103">
        <v>1536</v>
      </c>
      <c r="F76" s="104"/>
      <c r="G76" s="103">
        <v>1553</v>
      </c>
      <c r="H76" s="104"/>
      <c r="I76" s="103">
        <v>1582</v>
      </c>
      <c r="J76" s="104"/>
    </row>
    <row r="77" spans="1:10" x14ac:dyDescent="0.3">
      <c r="A77" s="101" t="s">
        <v>19</v>
      </c>
      <c r="B77" s="102"/>
      <c r="C77" s="103">
        <v>5510</v>
      </c>
      <c r="D77" s="104"/>
      <c r="E77" s="103">
        <v>5598</v>
      </c>
      <c r="F77" s="104"/>
      <c r="G77" s="103">
        <v>5711</v>
      </c>
      <c r="H77" s="104"/>
      <c r="I77" s="103">
        <v>5778</v>
      </c>
      <c r="J77" s="104"/>
    </row>
    <row r="78" spans="1:10" x14ac:dyDescent="0.3">
      <c r="A78" s="105" t="s">
        <v>42</v>
      </c>
      <c r="B78" s="106"/>
      <c r="C78" s="103">
        <f>SUM(C69:C77)</f>
        <v>65981</v>
      </c>
      <c r="D78" s="104"/>
      <c r="E78" s="103">
        <f>SUM(E69:E77)</f>
        <v>66706</v>
      </c>
      <c r="F78" s="104"/>
      <c r="G78" s="103">
        <f>SUM(G69:G77)</f>
        <v>67513</v>
      </c>
      <c r="H78" s="104"/>
      <c r="I78" s="103">
        <f>SUM(I69:I77)</f>
        <v>68406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ht="15" thickBot="1" x14ac:dyDescent="0.35">
      <c r="A4" s="105" t="s">
        <v>9</v>
      </c>
      <c r="B4" s="106"/>
      <c r="C4" s="230" t="s">
        <v>535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3">
        <v>10416</v>
      </c>
      <c r="D5" s="194"/>
      <c r="E5" s="195">
        <v>1022</v>
      </c>
      <c r="F5" s="196"/>
      <c r="G5" s="195">
        <v>1562</v>
      </c>
      <c r="H5" s="196"/>
      <c r="I5" s="195">
        <v>2109</v>
      </c>
      <c r="J5" s="196"/>
      <c r="K5" s="216">
        <v>0</v>
      </c>
      <c r="L5" s="217"/>
      <c r="M5" s="56">
        <v>472</v>
      </c>
      <c r="N5" s="53">
        <v>2060</v>
      </c>
      <c r="O5" s="38">
        <v>1988</v>
      </c>
      <c r="P5" s="53">
        <v>2855</v>
      </c>
      <c r="Q5" s="53">
        <v>2613</v>
      </c>
    </row>
    <row r="6" spans="1:18" ht="13.5" customHeight="1" x14ac:dyDescent="0.3">
      <c r="A6" s="211" t="s">
        <v>11</v>
      </c>
      <c r="B6" s="212"/>
      <c r="C6" s="213">
        <v>1518</v>
      </c>
      <c r="D6" s="214"/>
      <c r="E6" s="213">
        <v>26</v>
      </c>
      <c r="F6" s="214"/>
      <c r="G6" s="213">
        <v>1</v>
      </c>
      <c r="H6" s="214"/>
      <c r="I6" s="213">
        <v>0</v>
      </c>
      <c r="J6" s="214"/>
      <c r="K6" s="213">
        <v>0</v>
      </c>
      <c r="L6" s="214"/>
      <c r="M6" s="53">
        <v>7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339</v>
      </c>
      <c r="D7" s="422"/>
      <c r="E7" s="421">
        <v>338</v>
      </c>
      <c r="F7" s="422"/>
      <c r="G7" s="421">
        <v>204</v>
      </c>
      <c r="H7" s="422"/>
      <c r="I7" s="421">
        <v>408</v>
      </c>
      <c r="J7" s="422"/>
      <c r="K7" s="421">
        <v>37</v>
      </c>
      <c r="L7" s="422"/>
      <c r="M7" s="54">
        <v>423</v>
      </c>
      <c r="N7" s="54">
        <v>55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215</v>
      </c>
      <c r="D8" s="422"/>
      <c r="E8" s="421">
        <v>197</v>
      </c>
      <c r="F8" s="422"/>
      <c r="G8" s="421">
        <v>0</v>
      </c>
      <c r="H8" s="422"/>
      <c r="I8" s="421">
        <v>174</v>
      </c>
      <c r="J8" s="422"/>
      <c r="K8" s="421">
        <v>0</v>
      </c>
      <c r="L8" s="422"/>
      <c r="M8" s="54">
        <v>105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450</v>
      </c>
      <c r="D9" s="422"/>
      <c r="E9" s="421">
        <v>8</v>
      </c>
      <c r="F9" s="422"/>
      <c r="G9" s="421">
        <v>0</v>
      </c>
      <c r="H9" s="422"/>
      <c r="I9" s="421">
        <v>404</v>
      </c>
      <c r="J9" s="422"/>
      <c r="K9" s="421">
        <v>16</v>
      </c>
      <c r="L9" s="422"/>
      <c r="M9" s="54">
        <v>393</v>
      </c>
      <c r="N9" s="54">
        <v>75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350</v>
      </c>
      <c r="D10" s="422"/>
      <c r="E10" s="421">
        <v>289</v>
      </c>
      <c r="F10" s="422"/>
      <c r="G10" s="421">
        <v>29</v>
      </c>
      <c r="H10" s="422"/>
      <c r="I10" s="421">
        <v>41</v>
      </c>
      <c r="J10" s="422"/>
      <c r="K10" s="421">
        <v>0</v>
      </c>
      <c r="L10" s="422"/>
      <c r="M10" s="54">
        <v>153</v>
      </c>
      <c r="N10" s="54">
        <v>95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452</v>
      </c>
      <c r="D11" s="424"/>
      <c r="E11" s="421">
        <v>100</v>
      </c>
      <c r="F11" s="422"/>
      <c r="G11" s="421">
        <v>0</v>
      </c>
      <c r="H11" s="422"/>
      <c r="I11" s="421">
        <v>55</v>
      </c>
      <c r="J11" s="422"/>
      <c r="K11" s="421">
        <v>7</v>
      </c>
      <c r="L11" s="422"/>
      <c r="M11" s="54">
        <v>329</v>
      </c>
      <c r="N11" s="54">
        <v>331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80</v>
      </c>
      <c r="D12" s="424"/>
      <c r="E12" s="421">
        <v>0</v>
      </c>
      <c r="F12" s="422"/>
      <c r="G12" s="421">
        <v>0</v>
      </c>
      <c r="H12" s="422"/>
      <c r="I12" s="421">
        <v>217</v>
      </c>
      <c r="J12" s="422"/>
      <c r="K12" s="421">
        <v>0</v>
      </c>
      <c r="L12" s="422"/>
      <c r="M12" s="54">
        <v>220</v>
      </c>
      <c r="N12" s="54">
        <v>252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295</v>
      </c>
      <c r="D13" s="424"/>
      <c r="E13" s="421">
        <v>140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98</v>
      </c>
      <c r="N13" s="54">
        <v>45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330</v>
      </c>
      <c r="D14" s="420"/>
      <c r="E14" s="419">
        <v>7</v>
      </c>
      <c r="F14" s="420"/>
      <c r="G14" s="419">
        <v>13</v>
      </c>
      <c r="H14" s="420"/>
      <c r="I14" s="421">
        <v>265</v>
      </c>
      <c r="J14" s="422"/>
      <c r="K14" s="419">
        <v>0</v>
      </c>
      <c r="L14" s="420"/>
      <c r="M14" s="55">
        <v>210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2679</v>
      </c>
      <c r="P15" s="53">
        <v>2565</v>
      </c>
      <c r="Q15" s="53">
        <v>1994</v>
      </c>
    </row>
    <row r="16" spans="1:18" ht="15" thickBot="1" x14ac:dyDescent="0.35">
      <c r="A16" s="199" t="s">
        <v>20</v>
      </c>
      <c r="B16" s="200"/>
      <c r="C16" s="201">
        <f>SUM(C5:D15)</f>
        <v>14445</v>
      </c>
      <c r="D16" s="202"/>
      <c r="E16" s="201">
        <f>SUM(E5:F15)</f>
        <v>2127</v>
      </c>
      <c r="F16" s="202"/>
      <c r="G16" s="201">
        <f>SUM(G5:H15)</f>
        <v>1809</v>
      </c>
      <c r="H16" s="202"/>
      <c r="I16" s="201">
        <f>SUM(I5:J15)</f>
        <v>3674</v>
      </c>
      <c r="J16" s="202"/>
      <c r="K16" s="201">
        <f>SUM(K5:L15)</f>
        <v>60</v>
      </c>
      <c r="L16" s="202"/>
      <c r="M16" s="4">
        <f>SUM(M5:M15)</f>
        <v>2410</v>
      </c>
      <c r="N16" s="4">
        <f>SUM(N5:N15)</f>
        <v>2937</v>
      </c>
      <c r="O16" s="4">
        <f>SUM(O5:O15)</f>
        <v>4749</v>
      </c>
      <c r="P16" s="4">
        <f>SUM(P5:P15)</f>
        <v>5462</v>
      </c>
      <c r="Q16" s="5">
        <f>SUM(Q5:Q15)</f>
        <v>4615</v>
      </c>
    </row>
    <row r="17" spans="1:20" ht="15" thickBot="1" x14ac:dyDescent="0.35">
      <c r="A17" s="190" t="s">
        <v>21</v>
      </c>
      <c r="B17" s="191"/>
      <c r="C17" s="193">
        <v>10416</v>
      </c>
      <c r="D17" s="194"/>
      <c r="E17" s="195">
        <v>1022</v>
      </c>
      <c r="F17" s="196"/>
      <c r="G17" s="195">
        <v>1562</v>
      </c>
      <c r="H17" s="196"/>
      <c r="I17" s="195">
        <v>2073</v>
      </c>
      <c r="J17" s="196"/>
      <c r="K17" s="197">
        <v>0</v>
      </c>
      <c r="L17" s="198"/>
      <c r="M17" s="36">
        <v>472</v>
      </c>
      <c r="N17" s="47">
        <v>2060</v>
      </c>
      <c r="O17" s="56">
        <v>2679</v>
      </c>
      <c r="P17" s="53">
        <v>2565</v>
      </c>
      <c r="Q17" s="53">
        <v>1994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535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230</v>
      </c>
      <c r="D25" s="150"/>
      <c r="E25" s="165" t="s">
        <v>542</v>
      </c>
      <c r="F25" s="166"/>
      <c r="G25" s="149">
        <v>0</v>
      </c>
      <c r="H25" s="150"/>
      <c r="I25" s="149">
        <v>21</v>
      </c>
      <c r="J25" s="150"/>
      <c r="K25" s="52">
        <v>0</v>
      </c>
      <c r="N25"/>
      <c r="O25"/>
    </row>
    <row r="26" spans="1:20" x14ac:dyDescent="0.3">
      <c r="A26" s="101" t="s">
        <v>13</v>
      </c>
      <c r="B26" s="102"/>
      <c r="C26" s="149">
        <v>46</v>
      </c>
      <c r="D26" s="150"/>
      <c r="E26" s="165" t="s">
        <v>25</v>
      </c>
      <c r="F26" s="166"/>
      <c r="G26" s="149">
        <v>0</v>
      </c>
      <c r="H26" s="150"/>
      <c r="I26" s="149">
        <v>118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159</v>
      </c>
      <c r="D27" s="150"/>
      <c r="E27" s="165" t="s">
        <v>540</v>
      </c>
      <c r="F27" s="166"/>
      <c r="G27" s="149">
        <v>2</v>
      </c>
      <c r="H27" s="150"/>
      <c r="I27" s="149">
        <v>72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545</v>
      </c>
      <c r="D28" s="166"/>
      <c r="E28" s="165" t="s">
        <v>90</v>
      </c>
      <c r="F28" s="166"/>
      <c r="G28" s="149">
        <v>0</v>
      </c>
      <c r="H28" s="150"/>
      <c r="I28" s="149">
        <v>22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14</v>
      </c>
      <c r="J29" s="150"/>
      <c r="K29" s="52">
        <v>2</v>
      </c>
      <c r="N29"/>
      <c r="O29" s="58"/>
    </row>
    <row r="30" spans="1:20" x14ac:dyDescent="0.3">
      <c r="A30" s="101" t="s">
        <v>17</v>
      </c>
      <c r="B30" s="102"/>
      <c r="C30" s="152">
        <v>2</v>
      </c>
      <c r="D30" s="153"/>
      <c r="E30" s="149" t="s">
        <v>90</v>
      </c>
      <c r="F30" s="150"/>
      <c r="G30" s="149">
        <v>0</v>
      </c>
      <c r="H30" s="150"/>
      <c r="I30" s="149">
        <v>1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538</v>
      </c>
      <c r="D31" s="153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535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543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544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176</v>
      </c>
      <c r="D40" s="150"/>
      <c r="E40" s="154" t="s">
        <v>541</v>
      </c>
      <c r="F40" s="155"/>
      <c r="G40" s="149">
        <v>6</v>
      </c>
      <c r="H40" s="150"/>
      <c r="I40" s="149" t="s">
        <v>277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546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530</v>
      </c>
      <c r="D42" s="153"/>
      <c r="E42" s="154" t="s">
        <v>531</v>
      </c>
      <c r="F42" s="155"/>
      <c r="G42" s="149">
        <v>0</v>
      </c>
      <c r="H42" s="150"/>
      <c r="I42" s="149" t="s">
        <v>537</v>
      </c>
      <c r="J42" s="150"/>
      <c r="K42" s="52" t="s">
        <v>517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539</v>
      </c>
      <c r="F44" s="150"/>
      <c r="G44" s="149">
        <v>0</v>
      </c>
      <c r="H44" s="150"/>
      <c r="I44" s="149">
        <v>4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514</v>
      </c>
      <c r="D49" s="146"/>
      <c r="E49" s="145" t="s">
        <v>521</v>
      </c>
      <c r="F49" s="146"/>
      <c r="G49" s="145" t="s">
        <v>527</v>
      </c>
      <c r="H49" s="146"/>
      <c r="I49" s="145" t="s">
        <v>535</v>
      </c>
      <c r="J49" s="146"/>
    </row>
    <row r="50" spans="1:11" x14ac:dyDescent="0.3">
      <c r="A50" s="120" t="s">
        <v>30</v>
      </c>
      <c r="B50" s="121"/>
      <c r="C50" s="122">
        <v>12721</v>
      </c>
      <c r="D50" s="123"/>
      <c r="E50" s="122">
        <v>12658</v>
      </c>
      <c r="F50" s="123"/>
      <c r="G50" s="122">
        <v>12614</v>
      </c>
      <c r="H50" s="123"/>
      <c r="I50" s="122">
        <v>12556</v>
      </c>
      <c r="J50" s="123"/>
    </row>
    <row r="51" spans="1:11" x14ac:dyDescent="0.3">
      <c r="A51" s="120" t="s">
        <v>31</v>
      </c>
      <c r="B51" s="121"/>
      <c r="C51" s="122">
        <v>9488</v>
      </c>
      <c r="D51" s="123"/>
      <c r="E51" s="122">
        <v>9576</v>
      </c>
      <c r="F51" s="123"/>
      <c r="G51" s="122">
        <v>9657</v>
      </c>
      <c r="H51" s="123"/>
      <c r="I51" s="122">
        <v>9760</v>
      </c>
      <c r="J51" s="123"/>
    </row>
    <row r="52" spans="1:11" x14ac:dyDescent="0.3">
      <c r="A52" s="120" t="s">
        <v>32</v>
      </c>
      <c r="B52" s="121"/>
      <c r="C52" s="122">
        <v>113354</v>
      </c>
      <c r="D52" s="123"/>
      <c r="E52" s="122">
        <v>113325</v>
      </c>
      <c r="F52" s="123"/>
      <c r="G52" s="122">
        <v>113282</v>
      </c>
      <c r="H52" s="123"/>
      <c r="I52" s="122">
        <v>113154</v>
      </c>
      <c r="J52" s="123"/>
    </row>
    <row r="53" spans="1:11" x14ac:dyDescent="0.3">
      <c r="A53" s="120" t="s">
        <v>33</v>
      </c>
      <c r="B53" s="121"/>
      <c r="C53" s="103">
        <v>240</v>
      </c>
      <c r="D53" s="104"/>
      <c r="E53" s="103">
        <v>240</v>
      </c>
      <c r="F53" s="104"/>
      <c r="G53" s="103">
        <v>240</v>
      </c>
      <c r="H53" s="104"/>
      <c r="I53" s="103">
        <v>240</v>
      </c>
      <c r="J53" s="104"/>
    </row>
    <row r="54" spans="1:11" x14ac:dyDescent="0.3">
      <c r="A54" s="120" t="s">
        <v>34</v>
      </c>
      <c r="B54" s="121"/>
      <c r="C54" s="122">
        <v>50055</v>
      </c>
      <c r="D54" s="123"/>
      <c r="E54" s="122">
        <v>50073</v>
      </c>
      <c r="F54" s="123"/>
      <c r="G54" s="122">
        <v>50031</v>
      </c>
      <c r="H54" s="123"/>
      <c r="I54" s="122">
        <v>49983</v>
      </c>
      <c r="J54" s="123"/>
    </row>
    <row r="55" spans="1:11" x14ac:dyDescent="0.3">
      <c r="A55" s="120" t="s">
        <v>53</v>
      </c>
      <c r="B55" s="121"/>
      <c r="C55" s="103">
        <v>4390</v>
      </c>
      <c r="D55" s="104"/>
      <c r="E55" s="103">
        <v>4383</v>
      </c>
      <c r="F55" s="104"/>
      <c r="G55" s="103">
        <v>4377</v>
      </c>
      <c r="H55" s="104"/>
      <c r="I55" s="103">
        <v>4376</v>
      </c>
      <c r="J55" s="104"/>
    </row>
    <row r="56" spans="1:11" x14ac:dyDescent="0.3">
      <c r="A56" s="120" t="s">
        <v>49</v>
      </c>
      <c r="B56" s="121"/>
      <c r="C56" s="122">
        <v>17852</v>
      </c>
      <c r="D56" s="123"/>
      <c r="E56" s="122">
        <v>18223</v>
      </c>
      <c r="F56" s="123"/>
      <c r="G56" s="122">
        <v>18473</v>
      </c>
      <c r="H56" s="123"/>
      <c r="I56" s="122">
        <v>18880</v>
      </c>
      <c r="J56" s="123"/>
      <c r="K56" s="51"/>
    </row>
    <row r="57" spans="1:11" x14ac:dyDescent="0.3">
      <c r="A57" s="120" t="s">
        <v>35</v>
      </c>
      <c r="B57" s="121"/>
      <c r="C57" s="103">
        <v>2747</v>
      </c>
      <c r="D57" s="104"/>
      <c r="E57" s="103">
        <v>2753</v>
      </c>
      <c r="F57" s="104"/>
      <c r="G57" s="103">
        <v>2762</v>
      </c>
      <c r="H57" s="104"/>
      <c r="I57" s="103">
        <v>2765</v>
      </c>
      <c r="J57" s="104"/>
    </row>
    <row r="58" spans="1:11" x14ac:dyDescent="0.3">
      <c r="A58" s="120" t="s">
        <v>36</v>
      </c>
      <c r="B58" s="121"/>
      <c r="C58" s="122">
        <f>SUM(C50:D57)</f>
        <v>210847</v>
      </c>
      <c r="D58" s="123"/>
      <c r="E58" s="122">
        <f>SUM(E50:F57)</f>
        <v>211231</v>
      </c>
      <c r="F58" s="123"/>
      <c r="G58" s="122">
        <f>SUM(G50:H57)</f>
        <v>211436</v>
      </c>
      <c r="H58" s="123"/>
      <c r="I58" s="122">
        <f>SUM(I50:J57)</f>
        <v>211714</v>
      </c>
      <c r="J58" s="123"/>
    </row>
    <row r="60" spans="1:11" x14ac:dyDescent="0.3">
      <c r="A60" s="124" t="s">
        <v>37</v>
      </c>
      <c r="B60" s="125"/>
      <c r="C60" s="130" t="s">
        <v>514</v>
      </c>
      <c r="D60" s="131"/>
      <c r="E60" s="130" t="s">
        <v>521</v>
      </c>
      <c r="F60" s="131"/>
      <c r="G60" s="130" t="s">
        <v>527</v>
      </c>
      <c r="H60" s="131"/>
      <c r="I60" s="130" t="s">
        <v>535</v>
      </c>
      <c r="J60" s="131"/>
    </row>
    <row r="61" spans="1:11" x14ac:dyDescent="0.3">
      <c r="A61" s="126"/>
      <c r="B61" s="127"/>
      <c r="C61" s="132">
        <v>138868</v>
      </c>
      <c r="D61" s="133"/>
      <c r="E61" s="132">
        <v>139036</v>
      </c>
      <c r="F61" s="133"/>
      <c r="G61" s="132">
        <v>139196</v>
      </c>
      <c r="H61" s="133"/>
      <c r="I61" s="132">
        <v>139396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402</v>
      </c>
      <c r="D66" s="115"/>
      <c r="E66" s="114" t="s">
        <v>435</v>
      </c>
      <c r="F66" s="115"/>
      <c r="G66" s="114" t="s">
        <v>465</v>
      </c>
      <c r="H66" s="115"/>
      <c r="I66" s="114" t="s">
        <v>509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28575</v>
      </c>
      <c r="D69" s="104"/>
      <c r="E69" s="103">
        <v>28847</v>
      </c>
      <c r="F69" s="104"/>
      <c r="G69" s="103">
        <v>29171</v>
      </c>
      <c r="H69" s="104"/>
      <c r="I69" s="103">
        <v>29615</v>
      </c>
      <c r="J69" s="104"/>
    </row>
    <row r="70" spans="1:10" x14ac:dyDescent="0.3">
      <c r="A70" s="101" t="s">
        <v>13</v>
      </c>
      <c r="B70" s="102"/>
      <c r="C70" s="103">
        <v>6940</v>
      </c>
      <c r="D70" s="104"/>
      <c r="E70" s="103">
        <v>6964</v>
      </c>
      <c r="F70" s="104"/>
      <c r="G70" s="103">
        <v>6989</v>
      </c>
      <c r="H70" s="104"/>
      <c r="I70" s="103">
        <v>7028</v>
      </c>
      <c r="J70" s="104"/>
    </row>
    <row r="71" spans="1:10" x14ac:dyDescent="0.3">
      <c r="A71" s="107" t="s">
        <v>14</v>
      </c>
      <c r="B71" s="108"/>
      <c r="C71" s="103">
        <v>6008</v>
      </c>
      <c r="D71" s="104"/>
      <c r="E71" s="103">
        <v>6082</v>
      </c>
      <c r="F71" s="104"/>
      <c r="G71" s="103">
        <v>6128</v>
      </c>
      <c r="H71" s="104"/>
      <c r="I71" s="103">
        <v>6175</v>
      </c>
      <c r="J71" s="104"/>
    </row>
    <row r="72" spans="1:10" x14ac:dyDescent="0.3">
      <c r="A72" s="107" t="s">
        <v>41</v>
      </c>
      <c r="B72" s="108"/>
      <c r="C72" s="103">
        <v>1349</v>
      </c>
      <c r="D72" s="104"/>
      <c r="E72" s="103">
        <v>1362</v>
      </c>
      <c r="F72" s="104"/>
      <c r="G72" s="103">
        <v>1391</v>
      </c>
      <c r="H72" s="104"/>
      <c r="I72" s="103">
        <v>1420</v>
      </c>
      <c r="J72" s="104"/>
    </row>
    <row r="73" spans="1:10" x14ac:dyDescent="0.3">
      <c r="A73" s="101" t="s">
        <v>15</v>
      </c>
      <c r="B73" s="102"/>
      <c r="C73" s="103">
        <v>4391</v>
      </c>
      <c r="D73" s="104"/>
      <c r="E73" s="103">
        <v>4462</v>
      </c>
      <c r="F73" s="104"/>
      <c r="G73" s="103">
        <v>4555</v>
      </c>
      <c r="H73" s="104"/>
      <c r="I73" s="103">
        <v>4623</v>
      </c>
      <c r="J73" s="104"/>
    </row>
    <row r="74" spans="1:10" x14ac:dyDescent="0.3">
      <c r="A74" s="107" t="s">
        <v>16</v>
      </c>
      <c r="B74" s="108"/>
      <c r="C74" s="103">
        <v>4707</v>
      </c>
      <c r="D74" s="104"/>
      <c r="E74" s="103">
        <v>4736</v>
      </c>
      <c r="F74" s="104"/>
      <c r="G74" s="103">
        <v>4774</v>
      </c>
      <c r="H74" s="104"/>
      <c r="I74" s="103">
        <v>4824</v>
      </c>
      <c r="J74" s="104"/>
    </row>
    <row r="75" spans="1:10" x14ac:dyDescent="0.3">
      <c r="A75" s="101" t="s">
        <v>17</v>
      </c>
      <c r="B75" s="102"/>
      <c r="C75" s="103">
        <v>6987</v>
      </c>
      <c r="D75" s="104"/>
      <c r="E75" s="103">
        <v>7119</v>
      </c>
      <c r="F75" s="104"/>
      <c r="G75" s="103">
        <v>7241</v>
      </c>
      <c r="H75" s="104"/>
      <c r="I75" s="103">
        <v>7361</v>
      </c>
      <c r="J75" s="104"/>
    </row>
    <row r="76" spans="1:10" x14ac:dyDescent="0.3">
      <c r="A76" s="107" t="s">
        <v>18</v>
      </c>
      <c r="B76" s="108"/>
      <c r="C76" s="103">
        <v>1514</v>
      </c>
      <c r="D76" s="104"/>
      <c r="E76" s="103">
        <v>1536</v>
      </c>
      <c r="F76" s="104"/>
      <c r="G76" s="103">
        <v>1553</v>
      </c>
      <c r="H76" s="104"/>
      <c r="I76" s="103">
        <v>1582</v>
      </c>
      <c r="J76" s="104"/>
    </row>
    <row r="77" spans="1:10" x14ac:dyDescent="0.3">
      <c r="A77" s="101" t="s">
        <v>19</v>
      </c>
      <c r="B77" s="102"/>
      <c r="C77" s="103">
        <v>5510</v>
      </c>
      <c r="D77" s="104"/>
      <c r="E77" s="103">
        <v>5598</v>
      </c>
      <c r="F77" s="104"/>
      <c r="G77" s="103">
        <v>5711</v>
      </c>
      <c r="H77" s="104"/>
      <c r="I77" s="103">
        <v>5778</v>
      </c>
      <c r="J77" s="104"/>
    </row>
    <row r="78" spans="1:10" x14ac:dyDescent="0.3">
      <c r="A78" s="105" t="s">
        <v>42</v>
      </c>
      <c r="B78" s="106"/>
      <c r="C78" s="103">
        <f>SUM(C69:C77)</f>
        <v>65981</v>
      </c>
      <c r="D78" s="104"/>
      <c r="E78" s="103">
        <f>SUM(E69:E77)</f>
        <v>66706</v>
      </c>
      <c r="F78" s="104"/>
      <c r="G78" s="103">
        <f>SUM(G69:G77)</f>
        <v>67513</v>
      </c>
      <c r="H78" s="104"/>
      <c r="I78" s="103">
        <f>SUM(I69:I77)</f>
        <v>68406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78"/>
  <sheetViews>
    <sheetView workbookViewId="0">
      <selection sqref="A1:XFD104857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ht="15" thickBot="1" x14ac:dyDescent="0.35">
      <c r="A4" s="105" t="s">
        <v>9</v>
      </c>
      <c r="B4" s="106"/>
      <c r="C4" s="230" t="s">
        <v>547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3">
        <v>10416</v>
      </c>
      <c r="D5" s="194"/>
      <c r="E5" s="195">
        <v>1022</v>
      </c>
      <c r="F5" s="196"/>
      <c r="G5" s="195">
        <v>1562</v>
      </c>
      <c r="H5" s="196"/>
      <c r="I5" s="195">
        <v>2109</v>
      </c>
      <c r="J5" s="196"/>
      <c r="K5" s="216">
        <v>0</v>
      </c>
      <c r="L5" s="217"/>
      <c r="M5" s="56">
        <v>492</v>
      </c>
      <c r="N5" s="53">
        <v>2110</v>
      </c>
      <c r="O5" s="38">
        <v>1868</v>
      </c>
      <c r="P5" s="53">
        <v>2775</v>
      </c>
      <c r="Q5" s="53">
        <v>2533</v>
      </c>
    </row>
    <row r="6" spans="1:18" ht="13.5" customHeight="1" x14ac:dyDescent="0.3">
      <c r="A6" s="211" t="s">
        <v>11</v>
      </c>
      <c r="B6" s="212"/>
      <c r="C6" s="213">
        <v>1518</v>
      </c>
      <c r="D6" s="214"/>
      <c r="E6" s="213">
        <v>54</v>
      </c>
      <c r="F6" s="214"/>
      <c r="G6" s="213">
        <v>1</v>
      </c>
      <c r="H6" s="214"/>
      <c r="I6" s="213">
        <v>0</v>
      </c>
      <c r="J6" s="214"/>
      <c r="K6" s="213">
        <v>0</v>
      </c>
      <c r="L6" s="214"/>
      <c r="M6" s="53">
        <v>7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421">
        <v>328</v>
      </c>
      <c r="D7" s="422"/>
      <c r="E7" s="421">
        <v>338</v>
      </c>
      <c r="F7" s="422"/>
      <c r="G7" s="421">
        <v>240</v>
      </c>
      <c r="H7" s="422"/>
      <c r="I7" s="421">
        <v>339</v>
      </c>
      <c r="J7" s="422"/>
      <c r="K7" s="421">
        <v>37</v>
      </c>
      <c r="L7" s="422"/>
      <c r="M7" s="54">
        <v>387</v>
      </c>
      <c r="N7" s="54">
        <v>48</v>
      </c>
      <c r="O7" s="54">
        <v>0</v>
      </c>
      <c r="P7" s="54">
        <v>0</v>
      </c>
      <c r="Q7" s="54">
        <v>0</v>
      </c>
    </row>
    <row r="8" spans="1:18" x14ac:dyDescent="0.3">
      <c r="A8" s="101" t="s">
        <v>13</v>
      </c>
      <c r="B8" s="102"/>
      <c r="C8" s="421">
        <v>210</v>
      </c>
      <c r="D8" s="422"/>
      <c r="E8" s="421">
        <v>185</v>
      </c>
      <c r="F8" s="422"/>
      <c r="G8" s="421">
        <v>0</v>
      </c>
      <c r="H8" s="422"/>
      <c r="I8" s="421">
        <v>174</v>
      </c>
      <c r="J8" s="422"/>
      <c r="K8" s="421">
        <v>0</v>
      </c>
      <c r="L8" s="422"/>
      <c r="M8" s="54">
        <v>105</v>
      </c>
      <c r="N8" s="54">
        <v>15</v>
      </c>
      <c r="O8" s="54">
        <v>0</v>
      </c>
      <c r="P8" s="54">
        <v>0</v>
      </c>
      <c r="Q8" s="54">
        <v>2</v>
      </c>
      <c r="R8" s="46"/>
    </row>
    <row r="9" spans="1:18" x14ac:dyDescent="0.3">
      <c r="A9" s="101" t="s">
        <v>14</v>
      </c>
      <c r="B9" s="102"/>
      <c r="C9" s="421">
        <v>387</v>
      </c>
      <c r="D9" s="422"/>
      <c r="E9" s="421">
        <v>8</v>
      </c>
      <c r="F9" s="422"/>
      <c r="G9" s="421">
        <v>0</v>
      </c>
      <c r="H9" s="422"/>
      <c r="I9" s="421">
        <v>372</v>
      </c>
      <c r="J9" s="422"/>
      <c r="K9" s="421">
        <v>13</v>
      </c>
      <c r="L9" s="422"/>
      <c r="M9" s="54">
        <v>377</v>
      </c>
      <c r="N9" s="54">
        <v>72</v>
      </c>
      <c r="O9" s="54">
        <v>0</v>
      </c>
      <c r="P9" s="54">
        <v>12</v>
      </c>
      <c r="Q9" s="54">
        <v>1</v>
      </c>
    </row>
    <row r="10" spans="1:18" x14ac:dyDescent="0.3">
      <c r="A10" s="101" t="s">
        <v>15</v>
      </c>
      <c r="B10" s="102"/>
      <c r="C10" s="421">
        <v>207</v>
      </c>
      <c r="D10" s="422"/>
      <c r="E10" s="421">
        <v>237</v>
      </c>
      <c r="F10" s="422"/>
      <c r="G10" s="421">
        <v>29</v>
      </c>
      <c r="H10" s="422"/>
      <c r="I10" s="421">
        <v>5</v>
      </c>
      <c r="J10" s="422"/>
      <c r="K10" s="421">
        <v>0</v>
      </c>
      <c r="L10" s="422"/>
      <c r="M10" s="54">
        <v>103</v>
      </c>
      <c r="N10" s="54">
        <v>30</v>
      </c>
      <c r="O10" s="54">
        <v>0</v>
      </c>
      <c r="P10" s="54">
        <v>0</v>
      </c>
      <c r="Q10" s="54">
        <v>0</v>
      </c>
    </row>
    <row r="11" spans="1:18" x14ac:dyDescent="0.3">
      <c r="A11" s="101" t="s">
        <v>16</v>
      </c>
      <c r="B11" s="102"/>
      <c r="C11" s="423">
        <v>442</v>
      </c>
      <c r="D11" s="424"/>
      <c r="E11" s="421">
        <v>98</v>
      </c>
      <c r="F11" s="422"/>
      <c r="G11" s="421">
        <v>0</v>
      </c>
      <c r="H11" s="422"/>
      <c r="I11" s="421">
        <v>47</v>
      </c>
      <c r="J11" s="422"/>
      <c r="K11" s="421">
        <v>7</v>
      </c>
      <c r="L11" s="422"/>
      <c r="M11" s="54">
        <v>321</v>
      </c>
      <c r="N11" s="54">
        <v>328</v>
      </c>
      <c r="O11" s="54">
        <v>82</v>
      </c>
      <c r="P11" s="54">
        <v>14</v>
      </c>
      <c r="Q11" s="54">
        <v>0</v>
      </c>
    </row>
    <row r="12" spans="1:18" x14ac:dyDescent="0.3">
      <c r="A12" s="101" t="s">
        <v>17</v>
      </c>
      <c r="B12" s="102"/>
      <c r="C12" s="423">
        <v>30</v>
      </c>
      <c r="D12" s="424"/>
      <c r="E12" s="421">
        <v>0</v>
      </c>
      <c r="F12" s="422"/>
      <c r="G12" s="421">
        <v>0</v>
      </c>
      <c r="H12" s="422"/>
      <c r="I12" s="421">
        <v>147</v>
      </c>
      <c r="J12" s="422"/>
      <c r="K12" s="421">
        <v>0</v>
      </c>
      <c r="L12" s="422"/>
      <c r="M12" s="54">
        <v>190</v>
      </c>
      <c r="N12" s="54">
        <v>222</v>
      </c>
      <c r="O12" s="54">
        <v>0</v>
      </c>
      <c r="P12" s="54">
        <v>16</v>
      </c>
      <c r="Q12" s="54">
        <v>5</v>
      </c>
    </row>
    <row r="13" spans="1:18" x14ac:dyDescent="0.3">
      <c r="A13" s="101" t="s">
        <v>18</v>
      </c>
      <c r="B13" s="102"/>
      <c r="C13" s="423">
        <v>285</v>
      </c>
      <c r="D13" s="424"/>
      <c r="E13" s="421">
        <v>125</v>
      </c>
      <c r="F13" s="422"/>
      <c r="G13" s="421">
        <v>0</v>
      </c>
      <c r="H13" s="422"/>
      <c r="I13" s="421">
        <v>1</v>
      </c>
      <c r="J13" s="422"/>
      <c r="K13" s="421">
        <v>0</v>
      </c>
      <c r="L13" s="422"/>
      <c r="M13" s="54">
        <v>98</v>
      </c>
      <c r="N13" s="54">
        <v>45</v>
      </c>
      <c r="O13" s="54">
        <v>0</v>
      </c>
      <c r="P13" s="54">
        <v>0</v>
      </c>
      <c r="Q13" s="54">
        <v>0</v>
      </c>
    </row>
    <row r="14" spans="1:18" x14ac:dyDescent="0.3">
      <c r="A14" s="207" t="s">
        <v>19</v>
      </c>
      <c r="B14" s="208"/>
      <c r="C14" s="419">
        <v>272</v>
      </c>
      <c r="D14" s="420"/>
      <c r="E14" s="419">
        <v>7</v>
      </c>
      <c r="F14" s="420"/>
      <c r="G14" s="419">
        <v>13</v>
      </c>
      <c r="H14" s="420"/>
      <c r="I14" s="421">
        <v>243</v>
      </c>
      <c r="J14" s="422"/>
      <c r="K14" s="419">
        <v>0</v>
      </c>
      <c r="L14" s="420"/>
      <c r="M14" s="55">
        <v>247</v>
      </c>
      <c r="N14" s="55">
        <v>9</v>
      </c>
      <c r="O14" s="54">
        <v>0</v>
      </c>
      <c r="P14" s="54">
        <v>0</v>
      </c>
      <c r="Q14" s="54">
        <v>0</v>
      </c>
    </row>
    <row r="15" spans="1:18" ht="15" thickBot="1" x14ac:dyDescent="0.35">
      <c r="A15" s="203" t="s">
        <v>51</v>
      </c>
      <c r="B15" s="204"/>
      <c r="C15" s="419">
        <v>0</v>
      </c>
      <c r="D15" s="420"/>
      <c r="E15" s="419">
        <v>0</v>
      </c>
      <c r="F15" s="420"/>
      <c r="G15" s="419">
        <v>0</v>
      </c>
      <c r="H15" s="420"/>
      <c r="I15" s="419">
        <v>0</v>
      </c>
      <c r="J15" s="420"/>
      <c r="K15" s="419">
        <v>0</v>
      </c>
      <c r="L15" s="420"/>
      <c r="M15" s="55">
        <v>0</v>
      </c>
      <c r="N15" s="55">
        <v>0</v>
      </c>
      <c r="O15" s="56">
        <v>2732</v>
      </c>
      <c r="P15" s="53">
        <v>2489</v>
      </c>
      <c r="Q15" s="53">
        <v>1933</v>
      </c>
    </row>
    <row r="16" spans="1:18" ht="15" thickBot="1" x14ac:dyDescent="0.35">
      <c r="A16" s="199" t="s">
        <v>20</v>
      </c>
      <c r="B16" s="200"/>
      <c r="C16" s="201">
        <f>SUM(C5:D15)</f>
        <v>14095</v>
      </c>
      <c r="D16" s="202"/>
      <c r="E16" s="201">
        <f>SUM(E5:F15)</f>
        <v>2074</v>
      </c>
      <c r="F16" s="202"/>
      <c r="G16" s="201">
        <f>SUM(G5:H15)</f>
        <v>1845</v>
      </c>
      <c r="H16" s="202"/>
      <c r="I16" s="201">
        <f>SUM(I5:J15)</f>
        <v>3437</v>
      </c>
      <c r="J16" s="202"/>
      <c r="K16" s="201">
        <f>SUM(K5:L15)</f>
        <v>57</v>
      </c>
      <c r="L16" s="202"/>
      <c r="M16" s="4">
        <f>SUM(M5:M15)</f>
        <v>2327</v>
      </c>
      <c r="N16" s="4">
        <f>SUM(N5:N15)</f>
        <v>2879</v>
      </c>
      <c r="O16" s="4">
        <f>SUM(O5:O15)</f>
        <v>4682</v>
      </c>
      <c r="P16" s="4">
        <f>SUM(P5:P15)</f>
        <v>5306</v>
      </c>
      <c r="Q16" s="5">
        <f>SUM(Q5:Q15)</f>
        <v>4474</v>
      </c>
    </row>
    <row r="17" spans="1:20" ht="15" thickBot="1" x14ac:dyDescent="0.35">
      <c r="A17" s="190" t="s">
        <v>21</v>
      </c>
      <c r="B17" s="191"/>
      <c r="C17" s="193">
        <v>10416</v>
      </c>
      <c r="D17" s="194"/>
      <c r="E17" s="195">
        <v>1022</v>
      </c>
      <c r="F17" s="196"/>
      <c r="G17" s="195">
        <v>1562</v>
      </c>
      <c r="H17" s="196"/>
      <c r="I17" s="195">
        <v>2073</v>
      </c>
      <c r="J17" s="196"/>
      <c r="K17" s="197">
        <v>0</v>
      </c>
      <c r="L17" s="198"/>
      <c r="M17" s="36">
        <v>472</v>
      </c>
      <c r="N17" s="47">
        <v>2060</v>
      </c>
      <c r="O17" s="56">
        <v>1868</v>
      </c>
      <c r="P17" s="53">
        <v>2775</v>
      </c>
      <c r="Q17" s="53">
        <v>2533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547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241</v>
      </c>
      <c r="D25" s="150"/>
      <c r="E25" s="165" t="s">
        <v>520</v>
      </c>
      <c r="F25" s="166"/>
      <c r="G25" s="149">
        <v>0</v>
      </c>
      <c r="H25" s="150"/>
      <c r="I25" s="149">
        <v>20</v>
      </c>
      <c r="J25" s="150"/>
      <c r="K25" s="52">
        <v>0</v>
      </c>
      <c r="N25"/>
      <c r="O25"/>
    </row>
    <row r="26" spans="1:20" x14ac:dyDescent="0.3">
      <c r="A26" s="101" t="s">
        <v>13</v>
      </c>
      <c r="B26" s="102"/>
      <c r="C26" s="149">
        <v>44</v>
      </c>
      <c r="D26" s="150"/>
      <c r="E26" s="165" t="s">
        <v>25</v>
      </c>
      <c r="F26" s="166"/>
      <c r="G26" s="149">
        <v>0</v>
      </c>
      <c r="H26" s="150"/>
      <c r="I26" s="149">
        <v>123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160</v>
      </c>
      <c r="D27" s="150"/>
      <c r="E27" s="165" t="s">
        <v>540</v>
      </c>
      <c r="F27" s="166"/>
      <c r="G27" s="149">
        <v>2</v>
      </c>
      <c r="H27" s="150"/>
      <c r="I27" s="149">
        <v>72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545</v>
      </c>
      <c r="D28" s="166"/>
      <c r="E28" s="165" t="s">
        <v>90</v>
      </c>
      <c r="F28" s="166"/>
      <c r="G28" s="149">
        <v>0</v>
      </c>
      <c r="H28" s="150"/>
      <c r="I28" s="149">
        <v>22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14</v>
      </c>
      <c r="J29" s="150"/>
      <c r="K29" s="52">
        <v>2</v>
      </c>
      <c r="N29"/>
      <c r="O29" s="58"/>
    </row>
    <row r="30" spans="1:20" x14ac:dyDescent="0.3">
      <c r="A30" s="101" t="s">
        <v>17</v>
      </c>
      <c r="B30" s="102"/>
      <c r="C30" s="152">
        <v>1</v>
      </c>
      <c r="D30" s="153"/>
      <c r="E30" s="149" t="s">
        <v>90</v>
      </c>
      <c r="F30" s="150"/>
      <c r="G30" s="149">
        <v>0</v>
      </c>
      <c r="H30" s="150"/>
      <c r="I30" s="149">
        <v>2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550</v>
      </c>
      <c r="D31" s="153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547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398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549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176</v>
      </c>
      <c r="D40" s="150"/>
      <c r="E40" s="154" t="s">
        <v>541</v>
      </c>
      <c r="F40" s="155"/>
      <c r="G40" s="149">
        <v>6</v>
      </c>
      <c r="H40" s="150"/>
      <c r="I40" s="149" t="s">
        <v>277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552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515</v>
      </c>
      <c r="D42" s="153"/>
      <c r="E42" s="154" t="s">
        <v>531</v>
      </c>
      <c r="F42" s="155"/>
      <c r="G42" s="149">
        <v>0</v>
      </c>
      <c r="H42" s="150"/>
      <c r="I42" s="149" t="s">
        <v>537</v>
      </c>
      <c r="J42" s="150"/>
      <c r="K42" s="52" t="s">
        <v>517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551</v>
      </c>
      <c r="F44" s="150"/>
      <c r="G44" s="149">
        <v>0</v>
      </c>
      <c r="H44" s="150"/>
      <c r="I44" s="149">
        <v>6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521</v>
      </c>
      <c r="D49" s="146"/>
      <c r="E49" s="145" t="s">
        <v>527</v>
      </c>
      <c r="F49" s="146"/>
      <c r="G49" s="145" t="s">
        <v>535</v>
      </c>
      <c r="H49" s="146"/>
      <c r="I49" s="145" t="s">
        <v>547</v>
      </c>
      <c r="J49" s="146"/>
    </row>
    <row r="50" spans="1:11" x14ac:dyDescent="0.3">
      <c r="A50" s="120" t="s">
        <v>30</v>
      </c>
      <c r="B50" s="121"/>
      <c r="C50" s="122">
        <v>12658</v>
      </c>
      <c r="D50" s="123"/>
      <c r="E50" s="122">
        <v>12614</v>
      </c>
      <c r="F50" s="123"/>
      <c r="G50" s="122">
        <v>12556</v>
      </c>
      <c r="H50" s="123"/>
      <c r="I50" s="122">
        <v>12509</v>
      </c>
      <c r="J50" s="123"/>
    </row>
    <row r="51" spans="1:11" x14ac:dyDescent="0.3">
      <c r="A51" s="120" t="s">
        <v>31</v>
      </c>
      <c r="B51" s="121"/>
      <c r="C51" s="122">
        <v>9576</v>
      </c>
      <c r="D51" s="123"/>
      <c r="E51" s="122">
        <v>9657</v>
      </c>
      <c r="F51" s="123"/>
      <c r="G51" s="122">
        <v>9760</v>
      </c>
      <c r="H51" s="123"/>
      <c r="I51" s="122">
        <v>9804</v>
      </c>
      <c r="J51" s="123"/>
    </row>
    <row r="52" spans="1:11" x14ac:dyDescent="0.3">
      <c r="A52" s="120" t="s">
        <v>32</v>
      </c>
      <c r="B52" s="121"/>
      <c r="C52" s="122">
        <v>113325</v>
      </c>
      <c r="D52" s="123"/>
      <c r="E52" s="122">
        <v>113282</v>
      </c>
      <c r="F52" s="123"/>
      <c r="G52" s="122">
        <v>113154</v>
      </c>
      <c r="H52" s="123"/>
      <c r="I52" s="122">
        <v>113097</v>
      </c>
      <c r="J52" s="123"/>
    </row>
    <row r="53" spans="1:11" x14ac:dyDescent="0.3">
      <c r="A53" s="120" t="s">
        <v>33</v>
      </c>
      <c r="B53" s="121"/>
      <c r="C53" s="103">
        <v>240</v>
      </c>
      <c r="D53" s="104"/>
      <c r="E53" s="103">
        <v>240</v>
      </c>
      <c r="F53" s="104"/>
      <c r="G53" s="103">
        <v>240</v>
      </c>
      <c r="H53" s="104"/>
      <c r="I53" s="103">
        <v>239</v>
      </c>
      <c r="J53" s="104"/>
    </row>
    <row r="54" spans="1:11" x14ac:dyDescent="0.3">
      <c r="A54" s="120" t="s">
        <v>34</v>
      </c>
      <c r="B54" s="121"/>
      <c r="C54" s="122">
        <v>50073</v>
      </c>
      <c r="D54" s="123"/>
      <c r="E54" s="122">
        <v>50031</v>
      </c>
      <c r="F54" s="123"/>
      <c r="G54" s="122">
        <v>49983</v>
      </c>
      <c r="H54" s="123"/>
      <c r="I54" s="122">
        <v>49947</v>
      </c>
      <c r="J54" s="123"/>
    </row>
    <row r="55" spans="1:11" x14ac:dyDescent="0.3">
      <c r="A55" s="120" t="s">
        <v>53</v>
      </c>
      <c r="B55" s="121"/>
      <c r="C55" s="103">
        <v>4383</v>
      </c>
      <c r="D55" s="104"/>
      <c r="E55" s="103">
        <v>4377</v>
      </c>
      <c r="F55" s="104"/>
      <c r="G55" s="103">
        <v>4376</v>
      </c>
      <c r="H55" s="104"/>
      <c r="I55" s="103">
        <v>4378</v>
      </c>
      <c r="J55" s="104"/>
    </row>
    <row r="56" spans="1:11" x14ac:dyDescent="0.3">
      <c r="A56" s="120" t="s">
        <v>49</v>
      </c>
      <c r="B56" s="121"/>
      <c r="C56" s="122">
        <v>18223</v>
      </c>
      <c r="D56" s="123"/>
      <c r="E56" s="122">
        <v>18473</v>
      </c>
      <c r="F56" s="123"/>
      <c r="G56" s="122">
        <v>18880</v>
      </c>
      <c r="H56" s="123"/>
      <c r="I56" s="122">
        <v>19067</v>
      </c>
      <c r="J56" s="123"/>
      <c r="K56" s="51"/>
    </row>
    <row r="57" spans="1:11" x14ac:dyDescent="0.3">
      <c r="A57" s="120" t="s">
        <v>35</v>
      </c>
      <c r="B57" s="121"/>
      <c r="C57" s="103">
        <v>2753</v>
      </c>
      <c r="D57" s="104"/>
      <c r="E57" s="103">
        <v>2762</v>
      </c>
      <c r="F57" s="104"/>
      <c r="G57" s="103">
        <v>2765</v>
      </c>
      <c r="H57" s="104"/>
      <c r="I57" s="103">
        <v>2767</v>
      </c>
      <c r="J57" s="104"/>
    </row>
    <row r="58" spans="1:11" x14ac:dyDescent="0.3">
      <c r="A58" s="120" t="s">
        <v>36</v>
      </c>
      <c r="B58" s="121"/>
      <c r="C58" s="122">
        <f>SUM(C50:D57)</f>
        <v>211231</v>
      </c>
      <c r="D58" s="123"/>
      <c r="E58" s="122">
        <f>SUM(E50:F57)</f>
        <v>211436</v>
      </c>
      <c r="F58" s="123"/>
      <c r="G58" s="122">
        <f>SUM(G50:H57)</f>
        <v>211714</v>
      </c>
      <c r="H58" s="123"/>
      <c r="I58" s="122">
        <f>SUM(I50:J57)</f>
        <v>211808</v>
      </c>
      <c r="J58" s="123"/>
    </row>
    <row r="60" spans="1:11" x14ac:dyDescent="0.3">
      <c r="A60" s="124" t="s">
        <v>37</v>
      </c>
      <c r="B60" s="125"/>
      <c r="C60" s="130" t="s">
        <v>521</v>
      </c>
      <c r="D60" s="131"/>
      <c r="E60" s="130" t="s">
        <v>527</v>
      </c>
      <c r="F60" s="131"/>
      <c r="G60" s="130" t="s">
        <v>535</v>
      </c>
      <c r="H60" s="131"/>
      <c r="I60" s="130" t="s">
        <v>547</v>
      </c>
      <c r="J60" s="131"/>
    </row>
    <row r="61" spans="1:11" x14ac:dyDescent="0.3">
      <c r="A61" s="126"/>
      <c r="B61" s="127"/>
      <c r="C61" s="132">
        <v>139036</v>
      </c>
      <c r="D61" s="133"/>
      <c r="E61" s="132">
        <v>139196</v>
      </c>
      <c r="F61" s="133"/>
      <c r="G61" s="132">
        <v>139396</v>
      </c>
      <c r="H61" s="133"/>
      <c r="I61" s="132">
        <v>139443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435</v>
      </c>
      <c r="D66" s="115"/>
      <c r="E66" s="114" t="s">
        <v>465</v>
      </c>
      <c r="F66" s="115"/>
      <c r="G66" s="114" t="s">
        <v>509</v>
      </c>
      <c r="H66" s="115"/>
      <c r="I66" s="114" t="s">
        <v>548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28847</v>
      </c>
      <c r="D69" s="104"/>
      <c r="E69" s="103">
        <v>29171</v>
      </c>
      <c r="F69" s="104"/>
      <c r="G69" s="103">
        <v>29615</v>
      </c>
      <c r="H69" s="104"/>
      <c r="I69" s="103">
        <v>30064</v>
      </c>
      <c r="J69" s="104"/>
    </row>
    <row r="70" spans="1:10" x14ac:dyDescent="0.3">
      <c r="A70" s="101" t="s">
        <v>13</v>
      </c>
      <c r="B70" s="102"/>
      <c r="C70" s="103">
        <v>6964</v>
      </c>
      <c r="D70" s="104"/>
      <c r="E70" s="103">
        <v>6989</v>
      </c>
      <c r="F70" s="104"/>
      <c r="G70" s="103">
        <v>7028</v>
      </c>
      <c r="H70" s="104"/>
      <c r="I70" s="103">
        <v>7077</v>
      </c>
      <c r="J70" s="104"/>
    </row>
    <row r="71" spans="1:10" x14ac:dyDescent="0.3">
      <c r="A71" s="107" t="s">
        <v>14</v>
      </c>
      <c r="B71" s="108"/>
      <c r="C71" s="103">
        <v>6082</v>
      </c>
      <c r="D71" s="104"/>
      <c r="E71" s="103">
        <v>6128</v>
      </c>
      <c r="F71" s="104"/>
      <c r="G71" s="103">
        <v>6175</v>
      </c>
      <c r="H71" s="104"/>
      <c r="I71" s="103">
        <v>6238</v>
      </c>
      <c r="J71" s="104"/>
    </row>
    <row r="72" spans="1:10" x14ac:dyDescent="0.3">
      <c r="A72" s="107" t="s">
        <v>41</v>
      </c>
      <c r="B72" s="108"/>
      <c r="C72" s="103">
        <v>1362</v>
      </c>
      <c r="D72" s="104"/>
      <c r="E72" s="103">
        <v>1391</v>
      </c>
      <c r="F72" s="104"/>
      <c r="G72" s="103">
        <v>1420</v>
      </c>
      <c r="H72" s="104"/>
      <c r="I72" s="103">
        <v>1453</v>
      </c>
      <c r="J72" s="104"/>
    </row>
    <row r="73" spans="1:10" x14ac:dyDescent="0.3">
      <c r="A73" s="101" t="s">
        <v>15</v>
      </c>
      <c r="B73" s="102"/>
      <c r="C73" s="103">
        <v>4462</v>
      </c>
      <c r="D73" s="104"/>
      <c r="E73" s="103">
        <v>4555</v>
      </c>
      <c r="F73" s="104"/>
      <c r="G73" s="103">
        <v>4623</v>
      </c>
      <c r="H73" s="104"/>
      <c r="I73" s="103">
        <v>4727</v>
      </c>
      <c r="J73" s="104"/>
    </row>
    <row r="74" spans="1:10" x14ac:dyDescent="0.3">
      <c r="A74" s="107" t="s">
        <v>16</v>
      </c>
      <c r="B74" s="108"/>
      <c r="C74" s="103">
        <v>4736</v>
      </c>
      <c r="D74" s="104"/>
      <c r="E74" s="103">
        <v>4774</v>
      </c>
      <c r="F74" s="104"/>
      <c r="G74" s="103">
        <v>4824</v>
      </c>
      <c r="H74" s="104"/>
      <c r="I74" s="103">
        <v>4881</v>
      </c>
      <c r="J74" s="104"/>
    </row>
    <row r="75" spans="1:10" x14ac:dyDescent="0.3">
      <c r="A75" s="101" t="s">
        <v>17</v>
      </c>
      <c r="B75" s="102"/>
      <c r="C75" s="103">
        <v>7119</v>
      </c>
      <c r="D75" s="104"/>
      <c r="E75" s="103">
        <v>7241</v>
      </c>
      <c r="F75" s="104"/>
      <c r="G75" s="103">
        <v>7361</v>
      </c>
      <c r="H75" s="104"/>
      <c r="I75" s="103">
        <v>7645</v>
      </c>
      <c r="J75" s="104"/>
    </row>
    <row r="76" spans="1:10" x14ac:dyDescent="0.3">
      <c r="A76" s="107" t="s">
        <v>18</v>
      </c>
      <c r="B76" s="108"/>
      <c r="C76" s="103">
        <v>1536</v>
      </c>
      <c r="D76" s="104"/>
      <c r="E76" s="103">
        <v>1553</v>
      </c>
      <c r="F76" s="104"/>
      <c r="G76" s="103">
        <v>1582</v>
      </c>
      <c r="H76" s="104"/>
      <c r="I76" s="103">
        <v>1602</v>
      </c>
      <c r="J76" s="104"/>
    </row>
    <row r="77" spans="1:10" x14ac:dyDescent="0.3">
      <c r="A77" s="101" t="s">
        <v>19</v>
      </c>
      <c r="B77" s="102"/>
      <c r="C77" s="103">
        <v>5598</v>
      </c>
      <c r="D77" s="104"/>
      <c r="E77" s="103">
        <v>5711</v>
      </c>
      <c r="F77" s="104"/>
      <c r="G77" s="103">
        <v>5778</v>
      </c>
      <c r="H77" s="104"/>
      <c r="I77" s="103">
        <v>5885</v>
      </c>
      <c r="J77" s="104"/>
    </row>
    <row r="78" spans="1:10" x14ac:dyDescent="0.3">
      <c r="A78" s="105" t="s">
        <v>42</v>
      </c>
      <c r="B78" s="106"/>
      <c r="C78" s="103">
        <f>SUM(C69:C77)</f>
        <v>66706</v>
      </c>
      <c r="D78" s="104"/>
      <c r="E78" s="103">
        <f>SUM(E69:E77)</f>
        <v>67513</v>
      </c>
      <c r="F78" s="104"/>
      <c r="G78" s="103">
        <f>SUM(G69:G77)</f>
        <v>68406</v>
      </c>
      <c r="H78" s="104"/>
      <c r="I78" s="103">
        <f>SUM(I69:I77)</f>
        <v>69572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78"/>
  <sheetViews>
    <sheetView workbookViewId="0">
      <selection activeCell="C6" sqref="C6:Q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ht="15" thickBot="1" x14ac:dyDescent="0.35">
      <c r="A4" s="105" t="s">
        <v>9</v>
      </c>
      <c r="B4" s="106"/>
      <c r="C4" s="230" t="s">
        <v>553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3">
        <v>10416</v>
      </c>
      <c r="D5" s="194"/>
      <c r="E5" s="195">
        <v>1022</v>
      </c>
      <c r="F5" s="196"/>
      <c r="G5" s="195">
        <v>1562</v>
      </c>
      <c r="H5" s="196"/>
      <c r="I5" s="195">
        <v>2109</v>
      </c>
      <c r="J5" s="196"/>
      <c r="K5" s="216">
        <v>0</v>
      </c>
      <c r="L5" s="217"/>
      <c r="M5" s="56">
        <v>492</v>
      </c>
      <c r="N5" s="53">
        <v>2110</v>
      </c>
      <c r="O5" s="38">
        <v>1868</v>
      </c>
      <c r="P5" s="53">
        <v>2775</v>
      </c>
      <c r="Q5" s="53">
        <v>2533</v>
      </c>
    </row>
    <row r="6" spans="1:18" ht="13.5" customHeight="1" x14ac:dyDescent="0.3">
      <c r="A6" s="211" t="s">
        <v>11</v>
      </c>
      <c r="B6" s="212"/>
      <c r="C6" s="213">
        <v>1518</v>
      </c>
      <c r="D6" s="214"/>
      <c r="E6" s="213">
        <v>54</v>
      </c>
      <c r="F6" s="214"/>
      <c r="G6" s="213">
        <v>1</v>
      </c>
      <c r="H6" s="214"/>
      <c r="I6" s="213">
        <v>0</v>
      </c>
      <c r="J6" s="214"/>
      <c r="K6" s="213">
        <v>0</v>
      </c>
      <c r="L6" s="214"/>
      <c r="M6" s="53">
        <v>7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149">
        <v>314</v>
      </c>
      <c r="D7" s="150"/>
      <c r="E7" s="149">
        <v>338</v>
      </c>
      <c r="F7" s="150"/>
      <c r="G7" s="149">
        <v>240</v>
      </c>
      <c r="H7" s="150"/>
      <c r="I7" s="149">
        <v>302</v>
      </c>
      <c r="J7" s="150"/>
      <c r="K7" s="149">
        <v>37</v>
      </c>
      <c r="L7" s="150"/>
      <c r="M7" s="52">
        <v>354</v>
      </c>
      <c r="N7" s="52">
        <v>48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149">
        <v>190</v>
      </c>
      <c r="D8" s="150"/>
      <c r="E8" s="149">
        <v>177</v>
      </c>
      <c r="F8" s="150"/>
      <c r="G8" s="149">
        <v>0</v>
      </c>
      <c r="H8" s="150"/>
      <c r="I8" s="149">
        <v>160</v>
      </c>
      <c r="J8" s="150"/>
      <c r="K8" s="149">
        <v>0</v>
      </c>
      <c r="L8" s="150"/>
      <c r="M8" s="52">
        <v>113</v>
      </c>
      <c r="N8" s="52">
        <v>15</v>
      </c>
      <c r="O8" s="52">
        <v>0</v>
      </c>
      <c r="P8" s="52">
        <v>0</v>
      </c>
      <c r="Q8" s="52">
        <v>2</v>
      </c>
      <c r="R8" s="46"/>
    </row>
    <row r="9" spans="1:18" x14ac:dyDescent="0.3">
      <c r="A9" s="101" t="s">
        <v>14</v>
      </c>
      <c r="B9" s="102"/>
      <c r="C9" s="149">
        <v>366</v>
      </c>
      <c r="D9" s="150"/>
      <c r="E9" s="149">
        <v>7</v>
      </c>
      <c r="F9" s="150"/>
      <c r="G9" s="149">
        <v>0</v>
      </c>
      <c r="H9" s="150"/>
      <c r="I9" s="149">
        <v>326</v>
      </c>
      <c r="J9" s="150"/>
      <c r="K9" s="149">
        <v>10</v>
      </c>
      <c r="L9" s="150"/>
      <c r="M9" s="52">
        <v>345</v>
      </c>
      <c r="N9" s="52">
        <v>70</v>
      </c>
      <c r="O9" s="52">
        <v>0</v>
      </c>
      <c r="P9" s="52">
        <v>12</v>
      </c>
      <c r="Q9" s="52">
        <v>1</v>
      </c>
    </row>
    <row r="10" spans="1:18" x14ac:dyDescent="0.3">
      <c r="A10" s="101" t="s">
        <v>15</v>
      </c>
      <c r="B10" s="102"/>
      <c r="C10" s="149">
        <v>302</v>
      </c>
      <c r="D10" s="150"/>
      <c r="E10" s="149">
        <v>227</v>
      </c>
      <c r="F10" s="150"/>
      <c r="G10" s="149">
        <v>29</v>
      </c>
      <c r="H10" s="150"/>
      <c r="I10" s="149">
        <v>5</v>
      </c>
      <c r="J10" s="150"/>
      <c r="K10" s="149">
        <v>0</v>
      </c>
      <c r="L10" s="150"/>
      <c r="M10" s="52">
        <v>121</v>
      </c>
      <c r="N10" s="52">
        <v>30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152">
        <v>422</v>
      </c>
      <c r="D11" s="153"/>
      <c r="E11" s="149">
        <v>94</v>
      </c>
      <c r="F11" s="150"/>
      <c r="G11" s="149">
        <v>0</v>
      </c>
      <c r="H11" s="150"/>
      <c r="I11" s="149">
        <v>42</v>
      </c>
      <c r="J11" s="150"/>
      <c r="K11" s="149">
        <v>6</v>
      </c>
      <c r="L11" s="150"/>
      <c r="M11" s="52">
        <v>311</v>
      </c>
      <c r="N11" s="52">
        <v>317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152">
        <v>20</v>
      </c>
      <c r="D12" s="153"/>
      <c r="E12" s="149">
        <v>0</v>
      </c>
      <c r="F12" s="150"/>
      <c r="G12" s="149">
        <v>0</v>
      </c>
      <c r="H12" s="150"/>
      <c r="I12" s="149">
        <v>112</v>
      </c>
      <c r="J12" s="150"/>
      <c r="K12" s="149">
        <v>0</v>
      </c>
      <c r="L12" s="150"/>
      <c r="M12" s="52">
        <v>160</v>
      </c>
      <c r="N12" s="52">
        <v>202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52">
        <v>274</v>
      </c>
      <c r="D13" s="153"/>
      <c r="E13" s="149">
        <v>112</v>
      </c>
      <c r="F13" s="150"/>
      <c r="G13" s="149">
        <v>0</v>
      </c>
      <c r="H13" s="150"/>
      <c r="I13" s="149">
        <v>0</v>
      </c>
      <c r="J13" s="150"/>
      <c r="K13" s="149">
        <v>0</v>
      </c>
      <c r="L13" s="150"/>
      <c r="M13" s="52">
        <v>98</v>
      </c>
      <c r="N13" s="52">
        <v>45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258</v>
      </c>
      <c r="D14" s="206"/>
      <c r="E14" s="205">
        <v>7</v>
      </c>
      <c r="F14" s="206"/>
      <c r="G14" s="205">
        <v>13</v>
      </c>
      <c r="H14" s="206"/>
      <c r="I14" s="149">
        <v>231</v>
      </c>
      <c r="J14" s="150"/>
      <c r="K14" s="205">
        <v>0</v>
      </c>
      <c r="L14" s="206"/>
      <c r="M14" s="59">
        <v>239</v>
      </c>
      <c r="N14" s="59">
        <v>9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0">
        <v>2576</v>
      </c>
      <c r="P15" s="52">
        <v>2367</v>
      </c>
      <c r="Q15" s="52">
        <v>1829</v>
      </c>
    </row>
    <row r="16" spans="1:18" ht="15" thickBot="1" x14ac:dyDescent="0.35">
      <c r="A16" s="199" t="s">
        <v>20</v>
      </c>
      <c r="B16" s="200"/>
      <c r="C16" s="201">
        <f>SUM(C5:D15)</f>
        <v>14080</v>
      </c>
      <c r="D16" s="202"/>
      <c r="E16" s="201">
        <f>SUM(E5:F15)</f>
        <v>2038</v>
      </c>
      <c r="F16" s="202"/>
      <c r="G16" s="201">
        <f>SUM(G5:H15)</f>
        <v>1845</v>
      </c>
      <c r="H16" s="202"/>
      <c r="I16" s="201">
        <f>SUM(I5:J15)</f>
        <v>3287</v>
      </c>
      <c r="J16" s="202"/>
      <c r="K16" s="201">
        <f>SUM(K5:L15)</f>
        <v>53</v>
      </c>
      <c r="L16" s="202"/>
      <c r="M16" s="4">
        <f>SUM(M5:M15)</f>
        <v>2240</v>
      </c>
      <c r="N16" s="4">
        <f>SUM(N5:N15)</f>
        <v>2846</v>
      </c>
      <c r="O16" s="4">
        <f>SUM(O5:O15)</f>
        <v>4526</v>
      </c>
      <c r="P16" s="4">
        <f>SUM(P5:P15)</f>
        <v>5184</v>
      </c>
      <c r="Q16" s="5">
        <f>SUM(Q5:Q15)</f>
        <v>4370</v>
      </c>
    </row>
    <row r="17" spans="1:20" ht="15" thickBot="1" x14ac:dyDescent="0.35">
      <c r="A17" s="190" t="s">
        <v>21</v>
      </c>
      <c r="B17" s="191"/>
      <c r="C17" s="193">
        <v>10416</v>
      </c>
      <c r="D17" s="194"/>
      <c r="E17" s="195">
        <v>1022</v>
      </c>
      <c r="F17" s="196"/>
      <c r="G17" s="195">
        <v>1562</v>
      </c>
      <c r="H17" s="196"/>
      <c r="I17" s="195">
        <v>2073</v>
      </c>
      <c r="J17" s="196"/>
      <c r="K17" s="197">
        <v>0</v>
      </c>
      <c r="L17" s="198"/>
      <c r="M17" s="36">
        <v>472</v>
      </c>
      <c r="N17" s="47">
        <v>2060</v>
      </c>
      <c r="O17" s="56">
        <v>1868</v>
      </c>
      <c r="P17" s="53">
        <v>2775</v>
      </c>
      <c r="Q17" s="53">
        <v>2533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553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235</v>
      </c>
      <c r="D25" s="150"/>
      <c r="E25" s="165" t="s">
        <v>72</v>
      </c>
      <c r="F25" s="166"/>
      <c r="G25" s="149">
        <v>0</v>
      </c>
      <c r="H25" s="150"/>
      <c r="I25" s="149">
        <v>13</v>
      </c>
      <c r="J25" s="150"/>
      <c r="K25" s="52">
        <v>0</v>
      </c>
      <c r="N25"/>
      <c r="O25"/>
    </row>
    <row r="26" spans="1:20" x14ac:dyDescent="0.3">
      <c r="A26" s="101" t="s">
        <v>13</v>
      </c>
      <c r="B26" s="102"/>
      <c r="C26" s="149">
        <v>40</v>
      </c>
      <c r="D26" s="150"/>
      <c r="E26" s="165" t="s">
        <v>25</v>
      </c>
      <c r="F26" s="166"/>
      <c r="G26" s="149">
        <v>0</v>
      </c>
      <c r="H26" s="150"/>
      <c r="I26" s="149">
        <v>123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162</v>
      </c>
      <c r="D27" s="150"/>
      <c r="E27" s="165" t="s">
        <v>498</v>
      </c>
      <c r="F27" s="166"/>
      <c r="G27" s="149">
        <v>2</v>
      </c>
      <c r="H27" s="150"/>
      <c r="I27" s="149">
        <v>74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560</v>
      </c>
      <c r="D28" s="166"/>
      <c r="E28" s="165" t="s">
        <v>90</v>
      </c>
      <c r="F28" s="166"/>
      <c r="G28" s="149">
        <v>0</v>
      </c>
      <c r="H28" s="150"/>
      <c r="I28" s="149">
        <v>30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555</v>
      </c>
      <c r="D29" s="184"/>
      <c r="E29" s="165" t="s">
        <v>90</v>
      </c>
      <c r="F29" s="166"/>
      <c r="G29" s="149">
        <v>0</v>
      </c>
      <c r="H29" s="150"/>
      <c r="I29" s="149">
        <v>12</v>
      </c>
      <c r="J29" s="150"/>
      <c r="K29" s="52">
        <v>1</v>
      </c>
      <c r="N29"/>
      <c r="O29" s="58"/>
    </row>
    <row r="30" spans="1:20" x14ac:dyDescent="0.3">
      <c r="A30" s="101" t="s">
        <v>17</v>
      </c>
      <c r="B30" s="102"/>
      <c r="C30" s="152">
        <v>3</v>
      </c>
      <c r="D30" s="153"/>
      <c r="E30" s="149" t="s">
        <v>90</v>
      </c>
      <c r="F30" s="150"/>
      <c r="G30" s="149">
        <v>0</v>
      </c>
      <c r="H30" s="150"/>
      <c r="I30" s="149">
        <v>1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194</v>
      </c>
      <c r="D31" s="153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553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398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559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176</v>
      </c>
      <c r="D40" s="150"/>
      <c r="E40" s="154" t="s">
        <v>541</v>
      </c>
      <c r="F40" s="155"/>
      <c r="G40" s="149">
        <v>6</v>
      </c>
      <c r="H40" s="150"/>
      <c r="I40" s="149" t="s">
        <v>277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561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556</v>
      </c>
      <c r="D42" s="153"/>
      <c r="E42" s="154" t="s">
        <v>557</v>
      </c>
      <c r="F42" s="155"/>
      <c r="G42" s="149">
        <v>0</v>
      </c>
      <c r="H42" s="150"/>
      <c r="I42" s="149" t="s">
        <v>537</v>
      </c>
      <c r="J42" s="150"/>
      <c r="K42" s="52" t="s">
        <v>558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554</v>
      </c>
      <c r="F44" s="150"/>
      <c r="G44" s="149">
        <v>0</v>
      </c>
      <c r="H44" s="150"/>
      <c r="I44" s="149">
        <v>5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527</v>
      </c>
      <c r="D49" s="146"/>
      <c r="E49" s="145" t="s">
        <v>535</v>
      </c>
      <c r="F49" s="146"/>
      <c r="G49" s="425" t="s">
        <v>547</v>
      </c>
      <c r="H49" s="426"/>
      <c r="I49" s="145" t="s">
        <v>553</v>
      </c>
      <c r="J49" s="146"/>
    </row>
    <row r="50" spans="1:11" x14ac:dyDescent="0.3">
      <c r="A50" s="120" t="s">
        <v>30</v>
      </c>
      <c r="B50" s="121"/>
      <c r="C50" s="136">
        <v>12614</v>
      </c>
      <c r="D50" s="137"/>
      <c r="E50" s="136">
        <v>12556</v>
      </c>
      <c r="F50" s="137"/>
      <c r="G50" s="136">
        <v>12509</v>
      </c>
      <c r="H50" s="137"/>
      <c r="I50" s="136">
        <v>12473</v>
      </c>
      <c r="J50" s="137"/>
    </row>
    <row r="51" spans="1:11" x14ac:dyDescent="0.3">
      <c r="A51" s="120" t="s">
        <v>31</v>
      </c>
      <c r="B51" s="121"/>
      <c r="C51" s="136">
        <v>9657</v>
      </c>
      <c r="D51" s="137"/>
      <c r="E51" s="136">
        <v>9760</v>
      </c>
      <c r="F51" s="137"/>
      <c r="G51" s="136">
        <v>9804</v>
      </c>
      <c r="H51" s="137"/>
      <c r="I51" s="136">
        <v>9835</v>
      </c>
      <c r="J51" s="137"/>
    </row>
    <row r="52" spans="1:11" x14ac:dyDescent="0.3">
      <c r="A52" s="120" t="s">
        <v>32</v>
      </c>
      <c r="B52" s="121"/>
      <c r="C52" s="136">
        <v>113282</v>
      </c>
      <c r="D52" s="137"/>
      <c r="E52" s="136">
        <v>113154</v>
      </c>
      <c r="F52" s="137"/>
      <c r="G52" s="136">
        <v>113097</v>
      </c>
      <c r="H52" s="137"/>
      <c r="I52" s="136">
        <v>113032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239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50031</v>
      </c>
      <c r="D54" s="137"/>
      <c r="E54" s="136">
        <v>49983</v>
      </c>
      <c r="F54" s="137"/>
      <c r="G54" s="136">
        <v>49947</v>
      </c>
      <c r="H54" s="137"/>
      <c r="I54" s="136">
        <v>49924</v>
      </c>
      <c r="J54" s="137"/>
    </row>
    <row r="55" spans="1:11" x14ac:dyDescent="0.3">
      <c r="A55" s="120" t="s">
        <v>53</v>
      </c>
      <c r="B55" s="121"/>
      <c r="C55" s="138">
        <v>4377</v>
      </c>
      <c r="D55" s="139"/>
      <c r="E55" s="138">
        <v>4376</v>
      </c>
      <c r="F55" s="139"/>
      <c r="G55" s="138">
        <v>4378</v>
      </c>
      <c r="H55" s="139"/>
      <c r="I55" s="138">
        <v>4378</v>
      </c>
      <c r="J55" s="139"/>
    </row>
    <row r="56" spans="1:11" x14ac:dyDescent="0.3">
      <c r="A56" s="120" t="s">
        <v>49</v>
      </c>
      <c r="B56" s="121"/>
      <c r="C56" s="136">
        <v>18473</v>
      </c>
      <c r="D56" s="137"/>
      <c r="E56" s="136">
        <v>18880</v>
      </c>
      <c r="F56" s="137"/>
      <c r="G56" s="136">
        <v>19067</v>
      </c>
      <c r="H56" s="137"/>
      <c r="I56" s="136">
        <v>19189</v>
      </c>
      <c r="J56" s="137"/>
      <c r="K56" s="51"/>
    </row>
    <row r="57" spans="1:11" x14ac:dyDescent="0.3">
      <c r="A57" s="120" t="s">
        <v>35</v>
      </c>
      <c r="B57" s="121"/>
      <c r="C57" s="138">
        <v>2762</v>
      </c>
      <c r="D57" s="139"/>
      <c r="E57" s="138">
        <v>2765</v>
      </c>
      <c r="F57" s="139"/>
      <c r="G57" s="138">
        <v>2767</v>
      </c>
      <c r="H57" s="139"/>
      <c r="I57" s="138">
        <v>2764</v>
      </c>
      <c r="J57" s="139"/>
    </row>
    <row r="58" spans="1:11" x14ac:dyDescent="0.3">
      <c r="A58" s="120" t="s">
        <v>36</v>
      </c>
      <c r="B58" s="121"/>
      <c r="C58" s="122">
        <f>SUM(C50:D57)</f>
        <v>211436</v>
      </c>
      <c r="D58" s="123"/>
      <c r="E58" s="122">
        <f>SUM(E50:F57)</f>
        <v>211714</v>
      </c>
      <c r="F58" s="123"/>
      <c r="G58" s="122">
        <f>SUM(G50:H57)</f>
        <v>211808</v>
      </c>
      <c r="H58" s="123"/>
      <c r="I58" s="122">
        <f>SUM(I50:J57)</f>
        <v>211835</v>
      </c>
      <c r="J58" s="123"/>
    </row>
    <row r="60" spans="1:11" x14ac:dyDescent="0.3">
      <c r="A60" s="124" t="s">
        <v>37</v>
      </c>
      <c r="B60" s="125"/>
      <c r="C60" s="130" t="s">
        <v>527</v>
      </c>
      <c r="D60" s="131"/>
      <c r="E60" s="130" t="s">
        <v>535</v>
      </c>
      <c r="F60" s="131"/>
      <c r="G60" s="130" t="s">
        <v>547</v>
      </c>
      <c r="H60" s="131"/>
      <c r="I60" s="130" t="s">
        <v>553</v>
      </c>
      <c r="J60" s="131"/>
    </row>
    <row r="61" spans="1:11" x14ac:dyDescent="0.3">
      <c r="A61" s="126"/>
      <c r="B61" s="127"/>
      <c r="C61" s="132">
        <v>139196</v>
      </c>
      <c r="D61" s="133"/>
      <c r="E61" s="132">
        <v>139396</v>
      </c>
      <c r="F61" s="133"/>
      <c r="G61" s="132">
        <v>139443</v>
      </c>
      <c r="H61" s="133"/>
      <c r="I61" s="132">
        <v>139452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435</v>
      </c>
      <c r="D66" s="115"/>
      <c r="E66" s="114" t="s">
        <v>465</v>
      </c>
      <c r="F66" s="115"/>
      <c r="G66" s="114" t="s">
        <v>509</v>
      </c>
      <c r="H66" s="115"/>
      <c r="I66" s="114" t="s">
        <v>548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28847</v>
      </c>
      <c r="D69" s="104"/>
      <c r="E69" s="103">
        <v>29171</v>
      </c>
      <c r="F69" s="104"/>
      <c r="G69" s="103">
        <v>29615</v>
      </c>
      <c r="H69" s="104"/>
      <c r="I69" s="103">
        <v>30064</v>
      </c>
      <c r="J69" s="104"/>
    </row>
    <row r="70" spans="1:10" x14ac:dyDescent="0.3">
      <c r="A70" s="101" t="s">
        <v>13</v>
      </c>
      <c r="B70" s="102"/>
      <c r="C70" s="103">
        <v>6964</v>
      </c>
      <c r="D70" s="104"/>
      <c r="E70" s="103">
        <v>6989</v>
      </c>
      <c r="F70" s="104"/>
      <c r="G70" s="103">
        <v>7028</v>
      </c>
      <c r="H70" s="104"/>
      <c r="I70" s="103">
        <v>7077</v>
      </c>
      <c r="J70" s="104"/>
    </row>
    <row r="71" spans="1:10" x14ac:dyDescent="0.3">
      <c r="A71" s="107" t="s">
        <v>14</v>
      </c>
      <c r="B71" s="108"/>
      <c r="C71" s="103">
        <v>6082</v>
      </c>
      <c r="D71" s="104"/>
      <c r="E71" s="103">
        <v>6128</v>
      </c>
      <c r="F71" s="104"/>
      <c r="G71" s="103">
        <v>6175</v>
      </c>
      <c r="H71" s="104"/>
      <c r="I71" s="103">
        <v>6238</v>
      </c>
      <c r="J71" s="104"/>
    </row>
    <row r="72" spans="1:10" x14ac:dyDescent="0.3">
      <c r="A72" s="107" t="s">
        <v>41</v>
      </c>
      <c r="B72" s="108"/>
      <c r="C72" s="103">
        <v>1362</v>
      </c>
      <c r="D72" s="104"/>
      <c r="E72" s="103">
        <v>1391</v>
      </c>
      <c r="F72" s="104"/>
      <c r="G72" s="103">
        <v>1420</v>
      </c>
      <c r="H72" s="104"/>
      <c r="I72" s="103">
        <v>1453</v>
      </c>
      <c r="J72" s="104"/>
    </row>
    <row r="73" spans="1:10" x14ac:dyDescent="0.3">
      <c r="A73" s="101" t="s">
        <v>15</v>
      </c>
      <c r="B73" s="102"/>
      <c r="C73" s="103">
        <v>4462</v>
      </c>
      <c r="D73" s="104"/>
      <c r="E73" s="103">
        <v>4555</v>
      </c>
      <c r="F73" s="104"/>
      <c r="G73" s="103">
        <v>4623</v>
      </c>
      <c r="H73" s="104"/>
      <c r="I73" s="103">
        <v>4727</v>
      </c>
      <c r="J73" s="104"/>
    </row>
    <row r="74" spans="1:10" x14ac:dyDescent="0.3">
      <c r="A74" s="107" t="s">
        <v>16</v>
      </c>
      <c r="B74" s="108"/>
      <c r="C74" s="103">
        <v>4736</v>
      </c>
      <c r="D74" s="104"/>
      <c r="E74" s="103">
        <v>4774</v>
      </c>
      <c r="F74" s="104"/>
      <c r="G74" s="103">
        <v>4824</v>
      </c>
      <c r="H74" s="104"/>
      <c r="I74" s="103">
        <v>4881</v>
      </c>
      <c r="J74" s="104"/>
    </row>
    <row r="75" spans="1:10" x14ac:dyDescent="0.3">
      <c r="A75" s="101" t="s">
        <v>17</v>
      </c>
      <c r="B75" s="102"/>
      <c r="C75" s="103">
        <v>7119</v>
      </c>
      <c r="D75" s="104"/>
      <c r="E75" s="103">
        <v>7241</v>
      </c>
      <c r="F75" s="104"/>
      <c r="G75" s="103">
        <v>7361</v>
      </c>
      <c r="H75" s="104"/>
      <c r="I75" s="103">
        <v>7645</v>
      </c>
      <c r="J75" s="104"/>
    </row>
    <row r="76" spans="1:10" x14ac:dyDescent="0.3">
      <c r="A76" s="107" t="s">
        <v>18</v>
      </c>
      <c r="B76" s="108"/>
      <c r="C76" s="103">
        <v>1536</v>
      </c>
      <c r="D76" s="104"/>
      <c r="E76" s="103">
        <v>1553</v>
      </c>
      <c r="F76" s="104"/>
      <c r="G76" s="103">
        <v>1582</v>
      </c>
      <c r="H76" s="104"/>
      <c r="I76" s="103">
        <v>1602</v>
      </c>
      <c r="J76" s="104"/>
    </row>
    <row r="77" spans="1:10" x14ac:dyDescent="0.3">
      <c r="A77" s="101" t="s">
        <v>19</v>
      </c>
      <c r="B77" s="102"/>
      <c r="C77" s="103">
        <v>5598</v>
      </c>
      <c r="D77" s="104"/>
      <c r="E77" s="103">
        <v>5711</v>
      </c>
      <c r="F77" s="104"/>
      <c r="G77" s="103">
        <v>5778</v>
      </c>
      <c r="H77" s="104"/>
      <c r="I77" s="103">
        <v>5885</v>
      </c>
      <c r="J77" s="104"/>
    </row>
    <row r="78" spans="1:10" x14ac:dyDescent="0.3">
      <c r="A78" s="105" t="s">
        <v>42</v>
      </c>
      <c r="B78" s="106"/>
      <c r="C78" s="103">
        <f>SUM(C69:C77)</f>
        <v>66706</v>
      </c>
      <c r="D78" s="104"/>
      <c r="E78" s="103">
        <f>SUM(E69:E77)</f>
        <v>67513</v>
      </c>
      <c r="F78" s="104"/>
      <c r="G78" s="103">
        <f>SUM(G69:G77)</f>
        <v>68406</v>
      </c>
      <c r="H78" s="104"/>
      <c r="I78" s="103">
        <f>SUM(I69:I77)</f>
        <v>69572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T78"/>
  <sheetViews>
    <sheetView tabSelected="1" workbookViewId="0">
      <selection activeCell="O22" sqref="O22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6.6640625" style="42" customWidth="1"/>
    <col min="13" max="13" width="9.886718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ht="15" thickBot="1" x14ac:dyDescent="0.35">
      <c r="A4" s="105" t="s">
        <v>9</v>
      </c>
      <c r="B4" s="106"/>
      <c r="C4" s="230" t="s">
        <v>562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3">
        <v>10166</v>
      </c>
      <c r="D5" s="194"/>
      <c r="E5" s="195">
        <v>1022</v>
      </c>
      <c r="F5" s="196"/>
      <c r="G5" s="195">
        <v>1562</v>
      </c>
      <c r="H5" s="196"/>
      <c r="I5" s="195">
        <v>1823</v>
      </c>
      <c r="J5" s="196"/>
      <c r="K5" s="216">
        <v>0</v>
      </c>
      <c r="L5" s="217"/>
      <c r="M5" s="56">
        <v>472</v>
      </c>
      <c r="N5" s="53">
        <v>2060</v>
      </c>
      <c r="O5" s="38">
        <v>928</v>
      </c>
      <c r="P5" s="53">
        <v>2065</v>
      </c>
      <c r="Q5" s="53">
        <v>1783</v>
      </c>
    </row>
    <row r="6" spans="1:18" ht="13.5" customHeight="1" x14ac:dyDescent="0.3">
      <c r="A6" s="211" t="s">
        <v>11</v>
      </c>
      <c r="B6" s="212"/>
      <c r="C6" s="213">
        <v>1518</v>
      </c>
      <c r="D6" s="214"/>
      <c r="E6" s="213">
        <v>54</v>
      </c>
      <c r="F6" s="214"/>
      <c r="G6" s="213">
        <v>1</v>
      </c>
      <c r="H6" s="214"/>
      <c r="I6" s="213">
        <v>0</v>
      </c>
      <c r="J6" s="214"/>
      <c r="K6" s="213">
        <v>0</v>
      </c>
      <c r="L6" s="214"/>
      <c r="M6" s="53">
        <v>7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149">
        <v>292</v>
      </c>
      <c r="D7" s="150"/>
      <c r="E7" s="149">
        <v>338</v>
      </c>
      <c r="F7" s="150"/>
      <c r="G7" s="149">
        <v>240</v>
      </c>
      <c r="H7" s="150"/>
      <c r="I7" s="149">
        <v>211</v>
      </c>
      <c r="J7" s="150"/>
      <c r="K7" s="149">
        <v>37</v>
      </c>
      <c r="L7" s="150"/>
      <c r="M7" s="52">
        <v>295</v>
      </c>
      <c r="N7" s="52">
        <v>45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149">
        <v>155</v>
      </c>
      <c r="D8" s="150"/>
      <c r="E8" s="149">
        <v>159</v>
      </c>
      <c r="F8" s="150"/>
      <c r="G8" s="149">
        <v>0</v>
      </c>
      <c r="H8" s="150"/>
      <c r="I8" s="149">
        <v>173</v>
      </c>
      <c r="J8" s="150"/>
      <c r="K8" s="149">
        <v>0</v>
      </c>
      <c r="L8" s="150"/>
      <c r="M8" s="52">
        <v>105</v>
      </c>
      <c r="N8" s="52">
        <v>15</v>
      </c>
      <c r="O8" s="52">
        <v>0</v>
      </c>
      <c r="P8" s="52">
        <v>0</v>
      </c>
      <c r="Q8" s="52">
        <v>2</v>
      </c>
      <c r="R8" s="46"/>
    </row>
    <row r="9" spans="1:18" x14ac:dyDescent="0.3">
      <c r="A9" s="101" t="s">
        <v>14</v>
      </c>
      <c r="B9" s="102"/>
      <c r="C9" s="149">
        <v>310</v>
      </c>
      <c r="D9" s="150"/>
      <c r="E9" s="149">
        <v>7</v>
      </c>
      <c r="F9" s="150"/>
      <c r="G9" s="149">
        <v>0</v>
      </c>
      <c r="H9" s="150"/>
      <c r="I9" s="149">
        <v>301</v>
      </c>
      <c r="J9" s="150"/>
      <c r="K9" s="149">
        <v>8</v>
      </c>
      <c r="L9" s="150"/>
      <c r="M9" s="52">
        <v>323</v>
      </c>
      <c r="N9" s="52">
        <v>70</v>
      </c>
      <c r="O9" s="52">
        <v>0</v>
      </c>
      <c r="P9" s="52">
        <v>12</v>
      </c>
      <c r="Q9" s="52">
        <v>1</v>
      </c>
    </row>
    <row r="10" spans="1:18" x14ac:dyDescent="0.3">
      <c r="A10" s="101" t="s">
        <v>15</v>
      </c>
      <c r="B10" s="102"/>
      <c r="C10" s="149">
        <v>288</v>
      </c>
      <c r="D10" s="150"/>
      <c r="E10" s="149">
        <v>201</v>
      </c>
      <c r="F10" s="150"/>
      <c r="G10" s="149">
        <v>29</v>
      </c>
      <c r="H10" s="150"/>
      <c r="I10" s="149">
        <v>40</v>
      </c>
      <c r="J10" s="150"/>
      <c r="K10" s="149">
        <v>0</v>
      </c>
      <c r="L10" s="150"/>
      <c r="M10" s="52">
        <v>125</v>
      </c>
      <c r="N10" s="52">
        <v>75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152">
        <v>407</v>
      </c>
      <c r="D11" s="153"/>
      <c r="E11" s="149">
        <v>85</v>
      </c>
      <c r="F11" s="150"/>
      <c r="G11" s="149">
        <v>0</v>
      </c>
      <c r="H11" s="150"/>
      <c r="I11" s="149">
        <v>25</v>
      </c>
      <c r="J11" s="150"/>
      <c r="K11" s="149">
        <v>6</v>
      </c>
      <c r="L11" s="150"/>
      <c r="M11" s="52">
        <v>298</v>
      </c>
      <c r="N11" s="52">
        <v>304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152">
        <v>12</v>
      </c>
      <c r="D12" s="153"/>
      <c r="E12" s="149">
        <v>50</v>
      </c>
      <c r="F12" s="150"/>
      <c r="G12" s="149">
        <v>100</v>
      </c>
      <c r="H12" s="150"/>
      <c r="I12" s="149">
        <v>62</v>
      </c>
      <c r="J12" s="150"/>
      <c r="K12" s="149">
        <v>0</v>
      </c>
      <c r="L12" s="150"/>
      <c r="M12" s="52">
        <v>115</v>
      </c>
      <c r="N12" s="52">
        <v>190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52">
        <v>272</v>
      </c>
      <c r="D13" s="153"/>
      <c r="E13" s="149">
        <v>111</v>
      </c>
      <c r="F13" s="150"/>
      <c r="G13" s="149">
        <v>0</v>
      </c>
      <c r="H13" s="150"/>
      <c r="I13" s="149">
        <v>0</v>
      </c>
      <c r="J13" s="150"/>
      <c r="K13" s="149">
        <v>0</v>
      </c>
      <c r="L13" s="150"/>
      <c r="M13" s="52">
        <v>96</v>
      </c>
      <c r="N13" s="52">
        <v>45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236</v>
      </c>
      <c r="D14" s="206"/>
      <c r="E14" s="205">
        <v>7</v>
      </c>
      <c r="F14" s="206"/>
      <c r="G14" s="205">
        <v>13</v>
      </c>
      <c r="H14" s="206"/>
      <c r="I14" s="149">
        <v>223</v>
      </c>
      <c r="J14" s="150"/>
      <c r="K14" s="205">
        <v>0</v>
      </c>
      <c r="L14" s="206"/>
      <c r="M14" s="59">
        <v>230</v>
      </c>
      <c r="N14" s="59">
        <v>9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0">
        <v>3423</v>
      </c>
      <c r="P15" s="52">
        <v>3127</v>
      </c>
      <c r="Q15" s="52">
        <v>2417</v>
      </c>
    </row>
    <row r="16" spans="1:18" ht="15" thickBot="1" x14ac:dyDescent="0.35">
      <c r="A16" s="199" t="s">
        <v>20</v>
      </c>
      <c r="B16" s="200"/>
      <c r="C16" s="201">
        <f>SUM(C5:D15)</f>
        <v>13656</v>
      </c>
      <c r="D16" s="202"/>
      <c r="E16" s="201">
        <f>SUM(E5:F15)</f>
        <v>2034</v>
      </c>
      <c r="F16" s="202"/>
      <c r="G16" s="201">
        <f>SUM(G5:H15)</f>
        <v>1945</v>
      </c>
      <c r="H16" s="202"/>
      <c r="I16" s="201">
        <f>SUM(I5:J15)</f>
        <v>2858</v>
      </c>
      <c r="J16" s="202"/>
      <c r="K16" s="201">
        <f>SUM(K5:L15)</f>
        <v>51</v>
      </c>
      <c r="L16" s="202"/>
      <c r="M16" s="4">
        <f>SUM(M5:M15)</f>
        <v>2066</v>
      </c>
      <c r="N16" s="4">
        <f>SUM(N5:N15)</f>
        <v>2813</v>
      </c>
      <c r="O16" s="4">
        <f>SUM(O5:O15)</f>
        <v>4433</v>
      </c>
      <c r="P16" s="4">
        <f>SUM(P5:P15)</f>
        <v>5234</v>
      </c>
      <c r="Q16" s="5">
        <f>SUM(Q5:Q15)</f>
        <v>4208</v>
      </c>
    </row>
    <row r="17" spans="1:20" ht="15" thickBot="1" x14ac:dyDescent="0.35">
      <c r="A17" s="190" t="s">
        <v>21</v>
      </c>
      <c r="B17" s="191"/>
      <c r="C17" s="193">
        <v>10166</v>
      </c>
      <c r="D17" s="194"/>
      <c r="E17" s="195">
        <v>1022</v>
      </c>
      <c r="F17" s="196"/>
      <c r="G17" s="195">
        <v>1562</v>
      </c>
      <c r="H17" s="196"/>
      <c r="I17" s="195">
        <v>1823</v>
      </c>
      <c r="J17" s="196"/>
      <c r="K17" s="197">
        <v>0</v>
      </c>
      <c r="L17" s="198"/>
      <c r="M17" s="36">
        <v>472</v>
      </c>
      <c r="N17" s="47">
        <v>2060</v>
      </c>
      <c r="O17" s="56">
        <v>928</v>
      </c>
      <c r="P17" s="53">
        <v>2065</v>
      </c>
      <c r="Q17" s="53">
        <v>1783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</row>
    <row r="23" spans="1:20" ht="45" customHeight="1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89"/>
    </row>
    <row r="24" spans="1:20" x14ac:dyDescent="0.3">
      <c r="A24" s="105" t="s">
        <v>9</v>
      </c>
      <c r="B24" s="106"/>
      <c r="C24" s="418" t="s">
        <v>562</v>
      </c>
      <c r="D24" s="418"/>
      <c r="E24" s="418"/>
      <c r="F24" s="418"/>
      <c r="G24" s="418"/>
      <c r="H24" s="418"/>
      <c r="I24" s="418"/>
      <c r="J24" s="418"/>
      <c r="K24" s="418"/>
    </row>
    <row r="25" spans="1:20" x14ac:dyDescent="0.3">
      <c r="A25" s="101" t="s">
        <v>12</v>
      </c>
      <c r="B25" s="102"/>
      <c r="C25" s="149">
        <v>233</v>
      </c>
      <c r="D25" s="150"/>
      <c r="E25" s="165" t="s">
        <v>563</v>
      </c>
      <c r="F25" s="166"/>
      <c r="G25" s="149">
        <v>0</v>
      </c>
      <c r="H25" s="150"/>
      <c r="I25" s="149">
        <v>16</v>
      </c>
      <c r="J25" s="150"/>
      <c r="K25" s="52">
        <v>0</v>
      </c>
      <c r="N25"/>
      <c r="O25"/>
    </row>
    <row r="26" spans="1:20" x14ac:dyDescent="0.3">
      <c r="A26" s="101" t="s">
        <v>13</v>
      </c>
      <c r="B26" s="102"/>
      <c r="C26" s="149">
        <v>48</v>
      </c>
      <c r="D26" s="150"/>
      <c r="E26" s="165" t="s">
        <v>25</v>
      </c>
      <c r="F26" s="166"/>
      <c r="G26" s="149">
        <v>0</v>
      </c>
      <c r="H26" s="150"/>
      <c r="I26" s="149">
        <v>129</v>
      </c>
      <c r="J26" s="150"/>
      <c r="K26" s="52">
        <v>0</v>
      </c>
      <c r="N26"/>
      <c r="O26"/>
    </row>
    <row r="27" spans="1:20" x14ac:dyDescent="0.3">
      <c r="A27" s="101" t="s">
        <v>14</v>
      </c>
      <c r="B27" s="102"/>
      <c r="C27" s="149">
        <v>139</v>
      </c>
      <c r="D27" s="150"/>
      <c r="E27" s="165" t="s">
        <v>210</v>
      </c>
      <c r="F27" s="166"/>
      <c r="G27" s="149">
        <v>2</v>
      </c>
      <c r="H27" s="150"/>
      <c r="I27" s="149">
        <v>69</v>
      </c>
      <c r="J27" s="150"/>
      <c r="K27" s="52">
        <v>0</v>
      </c>
      <c r="N27"/>
      <c r="O27"/>
    </row>
    <row r="28" spans="1:20" ht="15" customHeight="1" x14ac:dyDescent="0.3">
      <c r="A28" s="101" t="s">
        <v>15</v>
      </c>
      <c r="B28" s="102"/>
      <c r="C28" s="165" t="s">
        <v>560</v>
      </c>
      <c r="D28" s="166"/>
      <c r="E28" s="165" t="s">
        <v>90</v>
      </c>
      <c r="F28" s="166"/>
      <c r="G28" s="149">
        <v>0</v>
      </c>
      <c r="H28" s="150"/>
      <c r="I28" s="149">
        <v>30</v>
      </c>
      <c r="J28" s="150"/>
      <c r="K28" s="52">
        <v>4</v>
      </c>
      <c r="N28"/>
      <c r="O28"/>
    </row>
    <row r="29" spans="1:20" x14ac:dyDescent="0.3">
      <c r="A29" s="101" t="s">
        <v>16</v>
      </c>
      <c r="B29" s="102"/>
      <c r="C29" s="183" t="s">
        <v>555</v>
      </c>
      <c r="D29" s="184"/>
      <c r="E29" s="165" t="s">
        <v>90</v>
      </c>
      <c r="F29" s="166"/>
      <c r="G29" s="149">
        <v>0</v>
      </c>
      <c r="H29" s="150"/>
      <c r="I29" s="149">
        <v>12</v>
      </c>
      <c r="J29" s="150"/>
      <c r="K29" s="52">
        <v>1</v>
      </c>
      <c r="N29"/>
      <c r="O29" s="58"/>
    </row>
    <row r="30" spans="1:20" x14ac:dyDescent="0.3">
      <c r="A30" s="101" t="s">
        <v>17</v>
      </c>
      <c r="B30" s="102"/>
      <c r="C30" s="152">
        <v>3</v>
      </c>
      <c r="D30" s="153"/>
      <c r="E30" s="149" t="s">
        <v>90</v>
      </c>
      <c r="F30" s="150"/>
      <c r="G30" s="149">
        <v>0</v>
      </c>
      <c r="H30" s="150"/>
      <c r="I30" s="149">
        <v>1</v>
      </c>
      <c r="J30" s="150"/>
      <c r="K30" s="52">
        <v>0</v>
      </c>
      <c r="N30"/>
      <c r="O30"/>
      <c r="P30"/>
    </row>
    <row r="31" spans="1:20" x14ac:dyDescent="0.3">
      <c r="A31" s="101" t="s">
        <v>18</v>
      </c>
      <c r="B31" s="102"/>
      <c r="C31" s="152" t="s">
        <v>194</v>
      </c>
      <c r="D31" s="153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</row>
    <row r="36" spans="1:16" ht="49.5" customHeight="1" x14ac:dyDescent="0.3">
      <c r="A36" s="169"/>
      <c r="B36" s="170"/>
      <c r="C36" s="225"/>
      <c r="D36" s="226"/>
      <c r="E36" s="227"/>
      <c r="F36" s="228"/>
      <c r="G36" s="227"/>
      <c r="H36" s="228"/>
      <c r="I36" s="416"/>
      <c r="J36" s="417"/>
      <c r="K36" s="218"/>
    </row>
    <row r="37" spans="1:16" x14ac:dyDescent="0.3">
      <c r="A37" s="105" t="s">
        <v>9</v>
      </c>
      <c r="B37" s="106"/>
      <c r="C37" s="159" t="s">
        <v>562</v>
      </c>
      <c r="D37" s="160"/>
      <c r="E37" s="160"/>
      <c r="F37" s="160"/>
      <c r="G37" s="160"/>
      <c r="H37" s="160"/>
      <c r="I37" s="160"/>
      <c r="J37" s="160"/>
      <c r="K37" s="415"/>
    </row>
    <row r="38" spans="1:16" x14ac:dyDescent="0.3">
      <c r="A38" s="147" t="s">
        <v>12</v>
      </c>
      <c r="B38" s="148"/>
      <c r="C38" s="149">
        <v>0</v>
      </c>
      <c r="D38" s="150"/>
      <c r="E38" s="154" t="s">
        <v>390</v>
      </c>
      <c r="F38" s="155"/>
      <c r="G38" s="149">
        <v>0</v>
      </c>
      <c r="H38" s="150"/>
      <c r="I38" s="149">
        <v>0</v>
      </c>
      <c r="J38" s="150"/>
      <c r="K38" s="52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565</v>
      </c>
      <c r="F39" s="155"/>
      <c r="G39" s="149">
        <v>0</v>
      </c>
      <c r="H39" s="150"/>
      <c r="I39" s="149">
        <v>0</v>
      </c>
      <c r="J39" s="150"/>
      <c r="K39" s="52">
        <v>0</v>
      </c>
    </row>
    <row r="40" spans="1:16" x14ac:dyDescent="0.3">
      <c r="A40" s="147" t="s">
        <v>14</v>
      </c>
      <c r="B40" s="148"/>
      <c r="C40" s="149" t="s">
        <v>176</v>
      </c>
      <c r="D40" s="150"/>
      <c r="E40" s="154" t="s">
        <v>541</v>
      </c>
      <c r="F40" s="155"/>
      <c r="G40" s="149">
        <v>6</v>
      </c>
      <c r="H40" s="150"/>
      <c r="I40" s="149" t="s">
        <v>277</v>
      </c>
      <c r="J40" s="150"/>
      <c r="K40" s="52">
        <v>0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564</v>
      </c>
      <c r="F41" s="155"/>
      <c r="G41" s="149">
        <v>0</v>
      </c>
      <c r="H41" s="150"/>
      <c r="I41" s="149">
        <v>0</v>
      </c>
      <c r="J41" s="150"/>
      <c r="K41" s="52">
        <v>0</v>
      </c>
    </row>
    <row r="42" spans="1:16" x14ac:dyDescent="0.3">
      <c r="A42" s="147" t="s">
        <v>16</v>
      </c>
      <c r="B42" s="148"/>
      <c r="C42" s="152" t="s">
        <v>556</v>
      </c>
      <c r="D42" s="153"/>
      <c r="E42" s="154" t="s">
        <v>557</v>
      </c>
      <c r="F42" s="155"/>
      <c r="G42" s="149">
        <v>0</v>
      </c>
      <c r="H42" s="150"/>
      <c r="I42" s="149" t="s">
        <v>537</v>
      </c>
      <c r="J42" s="150"/>
      <c r="K42" s="52" t="s">
        <v>558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554</v>
      </c>
      <c r="F44" s="150"/>
      <c r="G44" s="149">
        <v>0</v>
      </c>
      <c r="H44" s="150"/>
      <c r="I44" s="149">
        <v>5</v>
      </c>
      <c r="J44" s="150"/>
      <c r="K44" s="52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535</v>
      </c>
      <c r="D49" s="146"/>
      <c r="E49" s="425" t="s">
        <v>547</v>
      </c>
      <c r="F49" s="426"/>
      <c r="G49" s="145" t="s">
        <v>553</v>
      </c>
      <c r="H49" s="146"/>
      <c r="I49" s="145" t="s">
        <v>562</v>
      </c>
      <c r="J49" s="146"/>
    </row>
    <row r="50" spans="1:11" x14ac:dyDescent="0.3">
      <c r="A50" s="120" t="s">
        <v>30</v>
      </c>
      <c r="B50" s="121"/>
      <c r="C50" s="136">
        <v>12556</v>
      </c>
      <c r="D50" s="137"/>
      <c r="E50" s="136">
        <v>12509</v>
      </c>
      <c r="F50" s="137"/>
      <c r="G50" s="136">
        <v>12473</v>
      </c>
      <c r="H50" s="137"/>
      <c r="I50" s="136">
        <v>12426</v>
      </c>
      <c r="J50" s="137"/>
    </row>
    <row r="51" spans="1:11" x14ac:dyDescent="0.3">
      <c r="A51" s="120" t="s">
        <v>31</v>
      </c>
      <c r="B51" s="121"/>
      <c r="C51" s="136">
        <v>9760</v>
      </c>
      <c r="D51" s="137"/>
      <c r="E51" s="136">
        <v>9804</v>
      </c>
      <c r="F51" s="137"/>
      <c r="G51" s="136">
        <v>9835</v>
      </c>
      <c r="H51" s="137"/>
      <c r="I51" s="136">
        <v>9900</v>
      </c>
      <c r="J51" s="137"/>
    </row>
    <row r="52" spans="1:11" x14ac:dyDescent="0.3">
      <c r="A52" s="120" t="s">
        <v>32</v>
      </c>
      <c r="B52" s="121"/>
      <c r="C52" s="136">
        <v>113154</v>
      </c>
      <c r="D52" s="137"/>
      <c r="E52" s="136">
        <v>113097</v>
      </c>
      <c r="F52" s="137"/>
      <c r="G52" s="136">
        <v>113032</v>
      </c>
      <c r="H52" s="137"/>
      <c r="I52" s="136">
        <v>112932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239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49983</v>
      </c>
      <c r="D54" s="137"/>
      <c r="E54" s="136">
        <v>49947</v>
      </c>
      <c r="F54" s="137"/>
      <c r="G54" s="136">
        <v>49924</v>
      </c>
      <c r="H54" s="137"/>
      <c r="I54" s="136">
        <v>49893</v>
      </c>
      <c r="J54" s="137"/>
    </row>
    <row r="55" spans="1:11" x14ac:dyDescent="0.3">
      <c r="A55" s="120" t="s">
        <v>53</v>
      </c>
      <c r="B55" s="121"/>
      <c r="C55" s="138">
        <v>4376</v>
      </c>
      <c r="D55" s="139"/>
      <c r="E55" s="138">
        <v>4378</v>
      </c>
      <c r="F55" s="139"/>
      <c r="G55" s="138">
        <v>4378</v>
      </c>
      <c r="H55" s="139"/>
      <c r="I55" s="138">
        <v>4375</v>
      </c>
      <c r="J55" s="139"/>
    </row>
    <row r="56" spans="1:11" x14ac:dyDescent="0.3">
      <c r="A56" s="120" t="s">
        <v>49</v>
      </c>
      <c r="B56" s="121"/>
      <c r="C56" s="136">
        <v>18880</v>
      </c>
      <c r="D56" s="137"/>
      <c r="E56" s="136">
        <v>19067</v>
      </c>
      <c r="F56" s="137"/>
      <c r="G56" s="136">
        <v>19189</v>
      </c>
      <c r="H56" s="137"/>
      <c r="I56" s="136">
        <v>19405</v>
      </c>
      <c r="J56" s="137"/>
      <c r="K56" s="51"/>
    </row>
    <row r="57" spans="1:11" x14ac:dyDescent="0.3">
      <c r="A57" s="120" t="s">
        <v>35</v>
      </c>
      <c r="B57" s="121"/>
      <c r="C57" s="138">
        <v>2765</v>
      </c>
      <c r="D57" s="139"/>
      <c r="E57" s="138">
        <v>2767</v>
      </c>
      <c r="F57" s="139"/>
      <c r="G57" s="138">
        <v>2764</v>
      </c>
      <c r="H57" s="139"/>
      <c r="I57" s="138">
        <v>2764</v>
      </c>
      <c r="J57" s="139"/>
    </row>
    <row r="58" spans="1:11" x14ac:dyDescent="0.3">
      <c r="A58" s="120" t="s">
        <v>36</v>
      </c>
      <c r="B58" s="121"/>
      <c r="C58" s="122">
        <f>SUM(C50:D57)</f>
        <v>211714</v>
      </c>
      <c r="D58" s="123"/>
      <c r="E58" s="122">
        <f>SUM(E50:F57)</f>
        <v>211808</v>
      </c>
      <c r="F58" s="123"/>
      <c r="G58" s="122">
        <f>SUM(G50:H57)</f>
        <v>211835</v>
      </c>
      <c r="H58" s="123"/>
      <c r="I58" s="122">
        <f>SUM(I50:J57)</f>
        <v>211935</v>
      </c>
      <c r="J58" s="123"/>
    </row>
    <row r="60" spans="1:11" x14ac:dyDescent="0.3">
      <c r="A60" s="124" t="s">
        <v>37</v>
      </c>
      <c r="B60" s="125"/>
      <c r="C60" s="130" t="s">
        <v>535</v>
      </c>
      <c r="D60" s="131"/>
      <c r="E60" s="130" t="s">
        <v>547</v>
      </c>
      <c r="F60" s="131"/>
      <c r="G60" s="130" t="s">
        <v>553</v>
      </c>
      <c r="H60" s="131"/>
      <c r="I60" s="130" t="s">
        <v>562</v>
      </c>
      <c r="J60" s="131"/>
    </row>
    <row r="61" spans="1:11" x14ac:dyDescent="0.3">
      <c r="A61" s="126"/>
      <c r="B61" s="127"/>
      <c r="C61" s="132">
        <v>139396</v>
      </c>
      <c r="D61" s="133"/>
      <c r="E61" s="132">
        <v>139443</v>
      </c>
      <c r="F61" s="133"/>
      <c r="G61" s="132">
        <v>139452</v>
      </c>
      <c r="H61" s="133"/>
      <c r="I61" s="132">
        <v>139531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435</v>
      </c>
      <c r="D66" s="115"/>
      <c r="E66" s="114" t="s">
        <v>465</v>
      </c>
      <c r="F66" s="115"/>
      <c r="G66" s="114" t="s">
        <v>509</v>
      </c>
      <c r="H66" s="115"/>
      <c r="I66" s="114" t="s">
        <v>548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28847</v>
      </c>
      <c r="D69" s="104"/>
      <c r="E69" s="103">
        <v>29171</v>
      </c>
      <c r="F69" s="104"/>
      <c r="G69" s="103">
        <v>29615</v>
      </c>
      <c r="H69" s="104"/>
      <c r="I69" s="103">
        <v>30064</v>
      </c>
      <c r="J69" s="104"/>
    </row>
    <row r="70" spans="1:10" x14ac:dyDescent="0.3">
      <c r="A70" s="101" t="s">
        <v>13</v>
      </c>
      <c r="B70" s="102"/>
      <c r="C70" s="103">
        <v>6964</v>
      </c>
      <c r="D70" s="104"/>
      <c r="E70" s="103">
        <v>6989</v>
      </c>
      <c r="F70" s="104"/>
      <c r="G70" s="103">
        <v>7028</v>
      </c>
      <c r="H70" s="104"/>
      <c r="I70" s="103">
        <v>7077</v>
      </c>
      <c r="J70" s="104"/>
    </row>
    <row r="71" spans="1:10" x14ac:dyDescent="0.3">
      <c r="A71" s="107" t="s">
        <v>14</v>
      </c>
      <c r="B71" s="108"/>
      <c r="C71" s="103">
        <v>6082</v>
      </c>
      <c r="D71" s="104"/>
      <c r="E71" s="103">
        <v>6128</v>
      </c>
      <c r="F71" s="104"/>
      <c r="G71" s="103">
        <v>6175</v>
      </c>
      <c r="H71" s="104"/>
      <c r="I71" s="103">
        <v>6238</v>
      </c>
      <c r="J71" s="104"/>
    </row>
    <row r="72" spans="1:10" x14ac:dyDescent="0.3">
      <c r="A72" s="107" t="s">
        <v>41</v>
      </c>
      <c r="B72" s="108"/>
      <c r="C72" s="103">
        <v>1362</v>
      </c>
      <c r="D72" s="104"/>
      <c r="E72" s="103">
        <v>1391</v>
      </c>
      <c r="F72" s="104"/>
      <c r="G72" s="103">
        <v>1420</v>
      </c>
      <c r="H72" s="104"/>
      <c r="I72" s="103">
        <v>1453</v>
      </c>
      <c r="J72" s="104"/>
    </row>
    <row r="73" spans="1:10" x14ac:dyDescent="0.3">
      <c r="A73" s="101" t="s">
        <v>15</v>
      </c>
      <c r="B73" s="102"/>
      <c r="C73" s="103">
        <v>4462</v>
      </c>
      <c r="D73" s="104"/>
      <c r="E73" s="103">
        <v>4555</v>
      </c>
      <c r="F73" s="104"/>
      <c r="G73" s="103">
        <v>4623</v>
      </c>
      <c r="H73" s="104"/>
      <c r="I73" s="103">
        <v>4727</v>
      </c>
      <c r="J73" s="104"/>
    </row>
    <row r="74" spans="1:10" x14ac:dyDescent="0.3">
      <c r="A74" s="107" t="s">
        <v>16</v>
      </c>
      <c r="B74" s="108"/>
      <c r="C74" s="103">
        <v>4736</v>
      </c>
      <c r="D74" s="104"/>
      <c r="E74" s="103">
        <v>4774</v>
      </c>
      <c r="F74" s="104"/>
      <c r="G74" s="103">
        <v>4824</v>
      </c>
      <c r="H74" s="104"/>
      <c r="I74" s="103">
        <v>4881</v>
      </c>
      <c r="J74" s="104"/>
    </row>
    <row r="75" spans="1:10" x14ac:dyDescent="0.3">
      <c r="A75" s="101" t="s">
        <v>17</v>
      </c>
      <c r="B75" s="102"/>
      <c r="C75" s="103">
        <v>7119</v>
      </c>
      <c r="D75" s="104"/>
      <c r="E75" s="103">
        <v>7241</v>
      </c>
      <c r="F75" s="104"/>
      <c r="G75" s="103">
        <v>7361</v>
      </c>
      <c r="H75" s="104"/>
      <c r="I75" s="103">
        <v>7645</v>
      </c>
      <c r="J75" s="104"/>
    </row>
    <row r="76" spans="1:10" x14ac:dyDescent="0.3">
      <c r="A76" s="107" t="s">
        <v>18</v>
      </c>
      <c r="B76" s="108"/>
      <c r="C76" s="103">
        <v>1536</v>
      </c>
      <c r="D76" s="104"/>
      <c r="E76" s="103">
        <v>1553</v>
      </c>
      <c r="F76" s="104"/>
      <c r="G76" s="103">
        <v>1582</v>
      </c>
      <c r="H76" s="104"/>
      <c r="I76" s="103">
        <v>1602</v>
      </c>
      <c r="J76" s="104"/>
    </row>
    <row r="77" spans="1:10" x14ac:dyDescent="0.3">
      <c r="A77" s="101" t="s">
        <v>19</v>
      </c>
      <c r="B77" s="102"/>
      <c r="C77" s="103">
        <v>5598</v>
      </c>
      <c r="D77" s="104"/>
      <c r="E77" s="103">
        <v>5711</v>
      </c>
      <c r="F77" s="104"/>
      <c r="G77" s="103">
        <v>5778</v>
      </c>
      <c r="H77" s="104"/>
      <c r="I77" s="103">
        <v>5885</v>
      </c>
      <c r="J77" s="104"/>
    </row>
    <row r="78" spans="1:10" x14ac:dyDescent="0.3">
      <c r="A78" s="105" t="s">
        <v>42</v>
      </c>
      <c r="B78" s="106"/>
      <c r="C78" s="103">
        <f>SUM(C69:C77)</f>
        <v>66706</v>
      </c>
      <c r="D78" s="104"/>
      <c r="E78" s="103">
        <f>SUM(E69:E77)</f>
        <v>67513</v>
      </c>
      <c r="F78" s="104"/>
      <c r="G78" s="103">
        <f>SUM(G69:G77)</f>
        <v>68406</v>
      </c>
      <c r="H78" s="104"/>
      <c r="I78" s="103">
        <f>SUM(I69:I77)</f>
        <v>69572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T78"/>
  <sheetViews>
    <sheetView workbookViewId="0">
      <selection activeCell="C6" sqref="C6:Q6"/>
    </sheetView>
  </sheetViews>
  <sheetFormatPr defaultColWidth="9.109375"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customWidth="1"/>
    <col min="15" max="15" width="8.6640625" style="42" customWidth="1"/>
    <col min="16" max="16" width="11.5546875" style="42" customWidth="1"/>
    <col min="17" max="17" width="7.44140625" style="42" customWidth="1"/>
    <col min="18" max="16384" width="9.109375" style="42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5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ht="15" thickBot="1" x14ac:dyDescent="0.35">
      <c r="A4" s="105" t="s">
        <v>9</v>
      </c>
      <c r="B4" s="106"/>
      <c r="C4" s="230" t="s">
        <v>566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429">
        <v>9916</v>
      </c>
      <c r="D5" s="430"/>
      <c r="E5" s="431">
        <v>1022</v>
      </c>
      <c r="F5" s="432"/>
      <c r="G5" s="431">
        <v>1512</v>
      </c>
      <c r="H5" s="432"/>
      <c r="I5" s="431">
        <v>1703</v>
      </c>
      <c r="J5" s="432"/>
      <c r="K5" s="433">
        <v>0</v>
      </c>
      <c r="L5" s="434"/>
      <c r="M5" s="64">
        <v>322</v>
      </c>
      <c r="N5" s="65">
        <v>2020</v>
      </c>
      <c r="O5" s="66">
        <v>228</v>
      </c>
      <c r="P5" s="65">
        <v>1635</v>
      </c>
      <c r="Q5" s="67">
        <v>1303</v>
      </c>
    </row>
    <row r="6" spans="1:18" ht="13.5" customHeight="1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</row>
    <row r="7" spans="1:18" x14ac:dyDescent="0.3">
      <c r="A7" s="101" t="s">
        <v>12</v>
      </c>
      <c r="B7" s="102"/>
      <c r="C7" s="149">
        <v>389</v>
      </c>
      <c r="D7" s="150"/>
      <c r="E7" s="149">
        <v>337</v>
      </c>
      <c r="F7" s="150"/>
      <c r="G7" s="149">
        <v>240</v>
      </c>
      <c r="H7" s="150"/>
      <c r="I7" s="149">
        <v>242</v>
      </c>
      <c r="J7" s="150"/>
      <c r="K7" s="149">
        <v>29</v>
      </c>
      <c r="L7" s="150"/>
      <c r="M7" s="52">
        <v>391</v>
      </c>
      <c r="N7" s="52">
        <v>45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149">
        <v>141</v>
      </c>
      <c r="D8" s="150"/>
      <c r="E8" s="149">
        <v>141</v>
      </c>
      <c r="F8" s="150"/>
      <c r="G8" s="149">
        <v>0</v>
      </c>
      <c r="H8" s="150"/>
      <c r="I8" s="149">
        <v>172</v>
      </c>
      <c r="J8" s="150"/>
      <c r="K8" s="149">
        <v>0</v>
      </c>
      <c r="L8" s="150"/>
      <c r="M8" s="52">
        <v>86</v>
      </c>
      <c r="N8" s="52">
        <v>15</v>
      </c>
      <c r="O8" s="52">
        <v>0</v>
      </c>
      <c r="P8" s="52">
        <v>0</v>
      </c>
      <c r="Q8" s="52">
        <v>2</v>
      </c>
      <c r="R8" s="46"/>
    </row>
    <row r="9" spans="1:18" x14ac:dyDescent="0.3">
      <c r="A9" s="101" t="s">
        <v>14</v>
      </c>
      <c r="B9" s="102"/>
      <c r="C9" s="149">
        <v>242</v>
      </c>
      <c r="D9" s="150"/>
      <c r="E9" s="149">
        <v>7</v>
      </c>
      <c r="F9" s="150"/>
      <c r="G9" s="149">
        <v>0</v>
      </c>
      <c r="H9" s="150"/>
      <c r="I9" s="149">
        <v>276</v>
      </c>
      <c r="J9" s="150"/>
      <c r="K9" s="149">
        <v>9</v>
      </c>
      <c r="L9" s="150"/>
      <c r="M9" s="52">
        <v>314</v>
      </c>
      <c r="N9" s="52">
        <v>70</v>
      </c>
      <c r="O9" s="52">
        <v>0</v>
      </c>
      <c r="P9" s="52">
        <v>12</v>
      </c>
      <c r="Q9" s="52">
        <v>1</v>
      </c>
    </row>
    <row r="10" spans="1:18" x14ac:dyDescent="0.3">
      <c r="A10" s="101" t="s">
        <v>15</v>
      </c>
      <c r="B10" s="102"/>
      <c r="C10" s="149">
        <v>270</v>
      </c>
      <c r="D10" s="150"/>
      <c r="E10" s="149">
        <v>170</v>
      </c>
      <c r="F10" s="150"/>
      <c r="G10" s="149">
        <v>28</v>
      </c>
      <c r="H10" s="150"/>
      <c r="I10" s="149">
        <v>40</v>
      </c>
      <c r="J10" s="150"/>
      <c r="K10" s="149">
        <v>0</v>
      </c>
      <c r="L10" s="150"/>
      <c r="M10" s="52">
        <v>105</v>
      </c>
      <c r="N10" s="52">
        <v>70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152">
        <v>322</v>
      </c>
      <c r="D11" s="153"/>
      <c r="E11" s="149">
        <v>68</v>
      </c>
      <c r="F11" s="150"/>
      <c r="G11" s="149">
        <v>0</v>
      </c>
      <c r="H11" s="150"/>
      <c r="I11" s="149">
        <v>22</v>
      </c>
      <c r="J11" s="150"/>
      <c r="K11" s="149">
        <v>6</v>
      </c>
      <c r="L11" s="150"/>
      <c r="M11" s="52">
        <v>292</v>
      </c>
      <c r="N11" s="52">
        <v>300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152">
        <v>232</v>
      </c>
      <c r="D12" s="153"/>
      <c r="E12" s="149">
        <v>50</v>
      </c>
      <c r="F12" s="150"/>
      <c r="G12" s="149">
        <v>100</v>
      </c>
      <c r="H12" s="150"/>
      <c r="I12" s="149">
        <v>272</v>
      </c>
      <c r="J12" s="150"/>
      <c r="K12" s="149">
        <v>0</v>
      </c>
      <c r="L12" s="150"/>
      <c r="M12" s="52">
        <v>80</v>
      </c>
      <c r="N12" s="52">
        <v>180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267</v>
      </c>
      <c r="D13" s="150"/>
      <c r="E13" s="149">
        <v>109</v>
      </c>
      <c r="F13" s="150"/>
      <c r="G13" s="149">
        <v>0</v>
      </c>
      <c r="H13" s="150"/>
      <c r="I13" s="149">
        <v>0</v>
      </c>
      <c r="J13" s="150"/>
      <c r="K13" s="149">
        <v>0</v>
      </c>
      <c r="L13" s="150"/>
      <c r="M13" s="52">
        <v>95</v>
      </c>
      <c r="N13" s="52">
        <v>44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215</v>
      </c>
      <c r="D14" s="206"/>
      <c r="E14" s="205">
        <v>7</v>
      </c>
      <c r="F14" s="206"/>
      <c r="G14" s="205">
        <v>13</v>
      </c>
      <c r="H14" s="206"/>
      <c r="I14" s="149">
        <v>207</v>
      </c>
      <c r="J14" s="150"/>
      <c r="K14" s="205">
        <v>0</v>
      </c>
      <c r="L14" s="206"/>
      <c r="M14" s="59">
        <v>216</v>
      </c>
      <c r="N14" s="59">
        <v>9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2710</v>
      </c>
      <c r="P15" s="52">
        <v>2677</v>
      </c>
      <c r="Q15" s="63">
        <v>2048</v>
      </c>
    </row>
    <row r="16" spans="1:18" ht="15" thickBot="1" x14ac:dyDescent="0.35">
      <c r="A16" s="199" t="s">
        <v>20</v>
      </c>
      <c r="B16" s="200"/>
      <c r="C16" s="201">
        <f>SUM(C5:D15)</f>
        <v>13064</v>
      </c>
      <c r="D16" s="202"/>
      <c r="E16" s="201">
        <f>SUM(E5:F15)</f>
        <v>1911</v>
      </c>
      <c r="F16" s="202"/>
      <c r="G16" s="201">
        <f>SUM(G5:H15)</f>
        <v>1893</v>
      </c>
      <c r="H16" s="202"/>
      <c r="I16" s="201">
        <f>SUM(I5:J15)</f>
        <v>2934</v>
      </c>
      <c r="J16" s="202"/>
      <c r="K16" s="201">
        <f>SUM(K5:L15)</f>
        <v>44</v>
      </c>
      <c r="L16" s="202"/>
      <c r="M16" s="4">
        <f>SUM(M5:M15)</f>
        <v>1901</v>
      </c>
      <c r="N16" s="4">
        <f>SUM(N5:N15)</f>
        <v>2753</v>
      </c>
      <c r="O16" s="4">
        <f>SUM(O5:O15)</f>
        <v>3020</v>
      </c>
      <c r="P16" s="4">
        <f>SUM(P5:P15)</f>
        <v>4354</v>
      </c>
      <c r="Q16" s="33">
        <f>SUM(Q5:Q15)</f>
        <v>3359</v>
      </c>
    </row>
    <row r="17" spans="1:20" ht="15" thickBot="1" x14ac:dyDescent="0.35">
      <c r="A17" s="190" t="s">
        <v>21</v>
      </c>
      <c r="B17" s="191"/>
      <c r="C17" s="193">
        <v>9916</v>
      </c>
      <c r="D17" s="194"/>
      <c r="E17" s="195">
        <v>1022</v>
      </c>
      <c r="F17" s="196"/>
      <c r="G17" s="195">
        <v>1512</v>
      </c>
      <c r="H17" s="196"/>
      <c r="I17" s="195">
        <v>1703</v>
      </c>
      <c r="J17" s="196"/>
      <c r="K17" s="197">
        <v>0</v>
      </c>
      <c r="L17" s="198"/>
      <c r="M17" s="36">
        <v>322</v>
      </c>
      <c r="N17" s="47">
        <v>2020</v>
      </c>
      <c r="O17" s="36">
        <v>2710</v>
      </c>
      <c r="P17" s="37">
        <v>2677</v>
      </c>
      <c r="Q17" s="37">
        <v>2048</v>
      </c>
    </row>
    <row r="18" spans="1:20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T18" s="48"/>
    </row>
    <row r="19" spans="1:20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48"/>
    </row>
    <row r="20" spans="1:20" x14ac:dyDescent="0.3">
      <c r="O20" s="49"/>
    </row>
    <row r="22" spans="1:20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20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20" x14ac:dyDescent="0.3">
      <c r="A24" s="105" t="s">
        <v>9</v>
      </c>
      <c r="B24" s="158"/>
      <c r="C24" s="159" t="s">
        <v>566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20" x14ac:dyDescent="0.3">
      <c r="A25" s="101" t="s">
        <v>12</v>
      </c>
      <c r="B25" s="102"/>
      <c r="C25" s="161">
        <v>298</v>
      </c>
      <c r="D25" s="162"/>
      <c r="E25" s="185" t="s">
        <v>573</v>
      </c>
      <c r="F25" s="186"/>
      <c r="G25" s="161">
        <v>0</v>
      </c>
      <c r="H25" s="162"/>
      <c r="I25" s="161">
        <v>16</v>
      </c>
      <c r="J25" s="162"/>
      <c r="K25" s="70">
        <v>0</v>
      </c>
      <c r="L25" s="69"/>
      <c r="M25" s="69"/>
      <c r="N25"/>
      <c r="O25"/>
    </row>
    <row r="26" spans="1:20" x14ac:dyDescent="0.3">
      <c r="A26" s="101" t="s">
        <v>13</v>
      </c>
      <c r="B26" s="102"/>
      <c r="C26" s="149">
        <v>49</v>
      </c>
      <c r="D26" s="150"/>
      <c r="E26" s="165" t="s">
        <v>25</v>
      </c>
      <c r="F26" s="166"/>
      <c r="G26" s="149">
        <v>0</v>
      </c>
      <c r="H26" s="150"/>
      <c r="I26" s="149">
        <v>133</v>
      </c>
      <c r="J26" s="150"/>
      <c r="K26" s="52">
        <v>0</v>
      </c>
      <c r="L26" s="68"/>
      <c r="M26" s="68"/>
      <c r="N26"/>
      <c r="O26"/>
    </row>
    <row r="27" spans="1:20" x14ac:dyDescent="0.3">
      <c r="A27" s="101" t="s">
        <v>14</v>
      </c>
      <c r="B27" s="102"/>
      <c r="C27" s="149">
        <v>130</v>
      </c>
      <c r="D27" s="150"/>
      <c r="E27" s="165" t="s">
        <v>46</v>
      </c>
      <c r="F27" s="166"/>
      <c r="G27" s="149">
        <v>2</v>
      </c>
      <c r="H27" s="150"/>
      <c r="I27" s="149">
        <v>68</v>
      </c>
      <c r="J27" s="150"/>
      <c r="K27" s="52">
        <v>0</v>
      </c>
      <c r="L27" s="68"/>
      <c r="M27" s="68"/>
      <c r="N27"/>
      <c r="O27"/>
    </row>
    <row r="28" spans="1:20" ht="15" customHeight="1" x14ac:dyDescent="0.3">
      <c r="A28" s="101" t="s">
        <v>15</v>
      </c>
      <c r="B28" s="102"/>
      <c r="C28" s="165" t="s">
        <v>560</v>
      </c>
      <c r="D28" s="166"/>
      <c r="E28" s="165" t="s">
        <v>90</v>
      </c>
      <c r="F28" s="166"/>
      <c r="G28" s="149">
        <v>0</v>
      </c>
      <c r="H28" s="150"/>
      <c r="I28" s="149">
        <v>30</v>
      </c>
      <c r="J28" s="150"/>
      <c r="K28" s="52">
        <v>6</v>
      </c>
      <c r="L28" s="68"/>
      <c r="M28" s="68"/>
      <c r="N28"/>
      <c r="O28"/>
    </row>
    <row r="29" spans="1:20" x14ac:dyDescent="0.3">
      <c r="A29" s="101" t="s">
        <v>16</v>
      </c>
      <c r="B29" s="102"/>
      <c r="C29" s="183" t="s">
        <v>568</v>
      </c>
      <c r="D29" s="184"/>
      <c r="E29" s="165" t="s">
        <v>90</v>
      </c>
      <c r="F29" s="166"/>
      <c r="G29" s="149">
        <v>0</v>
      </c>
      <c r="H29" s="150"/>
      <c r="I29" s="149">
        <v>15</v>
      </c>
      <c r="J29" s="150"/>
      <c r="K29" s="52">
        <v>2</v>
      </c>
      <c r="L29" s="68"/>
      <c r="M29" s="68"/>
      <c r="N29"/>
      <c r="O29" s="58"/>
    </row>
    <row r="30" spans="1:20" x14ac:dyDescent="0.3">
      <c r="A30" s="101" t="s">
        <v>17</v>
      </c>
      <c r="B30" s="102"/>
      <c r="C30" s="152">
        <v>4</v>
      </c>
      <c r="D30" s="153"/>
      <c r="E30" s="149" t="s">
        <v>90</v>
      </c>
      <c r="F30" s="150"/>
      <c r="G30" s="149">
        <v>0</v>
      </c>
      <c r="H30" s="150"/>
      <c r="I30" s="149">
        <v>3</v>
      </c>
      <c r="J30" s="150"/>
      <c r="K30" s="52">
        <v>0</v>
      </c>
      <c r="L30" s="68"/>
      <c r="M30" s="68"/>
      <c r="N30"/>
      <c r="O30"/>
      <c r="P30"/>
    </row>
    <row r="31" spans="1:20" x14ac:dyDescent="0.3">
      <c r="A31" s="101" t="s">
        <v>18</v>
      </c>
      <c r="B31" s="102"/>
      <c r="C31" s="183" t="s">
        <v>167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68"/>
      <c r="M31" s="68"/>
      <c r="N31" s="16"/>
      <c r="O31"/>
      <c r="P31"/>
    </row>
    <row r="32" spans="1:20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68"/>
      <c r="M32" s="68"/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566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0</v>
      </c>
      <c r="D38" s="162"/>
      <c r="E38" s="163" t="s">
        <v>69</v>
      </c>
      <c r="F38" s="164"/>
      <c r="G38" s="161">
        <v>0</v>
      </c>
      <c r="H38" s="162"/>
      <c r="I38" s="161">
        <v>0</v>
      </c>
      <c r="J38" s="162"/>
      <c r="K38" s="70">
        <v>0</v>
      </c>
      <c r="L38" s="69"/>
      <c r="M38" s="69"/>
    </row>
    <row r="39" spans="1:16" x14ac:dyDescent="0.3">
      <c r="A39" s="147" t="s">
        <v>13</v>
      </c>
      <c r="B39" s="148"/>
      <c r="C39" s="149">
        <v>0</v>
      </c>
      <c r="D39" s="150"/>
      <c r="E39" s="154" t="s">
        <v>567</v>
      </c>
      <c r="F39" s="155"/>
      <c r="G39" s="149">
        <v>0</v>
      </c>
      <c r="H39" s="150"/>
      <c r="I39" s="149">
        <v>0</v>
      </c>
      <c r="J39" s="150"/>
      <c r="K39" s="52">
        <v>0</v>
      </c>
      <c r="L39" s="68"/>
      <c r="M39" s="68"/>
    </row>
    <row r="40" spans="1:16" x14ac:dyDescent="0.3">
      <c r="A40" s="147" t="s">
        <v>14</v>
      </c>
      <c r="B40" s="148"/>
      <c r="C40" s="149" t="s">
        <v>176</v>
      </c>
      <c r="D40" s="150"/>
      <c r="E40" s="154" t="s">
        <v>541</v>
      </c>
      <c r="F40" s="155"/>
      <c r="G40" s="149">
        <v>6</v>
      </c>
      <c r="H40" s="150"/>
      <c r="I40" s="149" t="s">
        <v>277</v>
      </c>
      <c r="J40" s="150"/>
      <c r="K40" s="52">
        <v>0</v>
      </c>
      <c r="L40" s="68"/>
      <c r="M40" s="68"/>
    </row>
    <row r="41" spans="1:16" x14ac:dyDescent="0.3">
      <c r="A41" s="147" t="s">
        <v>15</v>
      </c>
      <c r="B41" s="148"/>
      <c r="C41" s="152">
        <v>0</v>
      </c>
      <c r="D41" s="153"/>
      <c r="E41" s="154" t="s">
        <v>572</v>
      </c>
      <c r="F41" s="155"/>
      <c r="G41" s="149">
        <v>0</v>
      </c>
      <c r="H41" s="150"/>
      <c r="I41" s="149">
        <v>0</v>
      </c>
      <c r="J41" s="150"/>
      <c r="K41" s="52">
        <v>0</v>
      </c>
      <c r="L41" s="68"/>
      <c r="M41" s="68"/>
    </row>
    <row r="42" spans="1:16" x14ac:dyDescent="0.3">
      <c r="A42" s="147" t="s">
        <v>16</v>
      </c>
      <c r="B42" s="148"/>
      <c r="C42" s="152" t="s">
        <v>569</v>
      </c>
      <c r="D42" s="153"/>
      <c r="E42" s="154" t="s">
        <v>570</v>
      </c>
      <c r="F42" s="155"/>
      <c r="G42" s="149">
        <v>0</v>
      </c>
      <c r="H42" s="150"/>
      <c r="I42" s="149" t="s">
        <v>537</v>
      </c>
      <c r="J42" s="150"/>
      <c r="K42" s="52" t="s">
        <v>571</v>
      </c>
      <c r="L42" s="68"/>
      <c r="M42" s="68"/>
    </row>
    <row r="43" spans="1:16" x14ac:dyDescent="0.3">
      <c r="A43" s="147" t="s">
        <v>17</v>
      </c>
      <c r="B43" s="148"/>
      <c r="C43" s="152">
        <v>0</v>
      </c>
      <c r="D43" s="153"/>
      <c r="E43" s="149" t="s">
        <v>88</v>
      </c>
      <c r="F43" s="150"/>
      <c r="G43" s="149">
        <v>0</v>
      </c>
      <c r="H43" s="150"/>
      <c r="I43" s="149">
        <v>0</v>
      </c>
      <c r="J43" s="150"/>
      <c r="K43" s="52">
        <v>0</v>
      </c>
      <c r="L43" s="68"/>
      <c r="M43" s="68"/>
    </row>
    <row r="44" spans="1:16" x14ac:dyDescent="0.3">
      <c r="A44" s="147" t="s">
        <v>18</v>
      </c>
      <c r="B44" s="148"/>
      <c r="C44" s="152">
        <v>2</v>
      </c>
      <c r="D44" s="153"/>
      <c r="E44" s="149" t="s">
        <v>539</v>
      </c>
      <c r="F44" s="150"/>
      <c r="G44" s="149">
        <v>0</v>
      </c>
      <c r="H44" s="150"/>
      <c r="I44" s="149">
        <v>5</v>
      </c>
      <c r="J44" s="150"/>
      <c r="K44" s="52">
        <v>0</v>
      </c>
      <c r="L44" s="68"/>
      <c r="M44" s="68"/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68"/>
      <c r="M45" s="68"/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425" t="s">
        <v>547</v>
      </c>
      <c r="D49" s="426"/>
      <c r="E49" s="145" t="s">
        <v>553</v>
      </c>
      <c r="F49" s="146"/>
      <c r="G49" s="145" t="s">
        <v>562</v>
      </c>
      <c r="H49" s="146"/>
      <c r="I49" s="145" t="s">
        <v>566</v>
      </c>
      <c r="J49" s="146"/>
    </row>
    <row r="50" spans="1:11" x14ac:dyDescent="0.3">
      <c r="A50" s="120" t="s">
        <v>30</v>
      </c>
      <c r="B50" s="121"/>
      <c r="C50" s="136">
        <v>12509</v>
      </c>
      <c r="D50" s="137"/>
      <c r="E50" s="136">
        <v>12473</v>
      </c>
      <c r="F50" s="137"/>
      <c r="G50" s="136">
        <v>12426</v>
      </c>
      <c r="H50" s="137"/>
      <c r="I50" s="136">
        <v>12398</v>
      </c>
      <c r="J50" s="137"/>
    </row>
    <row r="51" spans="1:11" x14ac:dyDescent="0.3">
      <c r="A51" s="120" t="s">
        <v>31</v>
      </c>
      <c r="B51" s="121"/>
      <c r="C51" s="136">
        <v>9804</v>
      </c>
      <c r="D51" s="137"/>
      <c r="E51" s="136">
        <v>9835</v>
      </c>
      <c r="F51" s="137"/>
      <c r="G51" s="136">
        <v>9900</v>
      </c>
      <c r="H51" s="137"/>
      <c r="I51" s="136">
        <v>9963</v>
      </c>
      <c r="J51" s="137"/>
    </row>
    <row r="52" spans="1:11" x14ac:dyDescent="0.3">
      <c r="A52" s="120" t="s">
        <v>32</v>
      </c>
      <c r="B52" s="121"/>
      <c r="C52" s="136">
        <v>113097</v>
      </c>
      <c r="D52" s="137"/>
      <c r="E52" s="136">
        <v>113032</v>
      </c>
      <c r="F52" s="137"/>
      <c r="G52" s="136">
        <v>112932</v>
      </c>
      <c r="H52" s="137"/>
      <c r="I52" s="136">
        <v>112858</v>
      </c>
      <c r="J52" s="137"/>
    </row>
    <row r="53" spans="1:11" x14ac:dyDescent="0.3">
      <c r="A53" s="120" t="s">
        <v>33</v>
      </c>
      <c r="B53" s="121"/>
      <c r="C53" s="138">
        <v>239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49947</v>
      </c>
      <c r="D54" s="137"/>
      <c r="E54" s="136">
        <v>49924</v>
      </c>
      <c r="F54" s="137"/>
      <c r="G54" s="136">
        <v>49893</v>
      </c>
      <c r="H54" s="137"/>
      <c r="I54" s="136">
        <v>49854</v>
      </c>
      <c r="J54" s="137"/>
    </row>
    <row r="55" spans="1:11" x14ac:dyDescent="0.3">
      <c r="A55" s="120" t="s">
        <v>53</v>
      </c>
      <c r="B55" s="121"/>
      <c r="C55" s="138">
        <v>4378</v>
      </c>
      <c r="D55" s="139"/>
      <c r="E55" s="138">
        <v>4378</v>
      </c>
      <c r="F55" s="139"/>
      <c r="G55" s="138">
        <v>4375</v>
      </c>
      <c r="H55" s="139"/>
      <c r="I55" s="138">
        <v>4372</v>
      </c>
      <c r="J55" s="139"/>
    </row>
    <row r="56" spans="1:11" x14ac:dyDescent="0.3">
      <c r="A56" s="120" t="s">
        <v>49</v>
      </c>
      <c r="B56" s="121"/>
      <c r="C56" s="136">
        <v>19067</v>
      </c>
      <c r="D56" s="137"/>
      <c r="E56" s="136">
        <v>19189</v>
      </c>
      <c r="F56" s="137"/>
      <c r="G56" s="136">
        <v>19405</v>
      </c>
      <c r="H56" s="137"/>
      <c r="I56" s="136">
        <v>19590</v>
      </c>
      <c r="J56" s="137"/>
      <c r="K56" s="51"/>
    </row>
    <row r="57" spans="1:11" x14ac:dyDescent="0.3">
      <c r="A57" s="120" t="s">
        <v>35</v>
      </c>
      <c r="B57" s="121"/>
      <c r="C57" s="138">
        <v>2767</v>
      </c>
      <c r="D57" s="139"/>
      <c r="E57" s="138">
        <v>2764</v>
      </c>
      <c r="F57" s="139"/>
      <c r="G57" s="138">
        <v>2764</v>
      </c>
      <c r="H57" s="139"/>
      <c r="I57" s="138">
        <v>2766</v>
      </c>
      <c r="J57" s="139"/>
    </row>
    <row r="58" spans="1:11" x14ac:dyDescent="0.3">
      <c r="A58" s="120" t="s">
        <v>36</v>
      </c>
      <c r="B58" s="121"/>
      <c r="C58" s="122">
        <f>SUM(C50:D57)</f>
        <v>211808</v>
      </c>
      <c r="D58" s="123"/>
      <c r="E58" s="122">
        <f>SUM(E50:F57)</f>
        <v>211835</v>
      </c>
      <c r="F58" s="123"/>
      <c r="G58" s="122">
        <f>SUM(G50:H57)</f>
        <v>211935</v>
      </c>
      <c r="H58" s="123"/>
      <c r="I58" s="122">
        <f>SUM(I50:J57)</f>
        <v>212041</v>
      </c>
      <c r="J58" s="123"/>
    </row>
    <row r="60" spans="1:11" x14ac:dyDescent="0.3">
      <c r="A60" s="124" t="s">
        <v>37</v>
      </c>
      <c r="B60" s="125"/>
      <c r="C60" s="130" t="s">
        <v>547</v>
      </c>
      <c r="D60" s="131"/>
      <c r="E60" s="130" t="s">
        <v>553</v>
      </c>
      <c r="F60" s="131"/>
      <c r="G60" s="130" t="s">
        <v>562</v>
      </c>
      <c r="H60" s="131"/>
      <c r="I60" s="130" t="s">
        <v>566</v>
      </c>
      <c r="J60" s="131"/>
    </row>
    <row r="61" spans="1:11" x14ac:dyDescent="0.3">
      <c r="A61" s="126"/>
      <c r="B61" s="127"/>
      <c r="C61" s="132">
        <v>139443</v>
      </c>
      <c r="D61" s="133"/>
      <c r="E61" s="132">
        <v>139452</v>
      </c>
      <c r="F61" s="133"/>
      <c r="G61" s="132">
        <v>139531</v>
      </c>
      <c r="H61" s="133"/>
      <c r="I61" s="132">
        <v>139592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ht="15" customHeight="1" x14ac:dyDescent="0.3">
      <c r="A66" s="112" t="s">
        <v>9</v>
      </c>
      <c r="B66" s="113"/>
      <c r="C66" s="114" t="s">
        <v>435</v>
      </c>
      <c r="D66" s="115"/>
      <c r="E66" s="114" t="s">
        <v>465</v>
      </c>
      <c r="F66" s="115"/>
      <c r="G66" s="114" t="s">
        <v>509</v>
      </c>
      <c r="H66" s="115"/>
      <c r="I66" s="114" t="s">
        <v>548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28847</v>
      </c>
      <c r="D69" s="104"/>
      <c r="E69" s="103">
        <v>29171</v>
      </c>
      <c r="F69" s="104"/>
      <c r="G69" s="103">
        <v>29615</v>
      </c>
      <c r="H69" s="104"/>
      <c r="I69" s="103">
        <v>30064</v>
      </c>
      <c r="J69" s="104"/>
    </row>
    <row r="70" spans="1:10" x14ac:dyDescent="0.3">
      <c r="A70" s="101" t="s">
        <v>13</v>
      </c>
      <c r="B70" s="102"/>
      <c r="C70" s="103">
        <v>6964</v>
      </c>
      <c r="D70" s="104"/>
      <c r="E70" s="103">
        <v>6989</v>
      </c>
      <c r="F70" s="104"/>
      <c r="G70" s="103">
        <v>7028</v>
      </c>
      <c r="H70" s="104"/>
      <c r="I70" s="103">
        <v>7077</v>
      </c>
      <c r="J70" s="104"/>
    </row>
    <row r="71" spans="1:10" x14ac:dyDescent="0.3">
      <c r="A71" s="107" t="s">
        <v>14</v>
      </c>
      <c r="B71" s="108"/>
      <c r="C71" s="103">
        <v>6082</v>
      </c>
      <c r="D71" s="104"/>
      <c r="E71" s="103">
        <v>6128</v>
      </c>
      <c r="F71" s="104"/>
      <c r="G71" s="103">
        <v>6175</v>
      </c>
      <c r="H71" s="104"/>
      <c r="I71" s="103">
        <v>6238</v>
      </c>
      <c r="J71" s="104"/>
    </row>
    <row r="72" spans="1:10" x14ac:dyDescent="0.3">
      <c r="A72" s="107" t="s">
        <v>41</v>
      </c>
      <c r="B72" s="108"/>
      <c r="C72" s="103">
        <v>1362</v>
      </c>
      <c r="D72" s="104"/>
      <c r="E72" s="103">
        <v>1391</v>
      </c>
      <c r="F72" s="104"/>
      <c r="G72" s="103">
        <v>1420</v>
      </c>
      <c r="H72" s="104"/>
      <c r="I72" s="103">
        <v>1453</v>
      </c>
      <c r="J72" s="104"/>
    </row>
    <row r="73" spans="1:10" x14ac:dyDescent="0.3">
      <c r="A73" s="101" t="s">
        <v>15</v>
      </c>
      <c r="B73" s="102"/>
      <c r="C73" s="103">
        <v>4462</v>
      </c>
      <c r="D73" s="104"/>
      <c r="E73" s="103">
        <v>4555</v>
      </c>
      <c r="F73" s="104"/>
      <c r="G73" s="103">
        <v>4623</v>
      </c>
      <c r="H73" s="104"/>
      <c r="I73" s="103">
        <v>4727</v>
      </c>
      <c r="J73" s="104"/>
    </row>
    <row r="74" spans="1:10" x14ac:dyDescent="0.3">
      <c r="A74" s="107" t="s">
        <v>16</v>
      </c>
      <c r="B74" s="108"/>
      <c r="C74" s="103">
        <v>4736</v>
      </c>
      <c r="D74" s="104"/>
      <c r="E74" s="103">
        <v>4774</v>
      </c>
      <c r="F74" s="104"/>
      <c r="G74" s="103">
        <v>4824</v>
      </c>
      <c r="H74" s="104"/>
      <c r="I74" s="103">
        <v>4881</v>
      </c>
      <c r="J74" s="104"/>
    </row>
    <row r="75" spans="1:10" x14ac:dyDescent="0.3">
      <c r="A75" s="101" t="s">
        <v>17</v>
      </c>
      <c r="B75" s="102"/>
      <c r="C75" s="103">
        <v>7119</v>
      </c>
      <c r="D75" s="104"/>
      <c r="E75" s="103">
        <v>7241</v>
      </c>
      <c r="F75" s="104"/>
      <c r="G75" s="103">
        <v>7361</v>
      </c>
      <c r="H75" s="104"/>
      <c r="I75" s="103">
        <v>7645</v>
      </c>
      <c r="J75" s="104"/>
    </row>
    <row r="76" spans="1:10" x14ac:dyDescent="0.3">
      <c r="A76" s="107" t="s">
        <v>18</v>
      </c>
      <c r="B76" s="108"/>
      <c r="C76" s="103">
        <v>1536</v>
      </c>
      <c r="D76" s="104"/>
      <c r="E76" s="103">
        <v>1553</v>
      </c>
      <c r="F76" s="104"/>
      <c r="G76" s="103">
        <v>1582</v>
      </c>
      <c r="H76" s="104"/>
      <c r="I76" s="103">
        <v>1602</v>
      </c>
      <c r="J76" s="104"/>
    </row>
    <row r="77" spans="1:10" x14ac:dyDescent="0.3">
      <c r="A77" s="101" t="s">
        <v>19</v>
      </c>
      <c r="B77" s="102"/>
      <c r="C77" s="103">
        <v>5598</v>
      </c>
      <c r="D77" s="104"/>
      <c r="E77" s="103">
        <v>5711</v>
      </c>
      <c r="F77" s="104"/>
      <c r="G77" s="103">
        <v>5778</v>
      </c>
      <c r="H77" s="104"/>
      <c r="I77" s="103">
        <v>5885</v>
      </c>
      <c r="J77" s="104"/>
    </row>
    <row r="78" spans="1:10" x14ac:dyDescent="0.3">
      <c r="A78" s="105" t="s">
        <v>42</v>
      </c>
      <c r="B78" s="106"/>
      <c r="C78" s="103">
        <f>SUM(C69:C77)</f>
        <v>66706</v>
      </c>
      <c r="D78" s="104"/>
      <c r="E78" s="103">
        <f>SUM(E69:E77)</f>
        <v>67513</v>
      </c>
      <c r="F78" s="104"/>
      <c r="G78" s="103">
        <f>SUM(G69:G77)</f>
        <v>68406</v>
      </c>
      <c r="H78" s="104"/>
      <c r="I78" s="103">
        <f>SUM(I69:I77)</f>
        <v>69572</v>
      </c>
      <c r="J78" s="104"/>
    </row>
  </sheetData>
  <mergeCells count="310">
    <mergeCell ref="A78:B78"/>
    <mergeCell ref="C78:D78"/>
    <mergeCell ref="E78:F78"/>
    <mergeCell ref="G78:H78"/>
    <mergeCell ref="I78:J78"/>
    <mergeCell ref="K13:L13"/>
    <mergeCell ref="I13:J13"/>
    <mergeCell ref="G13:H13"/>
    <mergeCell ref="E13:F13"/>
    <mergeCell ref="C13:D13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A71:B71"/>
    <mergeCell ref="C71:D71"/>
    <mergeCell ref="E71:F71"/>
    <mergeCell ref="G71:H71"/>
    <mergeCell ref="I71:J71"/>
    <mergeCell ref="I74:J74"/>
    <mergeCell ref="A75:B75"/>
    <mergeCell ref="C75:D75"/>
    <mergeCell ref="E75:F75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78"/>
  <sheetViews>
    <sheetView topLeftCell="A47" workbookViewId="0">
      <selection activeCell="I61" sqref="I61:J62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32.33203125" style="42" customWidth="1"/>
    <col min="15" max="15" width="15.6640625" style="42" bestFit="1" customWidth="1"/>
    <col min="16" max="16" width="11.5546875" style="42" customWidth="1"/>
    <col min="17" max="17" width="7.44140625" style="42" customWidth="1"/>
  </cols>
  <sheetData>
    <row r="1" spans="1:18" x14ac:dyDescent="0.3">
      <c r="C1" s="43"/>
      <c r="G1" s="43"/>
      <c r="M1" s="44"/>
      <c r="N1" s="43"/>
      <c r="O1" s="43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/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435">
        <v>9416</v>
      </c>
      <c r="D5" s="435"/>
      <c r="E5" s="435">
        <v>702</v>
      </c>
      <c r="F5" s="435"/>
      <c r="G5" s="435">
        <v>1403</v>
      </c>
      <c r="H5" s="435"/>
      <c r="I5" s="431">
        <v>1553</v>
      </c>
      <c r="J5" s="432"/>
      <c r="K5" s="433">
        <v>0</v>
      </c>
      <c r="L5" s="434"/>
      <c r="M5" s="64">
        <v>182</v>
      </c>
      <c r="N5" s="65">
        <v>2020</v>
      </c>
      <c r="O5" s="66">
        <v>829</v>
      </c>
      <c r="P5" s="65">
        <v>1585</v>
      </c>
      <c r="Q5" s="67">
        <v>1221</v>
      </c>
      <c r="R5" t="s">
        <v>582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</row>
    <row r="7" spans="1:18" x14ac:dyDescent="0.3">
      <c r="A7" s="101" t="s">
        <v>12</v>
      </c>
      <c r="B7" s="102"/>
      <c r="C7" s="210">
        <v>333</v>
      </c>
      <c r="D7" s="210"/>
      <c r="E7" s="210">
        <v>337</v>
      </c>
      <c r="F7" s="210"/>
      <c r="G7" s="210">
        <v>240</v>
      </c>
      <c r="H7" s="210"/>
      <c r="I7" s="149">
        <v>259</v>
      </c>
      <c r="J7" s="150"/>
      <c r="K7" s="149">
        <v>29</v>
      </c>
      <c r="L7" s="150"/>
      <c r="M7" s="52">
        <v>356</v>
      </c>
      <c r="N7" s="52">
        <v>24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401</v>
      </c>
      <c r="D8" s="210"/>
      <c r="E8" s="210">
        <v>306</v>
      </c>
      <c r="F8" s="210"/>
      <c r="G8" s="210">
        <v>90</v>
      </c>
      <c r="H8" s="210"/>
      <c r="I8" s="149">
        <v>174</v>
      </c>
      <c r="J8" s="150"/>
      <c r="K8" s="149">
        <v>0</v>
      </c>
      <c r="L8" s="150"/>
      <c r="M8" s="52">
        <v>70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416</v>
      </c>
      <c r="D9" s="210"/>
      <c r="E9" s="210">
        <v>6</v>
      </c>
      <c r="F9" s="210"/>
      <c r="G9" s="210">
        <v>0</v>
      </c>
      <c r="H9" s="210"/>
      <c r="I9" s="149">
        <v>435</v>
      </c>
      <c r="J9" s="150"/>
      <c r="K9" s="149">
        <v>8</v>
      </c>
      <c r="L9" s="150"/>
      <c r="M9" s="52">
        <v>314</v>
      </c>
      <c r="N9" s="52">
        <v>67</v>
      </c>
      <c r="O9" s="52">
        <v>0</v>
      </c>
      <c r="P9" s="52">
        <v>12</v>
      </c>
      <c r="Q9" s="52">
        <v>1</v>
      </c>
    </row>
    <row r="10" spans="1:18" x14ac:dyDescent="0.3">
      <c r="A10" s="101" t="s">
        <v>15</v>
      </c>
      <c r="B10" s="102"/>
      <c r="C10" s="210">
        <v>240</v>
      </c>
      <c r="D10" s="210"/>
      <c r="E10" s="210">
        <v>161</v>
      </c>
      <c r="F10" s="210"/>
      <c r="G10" s="210">
        <v>28</v>
      </c>
      <c r="H10" s="210"/>
      <c r="I10" s="149">
        <v>17</v>
      </c>
      <c r="J10" s="150"/>
      <c r="K10" s="149">
        <v>0</v>
      </c>
      <c r="L10" s="150"/>
      <c r="M10" s="52">
        <v>85</v>
      </c>
      <c r="N10" s="52">
        <v>56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322</v>
      </c>
      <c r="D11" s="209"/>
      <c r="E11" s="210">
        <v>65</v>
      </c>
      <c r="F11" s="210"/>
      <c r="G11" s="210">
        <v>0</v>
      </c>
      <c r="H11" s="210"/>
      <c r="I11" s="149">
        <v>28</v>
      </c>
      <c r="J11" s="150"/>
      <c r="K11" s="149">
        <v>5</v>
      </c>
      <c r="L11" s="150"/>
      <c r="M11" s="52">
        <v>290</v>
      </c>
      <c r="N11" s="52">
        <v>297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202</v>
      </c>
      <c r="D12" s="209"/>
      <c r="E12" s="210">
        <v>0</v>
      </c>
      <c r="F12" s="210"/>
      <c r="G12" s="210">
        <v>70</v>
      </c>
      <c r="H12" s="210"/>
      <c r="I12" s="149">
        <v>215</v>
      </c>
      <c r="J12" s="150"/>
      <c r="K12" s="149">
        <v>0</v>
      </c>
      <c r="L12" s="150"/>
      <c r="M12" s="52">
        <v>50</v>
      </c>
      <c r="N12" s="52">
        <v>150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255</v>
      </c>
      <c r="D13" s="150"/>
      <c r="E13" s="149">
        <v>87</v>
      </c>
      <c r="F13" s="150"/>
      <c r="G13" s="149">
        <v>0</v>
      </c>
      <c r="H13" s="150"/>
      <c r="I13" s="149">
        <v>1</v>
      </c>
      <c r="J13" s="150"/>
      <c r="K13" s="149">
        <v>0</v>
      </c>
      <c r="L13" s="150"/>
      <c r="M13" s="52">
        <v>87</v>
      </c>
      <c r="N13" s="52">
        <v>44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372</v>
      </c>
      <c r="D14" s="206"/>
      <c r="E14" s="205">
        <v>7</v>
      </c>
      <c r="F14" s="206"/>
      <c r="G14" s="205">
        <v>45</v>
      </c>
      <c r="H14" s="206"/>
      <c r="I14" s="149">
        <v>245</v>
      </c>
      <c r="J14" s="150"/>
      <c r="K14" s="205">
        <v>0</v>
      </c>
      <c r="L14" s="206"/>
      <c r="M14" s="59">
        <v>251</v>
      </c>
      <c r="N14" s="59">
        <v>89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2366</v>
      </c>
      <c r="P15" s="52">
        <v>2446</v>
      </c>
      <c r="Q15" s="63">
        <v>1849</v>
      </c>
    </row>
    <row r="16" spans="1:18" ht="15" thickBot="1" x14ac:dyDescent="0.35">
      <c r="A16" s="199" t="s">
        <v>20</v>
      </c>
      <c r="B16" s="200"/>
      <c r="C16" s="201">
        <f>SUM(C5:D15)</f>
        <v>13027</v>
      </c>
      <c r="D16" s="202"/>
      <c r="E16" s="201">
        <f>SUM(E5:F15)</f>
        <v>1671</v>
      </c>
      <c r="F16" s="202"/>
      <c r="G16" s="201">
        <f>SUM(G5:H15)</f>
        <v>1876</v>
      </c>
      <c r="H16" s="202"/>
      <c r="I16" s="201">
        <f>SUM(I5:J15)</f>
        <v>2927</v>
      </c>
      <c r="J16" s="202"/>
      <c r="K16" s="201">
        <f>SUM(K5:L15)</f>
        <v>42</v>
      </c>
      <c r="L16" s="202"/>
      <c r="M16" s="4">
        <f>SUM(M5:M15)</f>
        <v>1685</v>
      </c>
      <c r="N16" s="4">
        <f>SUM(N5:N15)</f>
        <v>2762</v>
      </c>
      <c r="O16" s="4">
        <f>SUM(O5:O15)</f>
        <v>3277</v>
      </c>
      <c r="P16" s="4">
        <f>SUM(P5:P15)</f>
        <v>4073</v>
      </c>
      <c r="Q16" s="33">
        <f>SUM(Q5:Q15)</f>
        <v>3078</v>
      </c>
    </row>
    <row r="17" spans="1:17" ht="15" thickBot="1" x14ac:dyDescent="0.35">
      <c r="A17" s="190" t="s">
        <v>21</v>
      </c>
      <c r="B17" s="191"/>
      <c r="C17" s="193">
        <v>9216</v>
      </c>
      <c r="D17" s="194"/>
      <c r="E17" s="195">
        <v>702</v>
      </c>
      <c r="F17" s="196"/>
      <c r="G17" s="195">
        <v>1402</v>
      </c>
      <c r="H17" s="196"/>
      <c r="I17" s="195">
        <v>1373</v>
      </c>
      <c r="J17" s="196"/>
      <c r="K17" s="197">
        <v>0</v>
      </c>
      <c r="L17" s="198"/>
      <c r="M17" s="36">
        <v>182</v>
      </c>
      <c r="N17" s="47">
        <v>2020</v>
      </c>
      <c r="O17" s="66">
        <v>829</v>
      </c>
      <c r="P17" s="65">
        <v>1585</v>
      </c>
      <c r="Q17" s="67">
        <v>1221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O20" s="49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7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576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253</v>
      </c>
      <c r="D25" s="162"/>
      <c r="E25" s="185" t="s">
        <v>583</v>
      </c>
      <c r="F25" s="186"/>
      <c r="G25" s="161">
        <v>0</v>
      </c>
      <c r="H25" s="162"/>
      <c r="I25" s="161">
        <v>4</v>
      </c>
      <c r="J25" s="162"/>
      <c r="K25" s="70">
        <v>0</v>
      </c>
      <c r="L25" s="78">
        <v>14</v>
      </c>
      <c r="M25" s="78">
        <v>8</v>
      </c>
      <c r="N25"/>
      <c r="O25"/>
    </row>
    <row r="26" spans="1:17" x14ac:dyDescent="0.3">
      <c r="A26" s="101" t="s">
        <v>13</v>
      </c>
      <c r="B26" s="102"/>
      <c r="C26" s="149">
        <v>50</v>
      </c>
      <c r="D26" s="150"/>
      <c r="E26" s="165" t="s">
        <v>25</v>
      </c>
      <c r="F26" s="166"/>
      <c r="G26" s="149">
        <v>0</v>
      </c>
      <c r="H26" s="150"/>
      <c r="I26" s="149">
        <v>136</v>
      </c>
      <c r="J26" s="150"/>
      <c r="K26" s="52">
        <v>0</v>
      </c>
      <c r="L26" s="79">
        <v>0</v>
      </c>
      <c r="M26" s="79">
        <v>0</v>
      </c>
      <c r="N26"/>
      <c r="O26"/>
    </row>
    <row r="27" spans="1:17" x14ac:dyDescent="0.3">
      <c r="A27" s="101" t="s">
        <v>14</v>
      </c>
      <c r="B27" s="102"/>
      <c r="C27" s="149">
        <v>383</v>
      </c>
      <c r="D27" s="150"/>
      <c r="E27" s="165" t="s">
        <v>502</v>
      </c>
      <c r="F27" s="166"/>
      <c r="G27" s="149">
        <v>21</v>
      </c>
      <c r="H27" s="150"/>
      <c r="I27" s="149">
        <v>61</v>
      </c>
      <c r="J27" s="150"/>
      <c r="K27" s="52">
        <v>0</v>
      </c>
      <c r="L27" s="79">
        <v>22</v>
      </c>
      <c r="M27" s="79">
        <v>11</v>
      </c>
      <c r="N27"/>
      <c r="O27"/>
    </row>
    <row r="28" spans="1:17" x14ac:dyDescent="0.3">
      <c r="A28" s="101" t="s">
        <v>15</v>
      </c>
      <c r="B28" s="102"/>
      <c r="C28" s="165" t="s">
        <v>560</v>
      </c>
      <c r="D28" s="166"/>
      <c r="E28" s="165" t="s">
        <v>90</v>
      </c>
      <c r="F28" s="166"/>
      <c r="G28" s="149">
        <v>0</v>
      </c>
      <c r="H28" s="150"/>
      <c r="I28" s="149">
        <v>30</v>
      </c>
      <c r="J28" s="150"/>
      <c r="K28" s="52">
        <v>6</v>
      </c>
      <c r="M28" s="79" t="s">
        <v>581</v>
      </c>
      <c r="N28" t="s">
        <v>584</v>
      </c>
      <c r="O28"/>
    </row>
    <row r="29" spans="1:17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15</v>
      </c>
      <c r="J29" s="150"/>
      <c r="K29" s="52">
        <v>2</v>
      </c>
      <c r="L29" s="79">
        <v>3</v>
      </c>
      <c r="M29" s="79">
        <v>0</v>
      </c>
      <c r="N29"/>
      <c r="O29" s="58"/>
    </row>
    <row r="30" spans="1:17" x14ac:dyDescent="0.3">
      <c r="A30" s="101" t="s">
        <v>17</v>
      </c>
      <c r="B30" s="102"/>
      <c r="C30" s="152">
        <v>2</v>
      </c>
      <c r="D30" s="153"/>
      <c r="E30" s="149" t="s">
        <v>90</v>
      </c>
      <c r="F30" s="150"/>
      <c r="G30" s="149">
        <v>0</v>
      </c>
      <c r="H30" s="150"/>
      <c r="I30" s="149">
        <v>2</v>
      </c>
      <c r="J30" s="150"/>
      <c r="K30" s="52">
        <v>0</v>
      </c>
      <c r="L30" s="79">
        <v>0</v>
      </c>
      <c r="M30" s="79">
        <v>0</v>
      </c>
      <c r="N30"/>
      <c r="O30"/>
      <c r="P30"/>
    </row>
    <row r="31" spans="1:17" x14ac:dyDescent="0.3">
      <c r="A31" s="101" t="s">
        <v>18</v>
      </c>
      <c r="B31" s="102"/>
      <c r="C31" s="183" t="s">
        <v>578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576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23</v>
      </c>
      <c r="D38" s="162"/>
      <c r="E38" s="163" t="s">
        <v>586</v>
      </c>
      <c r="F38" s="164"/>
      <c r="G38" s="161">
        <v>0</v>
      </c>
      <c r="H38" s="162"/>
      <c r="I38" s="161">
        <v>10</v>
      </c>
      <c r="J38" s="162"/>
      <c r="K38" s="70">
        <v>0</v>
      </c>
      <c r="L38" s="78">
        <v>27</v>
      </c>
      <c r="M38" s="78">
        <v>12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585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9</v>
      </c>
      <c r="M39" s="79">
        <v>2</v>
      </c>
    </row>
    <row r="40" spans="1:16" x14ac:dyDescent="0.3">
      <c r="A40" s="147" t="s">
        <v>14</v>
      </c>
      <c r="B40" s="148"/>
      <c r="C40" s="149" t="s">
        <v>437</v>
      </c>
      <c r="D40" s="150"/>
      <c r="E40" s="154" t="s">
        <v>587</v>
      </c>
      <c r="F40" s="155"/>
      <c r="G40" s="149">
        <v>20</v>
      </c>
      <c r="H40" s="150"/>
      <c r="I40" s="149" t="s">
        <v>54</v>
      </c>
      <c r="J40" s="150"/>
      <c r="K40" s="52">
        <v>0</v>
      </c>
      <c r="L40" s="79">
        <v>11</v>
      </c>
      <c r="M40" s="79">
        <v>8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572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 t="s">
        <v>581</v>
      </c>
      <c r="M41" s="79" t="s">
        <v>581</v>
      </c>
      <c r="N41" t="s">
        <v>584</v>
      </c>
    </row>
    <row r="42" spans="1:16" x14ac:dyDescent="0.3">
      <c r="A42" s="147" t="s">
        <v>16</v>
      </c>
      <c r="B42" s="148"/>
      <c r="C42" s="152" t="s">
        <v>579</v>
      </c>
      <c r="D42" s="153"/>
      <c r="E42" s="154" t="s">
        <v>580</v>
      </c>
      <c r="F42" s="155"/>
      <c r="G42" s="149">
        <v>0</v>
      </c>
      <c r="H42" s="150"/>
      <c r="I42" s="149" t="s">
        <v>354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398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4</v>
      </c>
      <c r="D44" s="153"/>
      <c r="E44" s="149" t="s">
        <v>554</v>
      </c>
      <c r="F44" s="150"/>
      <c r="G44" s="149">
        <v>0</v>
      </c>
      <c r="H44" s="150"/>
      <c r="I44" s="149">
        <v>5</v>
      </c>
      <c r="J44" s="150"/>
      <c r="K44" s="52">
        <v>0</v>
      </c>
      <c r="L44" s="79">
        <v>3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553</v>
      </c>
      <c r="D49" s="146"/>
      <c r="E49" s="145" t="s">
        <v>562</v>
      </c>
      <c r="F49" s="146"/>
      <c r="G49" s="145" t="s">
        <v>566</v>
      </c>
      <c r="H49" s="146"/>
      <c r="I49" s="145" t="s">
        <v>576</v>
      </c>
      <c r="J49" s="146"/>
    </row>
    <row r="50" spans="1:11" x14ac:dyDescent="0.3">
      <c r="A50" s="120" t="s">
        <v>30</v>
      </c>
      <c r="B50" s="121"/>
      <c r="C50" s="136">
        <v>12473</v>
      </c>
      <c r="D50" s="137"/>
      <c r="E50" s="136">
        <v>12426</v>
      </c>
      <c r="F50" s="137"/>
      <c r="G50" s="136">
        <v>12398</v>
      </c>
      <c r="H50" s="137"/>
      <c r="I50" s="136">
        <v>12365</v>
      </c>
      <c r="J50" s="137"/>
    </row>
    <row r="51" spans="1:11" x14ac:dyDescent="0.3">
      <c r="A51" s="120" t="s">
        <v>31</v>
      </c>
      <c r="B51" s="121"/>
      <c r="C51" s="136">
        <v>9835</v>
      </c>
      <c r="D51" s="137"/>
      <c r="E51" s="136">
        <v>9900</v>
      </c>
      <c r="F51" s="137"/>
      <c r="G51" s="136">
        <v>9963</v>
      </c>
      <c r="H51" s="137"/>
      <c r="I51" s="136">
        <v>9992</v>
      </c>
      <c r="J51" s="137"/>
    </row>
    <row r="52" spans="1:11" x14ac:dyDescent="0.3">
      <c r="A52" s="120" t="s">
        <v>32</v>
      </c>
      <c r="B52" s="121"/>
      <c r="C52" s="136">
        <v>113032</v>
      </c>
      <c r="D52" s="137"/>
      <c r="E52" s="136">
        <v>112932</v>
      </c>
      <c r="F52" s="137"/>
      <c r="G52" s="136">
        <v>112858</v>
      </c>
      <c r="H52" s="137"/>
      <c r="I52" s="136">
        <v>112708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241</v>
      </c>
      <c r="J53" s="139"/>
    </row>
    <row r="54" spans="1:11" x14ac:dyDescent="0.3">
      <c r="A54" s="120" t="s">
        <v>34</v>
      </c>
      <c r="B54" s="121"/>
      <c r="C54" s="136">
        <v>49924</v>
      </c>
      <c r="D54" s="137"/>
      <c r="E54" s="136">
        <v>49893</v>
      </c>
      <c r="F54" s="137"/>
      <c r="G54" s="136">
        <v>49854</v>
      </c>
      <c r="H54" s="137"/>
      <c r="I54" s="136">
        <v>49798</v>
      </c>
      <c r="J54" s="137"/>
    </row>
    <row r="55" spans="1:11" x14ac:dyDescent="0.3">
      <c r="A55" s="120" t="s">
        <v>53</v>
      </c>
      <c r="B55" s="121"/>
      <c r="C55" s="138">
        <v>4378</v>
      </c>
      <c r="D55" s="139"/>
      <c r="E55" s="138">
        <v>4375</v>
      </c>
      <c r="F55" s="139"/>
      <c r="G55" s="138">
        <v>4372</v>
      </c>
      <c r="H55" s="139"/>
      <c r="I55" s="138">
        <v>4366</v>
      </c>
      <c r="J55" s="139"/>
    </row>
    <row r="56" spans="1:11" x14ac:dyDescent="0.3">
      <c r="A56" s="120" t="s">
        <v>49</v>
      </c>
      <c r="B56" s="121"/>
      <c r="C56" s="136">
        <v>19189</v>
      </c>
      <c r="D56" s="137"/>
      <c r="E56" s="136">
        <v>19405</v>
      </c>
      <c r="F56" s="137"/>
      <c r="G56" s="136">
        <v>19590</v>
      </c>
      <c r="H56" s="137"/>
      <c r="I56" s="136">
        <v>19799</v>
      </c>
      <c r="J56" s="137"/>
      <c r="K56" s="51"/>
    </row>
    <row r="57" spans="1:11" x14ac:dyDescent="0.3">
      <c r="A57" s="120" t="s">
        <v>35</v>
      </c>
      <c r="B57" s="121"/>
      <c r="C57" s="138">
        <v>2764</v>
      </c>
      <c r="D57" s="139"/>
      <c r="E57" s="138">
        <v>2764</v>
      </c>
      <c r="F57" s="139"/>
      <c r="G57" s="138">
        <v>2766</v>
      </c>
      <c r="H57" s="139"/>
      <c r="I57" s="138">
        <v>2767</v>
      </c>
      <c r="J57" s="139"/>
    </row>
    <row r="58" spans="1:11" x14ac:dyDescent="0.3">
      <c r="A58" s="120" t="s">
        <v>36</v>
      </c>
      <c r="B58" s="121"/>
      <c r="C58" s="122">
        <f>SUM(C50:D57)</f>
        <v>211835</v>
      </c>
      <c r="D58" s="123"/>
      <c r="E58" s="122">
        <f>SUM(E50:F57)</f>
        <v>211935</v>
      </c>
      <c r="F58" s="123"/>
      <c r="G58" s="122">
        <f>SUM(G50:H57)</f>
        <v>212041</v>
      </c>
      <c r="H58" s="123"/>
      <c r="I58" s="122">
        <f>SUM(I50:J57)</f>
        <v>212036</v>
      </c>
      <c r="J58" s="123"/>
    </row>
    <row r="60" spans="1:11" x14ac:dyDescent="0.3">
      <c r="A60" s="124" t="s">
        <v>37</v>
      </c>
      <c r="B60" s="125"/>
      <c r="C60" s="130" t="s">
        <v>553</v>
      </c>
      <c r="D60" s="131"/>
      <c r="E60" s="130" t="s">
        <v>562</v>
      </c>
      <c r="F60" s="131"/>
      <c r="G60" s="130" t="s">
        <v>566</v>
      </c>
      <c r="H60" s="131"/>
      <c r="I60" s="130" t="s">
        <v>576</v>
      </c>
      <c r="J60" s="131"/>
    </row>
    <row r="61" spans="1:11" x14ac:dyDescent="0.3">
      <c r="A61" s="126"/>
      <c r="B61" s="127"/>
      <c r="C61" s="132">
        <v>139452</v>
      </c>
      <c r="D61" s="133"/>
      <c r="E61" s="132">
        <v>139531</v>
      </c>
      <c r="F61" s="133"/>
      <c r="G61" s="132">
        <v>139592</v>
      </c>
      <c r="H61" s="133"/>
      <c r="I61" s="132">
        <v>139632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465</v>
      </c>
      <c r="D66" s="115"/>
      <c r="E66" s="114" t="s">
        <v>509</v>
      </c>
      <c r="F66" s="115"/>
      <c r="G66" s="114" t="s">
        <v>548</v>
      </c>
      <c r="H66" s="115"/>
      <c r="I66" s="114" t="s">
        <v>577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29171</v>
      </c>
      <c r="D69" s="104"/>
      <c r="E69" s="103">
        <v>29615</v>
      </c>
      <c r="F69" s="104"/>
      <c r="G69" s="103">
        <v>30064</v>
      </c>
      <c r="H69" s="104"/>
      <c r="I69" s="103">
        <v>30398</v>
      </c>
      <c r="J69" s="104"/>
    </row>
    <row r="70" spans="1:10" x14ac:dyDescent="0.3">
      <c r="A70" s="101" t="s">
        <v>13</v>
      </c>
      <c r="B70" s="102"/>
      <c r="C70" s="103">
        <v>6989</v>
      </c>
      <c r="D70" s="104"/>
      <c r="E70" s="103">
        <v>7028</v>
      </c>
      <c r="F70" s="104"/>
      <c r="G70" s="103">
        <v>7077</v>
      </c>
      <c r="H70" s="104"/>
      <c r="I70" s="103">
        <v>7127</v>
      </c>
      <c r="J70" s="104"/>
    </row>
    <row r="71" spans="1:10" x14ac:dyDescent="0.3">
      <c r="A71" s="107" t="s">
        <v>14</v>
      </c>
      <c r="B71" s="108"/>
      <c r="C71" s="103">
        <v>6128</v>
      </c>
      <c r="D71" s="104"/>
      <c r="E71" s="103">
        <v>6175</v>
      </c>
      <c r="F71" s="104"/>
      <c r="G71" s="103">
        <v>6238</v>
      </c>
      <c r="H71" s="104"/>
      <c r="I71" s="103">
        <v>6283</v>
      </c>
      <c r="J71" s="104"/>
    </row>
    <row r="72" spans="1:10" x14ac:dyDescent="0.3">
      <c r="A72" s="107" t="s">
        <v>41</v>
      </c>
      <c r="B72" s="108"/>
      <c r="C72" s="103">
        <v>1391</v>
      </c>
      <c r="D72" s="104"/>
      <c r="E72" s="103">
        <v>1420</v>
      </c>
      <c r="F72" s="104"/>
      <c r="G72" s="103">
        <v>1453</v>
      </c>
      <c r="H72" s="104"/>
      <c r="I72" s="103">
        <v>1472</v>
      </c>
      <c r="J72" s="104"/>
    </row>
    <row r="73" spans="1:10" x14ac:dyDescent="0.3">
      <c r="A73" s="101" t="s">
        <v>15</v>
      </c>
      <c r="B73" s="102"/>
      <c r="C73" s="103">
        <v>4555</v>
      </c>
      <c r="D73" s="104"/>
      <c r="E73" s="103">
        <v>4623</v>
      </c>
      <c r="F73" s="104"/>
      <c r="G73" s="103">
        <v>4727</v>
      </c>
      <c r="H73" s="104"/>
      <c r="I73" s="103">
        <v>4792</v>
      </c>
      <c r="J73" s="104"/>
    </row>
    <row r="74" spans="1:10" x14ac:dyDescent="0.3">
      <c r="A74" s="107" t="s">
        <v>16</v>
      </c>
      <c r="B74" s="108"/>
      <c r="C74" s="103">
        <v>4774</v>
      </c>
      <c r="D74" s="104"/>
      <c r="E74" s="103">
        <v>4824</v>
      </c>
      <c r="F74" s="104"/>
      <c r="G74" s="103">
        <v>4881</v>
      </c>
      <c r="H74" s="104"/>
      <c r="I74" s="103">
        <v>4921</v>
      </c>
      <c r="J74" s="104"/>
    </row>
    <row r="75" spans="1:10" x14ac:dyDescent="0.3">
      <c r="A75" s="101" t="s">
        <v>17</v>
      </c>
      <c r="B75" s="102"/>
      <c r="C75" s="103">
        <v>7241</v>
      </c>
      <c r="D75" s="104"/>
      <c r="E75" s="103">
        <v>7361</v>
      </c>
      <c r="F75" s="104"/>
      <c r="G75" s="103">
        <v>7645</v>
      </c>
      <c r="H75" s="104"/>
      <c r="I75" s="103">
        <v>7806</v>
      </c>
      <c r="J75" s="104"/>
    </row>
    <row r="76" spans="1:10" x14ac:dyDescent="0.3">
      <c r="A76" s="107" t="s">
        <v>18</v>
      </c>
      <c r="B76" s="108"/>
      <c r="C76" s="103">
        <v>1553</v>
      </c>
      <c r="D76" s="104"/>
      <c r="E76" s="103">
        <v>1582</v>
      </c>
      <c r="F76" s="104"/>
      <c r="G76" s="103">
        <v>1602</v>
      </c>
      <c r="H76" s="104"/>
      <c r="I76" s="103">
        <v>1610</v>
      </c>
      <c r="J76" s="104"/>
    </row>
    <row r="77" spans="1:10" x14ac:dyDescent="0.3">
      <c r="A77" s="101" t="s">
        <v>19</v>
      </c>
      <c r="B77" s="102"/>
      <c r="C77" s="103">
        <v>5711</v>
      </c>
      <c r="D77" s="104"/>
      <c r="E77" s="103">
        <v>5778</v>
      </c>
      <c r="F77" s="104"/>
      <c r="G77" s="103">
        <v>5885</v>
      </c>
      <c r="H77" s="104"/>
      <c r="I77" s="103">
        <v>5920</v>
      </c>
      <c r="J77" s="104"/>
    </row>
    <row r="78" spans="1:10" x14ac:dyDescent="0.3">
      <c r="A78" s="105" t="s">
        <v>42</v>
      </c>
      <c r="B78" s="106"/>
      <c r="C78" s="103">
        <f>SUM(C69:C77)</f>
        <v>67513</v>
      </c>
      <c r="D78" s="104"/>
      <c r="E78" s="103">
        <f>SUM(E69:E77)</f>
        <v>68406</v>
      </c>
      <c r="F78" s="104"/>
      <c r="G78" s="103">
        <f>SUM(G69:G77)</f>
        <v>69572</v>
      </c>
      <c r="H78" s="104"/>
      <c r="I78" s="103">
        <f>SUM(I69:I77)</f>
        <v>70329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R78"/>
  <sheetViews>
    <sheetView workbookViewId="0">
      <selection activeCell="P25" sqref="P25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7.44140625" style="42" customWidth="1"/>
    <col min="18" max="18" width="45" bestFit="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588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ht="15" customHeight="1" x14ac:dyDescent="0.3">
      <c r="A5" s="211" t="s">
        <v>10</v>
      </c>
      <c r="B5" s="212"/>
      <c r="C5" s="435">
        <v>9056</v>
      </c>
      <c r="D5" s="435"/>
      <c r="E5" s="435">
        <v>502</v>
      </c>
      <c r="F5" s="435"/>
      <c r="G5" s="435">
        <v>1402</v>
      </c>
      <c r="H5" s="435"/>
      <c r="I5" s="431">
        <v>1337</v>
      </c>
      <c r="J5" s="432"/>
      <c r="K5" s="433">
        <v>0</v>
      </c>
      <c r="L5" s="434"/>
      <c r="M5" s="64">
        <v>142</v>
      </c>
      <c r="N5" s="65">
        <v>2020</v>
      </c>
      <c r="O5" s="66">
        <v>1060</v>
      </c>
      <c r="P5" s="65">
        <v>1515</v>
      </c>
      <c r="Q5" s="67">
        <v>1181</v>
      </c>
      <c r="R5" s="80" t="s">
        <v>597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</row>
    <row r="7" spans="1:18" x14ac:dyDescent="0.3">
      <c r="A7" s="101" t="s">
        <v>12</v>
      </c>
      <c r="B7" s="102"/>
      <c r="C7" s="210">
        <v>399</v>
      </c>
      <c r="D7" s="210"/>
      <c r="E7" s="210">
        <v>386</v>
      </c>
      <c r="F7" s="210"/>
      <c r="G7" s="210">
        <v>260</v>
      </c>
      <c r="H7" s="210"/>
      <c r="I7" s="149">
        <v>196</v>
      </c>
      <c r="J7" s="150"/>
      <c r="K7" s="149">
        <v>29</v>
      </c>
      <c r="L7" s="150"/>
      <c r="M7" s="52">
        <v>308</v>
      </c>
      <c r="N7" s="52">
        <v>40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375</v>
      </c>
      <c r="D8" s="210"/>
      <c r="E8" s="210">
        <v>273</v>
      </c>
      <c r="F8" s="210"/>
      <c r="G8" s="210">
        <v>90</v>
      </c>
      <c r="H8" s="210"/>
      <c r="I8" s="149">
        <v>174</v>
      </c>
      <c r="J8" s="150"/>
      <c r="K8" s="149">
        <v>0</v>
      </c>
      <c r="L8" s="150"/>
      <c r="M8" s="52">
        <v>157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361</v>
      </c>
      <c r="D9" s="210"/>
      <c r="E9" s="210">
        <v>6</v>
      </c>
      <c r="F9" s="210"/>
      <c r="G9" s="210">
        <v>2</v>
      </c>
      <c r="H9" s="210"/>
      <c r="I9" s="149">
        <v>258</v>
      </c>
      <c r="J9" s="150"/>
      <c r="K9" s="149">
        <v>14</v>
      </c>
      <c r="L9" s="150"/>
      <c r="M9" s="52">
        <v>270</v>
      </c>
      <c r="N9" s="52">
        <v>67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306</v>
      </c>
      <c r="D10" s="210"/>
      <c r="E10" s="210">
        <v>212</v>
      </c>
      <c r="F10" s="210"/>
      <c r="G10" s="210">
        <v>27</v>
      </c>
      <c r="H10" s="210"/>
      <c r="I10" s="149">
        <v>17</v>
      </c>
      <c r="J10" s="150"/>
      <c r="K10" s="149">
        <v>0</v>
      </c>
      <c r="L10" s="150"/>
      <c r="M10" s="52">
        <v>90</v>
      </c>
      <c r="N10" s="52">
        <v>40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312</v>
      </c>
      <c r="D11" s="209"/>
      <c r="E11" s="210">
        <v>62</v>
      </c>
      <c r="F11" s="210"/>
      <c r="G11" s="210">
        <v>0</v>
      </c>
      <c r="H11" s="210"/>
      <c r="I11" s="149">
        <v>24</v>
      </c>
      <c r="J11" s="150"/>
      <c r="K11" s="149">
        <v>5</v>
      </c>
      <c r="L11" s="150"/>
      <c r="M11" s="52">
        <v>287</v>
      </c>
      <c r="N11" s="52">
        <v>293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167</v>
      </c>
      <c r="D12" s="209"/>
      <c r="E12" s="210">
        <v>0</v>
      </c>
      <c r="F12" s="210"/>
      <c r="G12" s="210">
        <v>55</v>
      </c>
      <c r="H12" s="210"/>
      <c r="I12" s="149">
        <v>170</v>
      </c>
      <c r="J12" s="150"/>
      <c r="K12" s="149">
        <v>0</v>
      </c>
      <c r="L12" s="150"/>
      <c r="M12" s="52">
        <v>55</v>
      </c>
      <c r="N12" s="52">
        <v>1250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226</v>
      </c>
      <c r="D13" s="150"/>
      <c r="E13" s="149">
        <v>79</v>
      </c>
      <c r="F13" s="150"/>
      <c r="G13" s="149">
        <v>0</v>
      </c>
      <c r="H13" s="150"/>
      <c r="I13" s="149">
        <v>1</v>
      </c>
      <c r="J13" s="150"/>
      <c r="K13" s="149">
        <v>0</v>
      </c>
      <c r="L13" s="150"/>
      <c r="M13" s="52">
        <v>84</v>
      </c>
      <c r="N13" s="52">
        <v>44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334</v>
      </c>
      <c r="D14" s="206"/>
      <c r="E14" s="205">
        <v>7</v>
      </c>
      <c r="F14" s="206"/>
      <c r="G14" s="205">
        <v>45</v>
      </c>
      <c r="H14" s="206"/>
      <c r="I14" s="149">
        <v>221</v>
      </c>
      <c r="J14" s="150"/>
      <c r="K14" s="205">
        <v>0</v>
      </c>
      <c r="L14" s="206"/>
      <c r="M14" s="59">
        <v>239</v>
      </c>
      <c r="N14" s="59">
        <v>89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2120</v>
      </c>
      <c r="P15" s="52">
        <v>2279</v>
      </c>
      <c r="Q15" s="63">
        <v>1698</v>
      </c>
    </row>
    <row r="16" spans="1:18" ht="15" thickBot="1" x14ac:dyDescent="0.35">
      <c r="A16" s="199" t="s">
        <v>20</v>
      </c>
      <c r="B16" s="200"/>
      <c r="C16" s="201">
        <f>SUM(C5:D15)</f>
        <v>12606</v>
      </c>
      <c r="D16" s="202"/>
      <c r="E16" s="201">
        <f>SUM(E5:F15)</f>
        <v>1527</v>
      </c>
      <c r="F16" s="202"/>
      <c r="G16" s="201">
        <f>SUM(G5:H15)</f>
        <v>1881</v>
      </c>
      <c r="H16" s="202"/>
      <c r="I16" s="201">
        <f>SUM(I5:J15)</f>
        <v>2398</v>
      </c>
      <c r="J16" s="202"/>
      <c r="K16" s="201">
        <f>SUM(K5:L15)</f>
        <v>48</v>
      </c>
      <c r="L16" s="202"/>
      <c r="M16" s="4">
        <f>SUM(M5:M15)</f>
        <v>1632</v>
      </c>
      <c r="N16" s="4">
        <f>SUM(N5:N15)</f>
        <v>3858</v>
      </c>
      <c r="O16" s="4">
        <f>SUM(O5:O15)</f>
        <v>3262</v>
      </c>
      <c r="P16" s="4">
        <f>SUM(P5:P15)</f>
        <v>3829</v>
      </c>
      <c r="Q16" s="33">
        <f>SUM(Q5:Q15)</f>
        <v>2887</v>
      </c>
    </row>
    <row r="17" spans="1:17" ht="15" thickBot="1" x14ac:dyDescent="0.35">
      <c r="A17" s="190" t="s">
        <v>21</v>
      </c>
      <c r="B17" s="191"/>
      <c r="C17" s="435">
        <v>9056</v>
      </c>
      <c r="D17" s="435"/>
      <c r="E17" s="195">
        <v>502</v>
      </c>
      <c r="F17" s="196"/>
      <c r="G17" s="195">
        <v>1402</v>
      </c>
      <c r="H17" s="196"/>
      <c r="I17" s="195">
        <v>1257</v>
      </c>
      <c r="J17" s="196"/>
      <c r="K17" s="197">
        <v>0</v>
      </c>
      <c r="L17" s="198"/>
      <c r="M17" s="36">
        <v>142</v>
      </c>
      <c r="N17" s="47">
        <v>2020</v>
      </c>
      <c r="O17" s="82">
        <v>1060</v>
      </c>
      <c r="P17" s="77">
        <v>1515</v>
      </c>
      <c r="Q17" s="83">
        <v>1181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O20" s="49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7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588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292</v>
      </c>
      <c r="D25" s="162"/>
      <c r="E25" s="185" t="s">
        <v>591</v>
      </c>
      <c r="F25" s="186"/>
      <c r="G25" s="161">
        <v>0</v>
      </c>
      <c r="H25" s="162"/>
      <c r="I25" s="161">
        <v>9</v>
      </c>
      <c r="J25" s="162"/>
      <c r="K25" s="70">
        <v>0</v>
      </c>
      <c r="L25" s="78">
        <v>19</v>
      </c>
      <c r="M25" s="78">
        <v>8</v>
      </c>
      <c r="N25"/>
      <c r="O25"/>
    </row>
    <row r="26" spans="1:17" x14ac:dyDescent="0.3">
      <c r="A26" s="101" t="s">
        <v>13</v>
      </c>
      <c r="B26" s="102"/>
      <c r="C26" s="149">
        <v>52</v>
      </c>
      <c r="D26" s="150"/>
      <c r="E26" s="165" t="s">
        <v>25</v>
      </c>
      <c r="F26" s="166"/>
      <c r="G26" s="149">
        <v>0</v>
      </c>
      <c r="H26" s="150"/>
      <c r="I26" s="149">
        <v>138</v>
      </c>
      <c r="J26" s="150"/>
      <c r="K26" s="52">
        <v>0</v>
      </c>
      <c r="L26" s="79">
        <v>0</v>
      </c>
      <c r="M26" s="79">
        <v>0</v>
      </c>
      <c r="N26"/>
      <c r="O26"/>
    </row>
    <row r="27" spans="1:17" x14ac:dyDescent="0.3">
      <c r="A27" s="101" t="s">
        <v>14</v>
      </c>
      <c r="B27" s="102"/>
      <c r="C27" s="149">
        <v>375</v>
      </c>
      <c r="D27" s="150"/>
      <c r="E27" s="165" t="s">
        <v>359</v>
      </c>
      <c r="F27" s="166"/>
      <c r="G27" s="149">
        <v>20</v>
      </c>
      <c r="H27" s="150"/>
      <c r="I27" s="149">
        <v>58</v>
      </c>
      <c r="J27" s="150"/>
      <c r="K27" s="52">
        <v>2</v>
      </c>
      <c r="L27" s="79">
        <v>15</v>
      </c>
      <c r="M27" s="79">
        <v>10</v>
      </c>
      <c r="N27"/>
      <c r="O27"/>
    </row>
    <row r="28" spans="1:17" x14ac:dyDescent="0.3">
      <c r="A28" s="101" t="s">
        <v>15</v>
      </c>
      <c r="B28" s="102"/>
      <c r="C28" s="165" t="s">
        <v>560</v>
      </c>
      <c r="D28" s="166"/>
      <c r="E28" s="165" t="s">
        <v>90</v>
      </c>
      <c r="F28" s="166"/>
      <c r="G28" s="149">
        <v>0</v>
      </c>
      <c r="H28" s="150"/>
      <c r="I28" s="149">
        <v>30</v>
      </c>
      <c r="J28" s="150"/>
      <c r="K28" s="52">
        <v>6</v>
      </c>
      <c r="L28" s="81">
        <v>27</v>
      </c>
      <c r="M28" s="79">
        <v>9</v>
      </c>
      <c r="N28"/>
      <c r="O28"/>
    </row>
    <row r="29" spans="1:17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15</v>
      </c>
      <c r="J29" s="150"/>
      <c r="K29" s="52">
        <v>2</v>
      </c>
      <c r="L29" s="79">
        <v>3</v>
      </c>
      <c r="M29" s="79">
        <v>0</v>
      </c>
      <c r="N29"/>
      <c r="O29" s="58"/>
    </row>
    <row r="30" spans="1:17" x14ac:dyDescent="0.3">
      <c r="A30" s="101" t="s">
        <v>17</v>
      </c>
      <c r="B30" s="102"/>
      <c r="C30" s="152">
        <v>1</v>
      </c>
      <c r="D30" s="153"/>
      <c r="E30" s="149" t="s">
        <v>90</v>
      </c>
      <c r="F30" s="150"/>
      <c r="G30" s="149">
        <v>0</v>
      </c>
      <c r="H30" s="150"/>
      <c r="I30" s="149">
        <v>1</v>
      </c>
      <c r="J30" s="150"/>
      <c r="K30" s="52">
        <v>0</v>
      </c>
      <c r="L30" s="79">
        <v>0</v>
      </c>
      <c r="M30" s="79">
        <v>0</v>
      </c>
      <c r="N30"/>
      <c r="O30"/>
      <c r="P30"/>
    </row>
    <row r="31" spans="1:17" x14ac:dyDescent="0.3">
      <c r="A31" s="101" t="s">
        <v>18</v>
      </c>
      <c r="B31" s="102"/>
      <c r="C31" s="183" t="s">
        <v>593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588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25</v>
      </c>
      <c r="D38" s="162"/>
      <c r="E38" s="163" t="s">
        <v>592</v>
      </c>
      <c r="F38" s="164"/>
      <c r="G38" s="161">
        <v>0</v>
      </c>
      <c r="H38" s="162"/>
      <c r="I38" s="161">
        <v>10</v>
      </c>
      <c r="J38" s="162"/>
      <c r="K38" s="70">
        <v>0</v>
      </c>
      <c r="L38" s="78">
        <v>33</v>
      </c>
      <c r="M38" s="78">
        <v>14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596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9</v>
      </c>
      <c r="M39" s="79">
        <v>2</v>
      </c>
    </row>
    <row r="40" spans="1:16" x14ac:dyDescent="0.3">
      <c r="A40" s="147" t="s">
        <v>14</v>
      </c>
      <c r="B40" s="148"/>
      <c r="C40" s="149" t="s">
        <v>589</v>
      </c>
      <c r="D40" s="150"/>
      <c r="E40" s="154" t="s">
        <v>590</v>
      </c>
      <c r="F40" s="155"/>
      <c r="G40" s="149">
        <v>19</v>
      </c>
      <c r="H40" s="150"/>
      <c r="I40" s="149" t="s">
        <v>437</v>
      </c>
      <c r="J40" s="150"/>
      <c r="K40" s="52">
        <v>0</v>
      </c>
      <c r="L40" s="79">
        <v>13</v>
      </c>
      <c r="M40" s="79">
        <v>8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595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25</v>
      </c>
      <c r="M41" s="79">
        <v>8</v>
      </c>
      <c r="N41"/>
    </row>
    <row r="42" spans="1:16" x14ac:dyDescent="0.3">
      <c r="A42" s="147" t="s">
        <v>16</v>
      </c>
      <c r="B42" s="148"/>
      <c r="C42" s="152" t="s">
        <v>579</v>
      </c>
      <c r="D42" s="153"/>
      <c r="E42" s="154" t="s">
        <v>580</v>
      </c>
      <c r="F42" s="155"/>
      <c r="G42" s="149">
        <v>0</v>
      </c>
      <c r="H42" s="150"/>
      <c r="I42" s="149" t="s">
        <v>516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398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4</v>
      </c>
      <c r="D44" s="153"/>
      <c r="E44" s="149" t="s">
        <v>594</v>
      </c>
      <c r="F44" s="150"/>
      <c r="G44" s="149">
        <v>0</v>
      </c>
      <c r="H44" s="150"/>
      <c r="I44" s="149">
        <v>4</v>
      </c>
      <c r="J44" s="150"/>
      <c r="K44" s="52">
        <v>0</v>
      </c>
      <c r="L44" s="79">
        <v>3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562</v>
      </c>
      <c r="D49" s="146"/>
      <c r="E49" s="145" t="s">
        <v>566</v>
      </c>
      <c r="F49" s="146"/>
      <c r="G49" s="145" t="s">
        <v>576</v>
      </c>
      <c r="H49" s="146"/>
      <c r="I49" s="145" t="s">
        <v>588</v>
      </c>
      <c r="J49" s="146"/>
    </row>
    <row r="50" spans="1:11" x14ac:dyDescent="0.3">
      <c r="A50" s="120" t="s">
        <v>30</v>
      </c>
      <c r="B50" s="121"/>
      <c r="C50" s="136">
        <v>12426</v>
      </c>
      <c r="D50" s="137"/>
      <c r="E50" s="136">
        <v>12398</v>
      </c>
      <c r="F50" s="137"/>
      <c r="G50" s="136">
        <v>12365</v>
      </c>
      <c r="H50" s="137"/>
      <c r="I50" s="136">
        <v>12334</v>
      </c>
      <c r="J50" s="137"/>
    </row>
    <row r="51" spans="1:11" x14ac:dyDescent="0.3">
      <c r="A51" s="120" t="s">
        <v>31</v>
      </c>
      <c r="B51" s="121"/>
      <c r="C51" s="136">
        <v>9900</v>
      </c>
      <c r="D51" s="137"/>
      <c r="E51" s="136">
        <v>9963</v>
      </c>
      <c r="F51" s="137"/>
      <c r="G51" s="136">
        <v>9992</v>
      </c>
      <c r="H51" s="137"/>
      <c r="I51" s="136">
        <v>10048</v>
      </c>
      <c r="J51" s="137"/>
    </row>
    <row r="52" spans="1:11" x14ac:dyDescent="0.3">
      <c r="A52" s="120" t="s">
        <v>32</v>
      </c>
      <c r="B52" s="121"/>
      <c r="C52" s="136">
        <v>112932</v>
      </c>
      <c r="D52" s="137"/>
      <c r="E52" s="136">
        <v>112858</v>
      </c>
      <c r="F52" s="137"/>
      <c r="G52" s="136">
        <v>112708</v>
      </c>
      <c r="H52" s="137"/>
      <c r="I52" s="136">
        <v>112624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241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49893</v>
      </c>
      <c r="D54" s="137"/>
      <c r="E54" s="136">
        <v>49854</v>
      </c>
      <c r="F54" s="137"/>
      <c r="G54" s="136">
        <v>49798</v>
      </c>
      <c r="H54" s="137"/>
      <c r="I54" s="136">
        <v>49770</v>
      </c>
      <c r="J54" s="137"/>
    </row>
    <row r="55" spans="1:11" x14ac:dyDescent="0.3">
      <c r="A55" s="120" t="s">
        <v>53</v>
      </c>
      <c r="B55" s="121"/>
      <c r="C55" s="138">
        <v>4375</v>
      </c>
      <c r="D55" s="139"/>
      <c r="E55" s="138">
        <v>4372</v>
      </c>
      <c r="F55" s="139"/>
      <c r="G55" s="138">
        <v>4366</v>
      </c>
      <c r="H55" s="139"/>
      <c r="I55" s="138">
        <v>4361</v>
      </c>
      <c r="J55" s="139"/>
    </row>
    <row r="56" spans="1:11" x14ac:dyDescent="0.3">
      <c r="A56" s="120" t="s">
        <v>49</v>
      </c>
      <c r="B56" s="121"/>
      <c r="C56" s="136">
        <v>19405</v>
      </c>
      <c r="D56" s="137"/>
      <c r="E56" s="136">
        <v>19590</v>
      </c>
      <c r="F56" s="137"/>
      <c r="G56" s="136">
        <v>19799</v>
      </c>
      <c r="H56" s="137"/>
      <c r="I56" s="136">
        <v>19951</v>
      </c>
      <c r="J56" s="137"/>
      <c r="K56" s="51"/>
    </row>
    <row r="57" spans="1:11" x14ac:dyDescent="0.3">
      <c r="A57" s="120" t="s">
        <v>35</v>
      </c>
      <c r="B57" s="121"/>
      <c r="C57" s="138">
        <v>2764</v>
      </c>
      <c r="D57" s="139"/>
      <c r="E57" s="138">
        <v>2766</v>
      </c>
      <c r="F57" s="139"/>
      <c r="G57" s="138">
        <v>2767</v>
      </c>
      <c r="H57" s="139"/>
      <c r="I57" s="138">
        <v>2782</v>
      </c>
      <c r="J57" s="139"/>
    </row>
    <row r="58" spans="1:11" x14ac:dyDescent="0.3">
      <c r="A58" s="120" t="s">
        <v>36</v>
      </c>
      <c r="B58" s="121"/>
      <c r="C58" s="122">
        <f>SUM(C50:D57)</f>
        <v>211935</v>
      </c>
      <c r="D58" s="123"/>
      <c r="E58" s="122">
        <f>SUM(E50:F57)</f>
        <v>212041</v>
      </c>
      <c r="F58" s="123"/>
      <c r="G58" s="122">
        <f>SUM(G50:H57)</f>
        <v>212036</v>
      </c>
      <c r="H58" s="123"/>
      <c r="I58" s="122">
        <f>SUM(I50:J57)</f>
        <v>212110</v>
      </c>
      <c r="J58" s="123"/>
    </row>
    <row r="60" spans="1:11" x14ac:dyDescent="0.3">
      <c r="A60" s="124" t="s">
        <v>37</v>
      </c>
      <c r="B60" s="125"/>
      <c r="C60" s="130" t="s">
        <v>562</v>
      </c>
      <c r="D60" s="131"/>
      <c r="E60" s="130" t="s">
        <v>566</v>
      </c>
      <c r="F60" s="131"/>
      <c r="G60" s="130" t="s">
        <v>576</v>
      </c>
      <c r="H60" s="131"/>
      <c r="I60" s="130" t="s">
        <v>588</v>
      </c>
      <c r="J60" s="131"/>
    </row>
    <row r="61" spans="1:11" x14ac:dyDescent="0.3">
      <c r="A61" s="126"/>
      <c r="B61" s="127"/>
      <c r="C61" s="132">
        <v>139531</v>
      </c>
      <c r="D61" s="133"/>
      <c r="E61" s="132">
        <v>139592</v>
      </c>
      <c r="F61" s="133"/>
      <c r="G61" s="132">
        <v>139632</v>
      </c>
      <c r="H61" s="133"/>
      <c r="I61" s="132">
        <v>139662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465</v>
      </c>
      <c r="D66" s="115"/>
      <c r="E66" s="114" t="s">
        <v>509</v>
      </c>
      <c r="F66" s="115"/>
      <c r="G66" s="114" t="s">
        <v>548</v>
      </c>
      <c r="H66" s="115"/>
      <c r="I66" s="114" t="s">
        <v>577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29171</v>
      </c>
      <c r="D69" s="104"/>
      <c r="E69" s="103">
        <v>29615</v>
      </c>
      <c r="F69" s="104"/>
      <c r="G69" s="103">
        <v>30064</v>
      </c>
      <c r="H69" s="104"/>
      <c r="I69" s="103">
        <v>30398</v>
      </c>
      <c r="J69" s="104"/>
    </row>
    <row r="70" spans="1:10" x14ac:dyDescent="0.3">
      <c r="A70" s="101" t="s">
        <v>13</v>
      </c>
      <c r="B70" s="102"/>
      <c r="C70" s="103">
        <v>6989</v>
      </c>
      <c r="D70" s="104"/>
      <c r="E70" s="103">
        <v>7028</v>
      </c>
      <c r="F70" s="104"/>
      <c r="G70" s="103">
        <v>7077</v>
      </c>
      <c r="H70" s="104"/>
      <c r="I70" s="103">
        <v>7127</v>
      </c>
      <c r="J70" s="104"/>
    </row>
    <row r="71" spans="1:10" x14ac:dyDescent="0.3">
      <c r="A71" s="107" t="s">
        <v>14</v>
      </c>
      <c r="B71" s="108"/>
      <c r="C71" s="103">
        <v>6128</v>
      </c>
      <c r="D71" s="104"/>
      <c r="E71" s="103">
        <v>6175</v>
      </c>
      <c r="F71" s="104"/>
      <c r="G71" s="103">
        <v>6238</v>
      </c>
      <c r="H71" s="104"/>
      <c r="I71" s="103">
        <v>6283</v>
      </c>
      <c r="J71" s="104"/>
    </row>
    <row r="72" spans="1:10" x14ac:dyDescent="0.3">
      <c r="A72" s="107" t="s">
        <v>41</v>
      </c>
      <c r="B72" s="108"/>
      <c r="C72" s="103">
        <v>1391</v>
      </c>
      <c r="D72" s="104"/>
      <c r="E72" s="103">
        <v>1420</v>
      </c>
      <c r="F72" s="104"/>
      <c r="G72" s="103">
        <v>1453</v>
      </c>
      <c r="H72" s="104"/>
      <c r="I72" s="103">
        <v>1472</v>
      </c>
      <c r="J72" s="104"/>
    </row>
    <row r="73" spans="1:10" x14ac:dyDescent="0.3">
      <c r="A73" s="101" t="s">
        <v>15</v>
      </c>
      <c r="B73" s="102"/>
      <c r="C73" s="103">
        <v>4555</v>
      </c>
      <c r="D73" s="104"/>
      <c r="E73" s="103">
        <v>4623</v>
      </c>
      <c r="F73" s="104"/>
      <c r="G73" s="103">
        <v>4727</v>
      </c>
      <c r="H73" s="104"/>
      <c r="I73" s="103">
        <v>4792</v>
      </c>
      <c r="J73" s="104"/>
    </row>
    <row r="74" spans="1:10" x14ac:dyDescent="0.3">
      <c r="A74" s="107" t="s">
        <v>16</v>
      </c>
      <c r="B74" s="108"/>
      <c r="C74" s="103">
        <v>4774</v>
      </c>
      <c r="D74" s="104"/>
      <c r="E74" s="103">
        <v>4824</v>
      </c>
      <c r="F74" s="104"/>
      <c r="G74" s="103">
        <v>4881</v>
      </c>
      <c r="H74" s="104"/>
      <c r="I74" s="103">
        <v>4921</v>
      </c>
      <c r="J74" s="104"/>
    </row>
    <row r="75" spans="1:10" x14ac:dyDescent="0.3">
      <c r="A75" s="101" t="s">
        <v>17</v>
      </c>
      <c r="B75" s="102"/>
      <c r="C75" s="103">
        <v>7241</v>
      </c>
      <c r="D75" s="104"/>
      <c r="E75" s="103">
        <v>7361</v>
      </c>
      <c r="F75" s="104"/>
      <c r="G75" s="103">
        <v>7645</v>
      </c>
      <c r="H75" s="104"/>
      <c r="I75" s="103">
        <v>7806</v>
      </c>
      <c r="J75" s="104"/>
    </row>
    <row r="76" spans="1:10" x14ac:dyDescent="0.3">
      <c r="A76" s="107" t="s">
        <v>18</v>
      </c>
      <c r="B76" s="108"/>
      <c r="C76" s="103">
        <v>1553</v>
      </c>
      <c r="D76" s="104"/>
      <c r="E76" s="103">
        <v>1582</v>
      </c>
      <c r="F76" s="104"/>
      <c r="G76" s="103">
        <v>1602</v>
      </c>
      <c r="H76" s="104"/>
      <c r="I76" s="103">
        <v>1610</v>
      </c>
      <c r="J76" s="104"/>
    </row>
    <row r="77" spans="1:10" x14ac:dyDescent="0.3">
      <c r="A77" s="101" t="s">
        <v>19</v>
      </c>
      <c r="B77" s="102"/>
      <c r="C77" s="103">
        <v>5711</v>
      </c>
      <c r="D77" s="104"/>
      <c r="E77" s="103">
        <v>5778</v>
      </c>
      <c r="F77" s="104"/>
      <c r="G77" s="103">
        <v>5885</v>
      </c>
      <c r="H77" s="104"/>
      <c r="I77" s="103">
        <v>5920</v>
      </c>
      <c r="J77" s="104"/>
    </row>
    <row r="78" spans="1:10" x14ac:dyDescent="0.3">
      <c r="A78" s="105" t="s">
        <v>42</v>
      </c>
      <c r="B78" s="106"/>
      <c r="C78" s="103">
        <f>SUM(C69:C77)</f>
        <v>67513</v>
      </c>
      <c r="D78" s="104"/>
      <c r="E78" s="103">
        <f>SUM(E69:E77)</f>
        <v>68406</v>
      </c>
      <c r="F78" s="104"/>
      <c r="G78" s="103">
        <f>SUM(G69:G77)</f>
        <v>69572</v>
      </c>
      <c r="H78" s="104"/>
      <c r="I78" s="103">
        <f>SUM(I69:I77)</f>
        <v>70329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45" bestFit="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598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ht="15" customHeight="1" x14ac:dyDescent="0.3">
      <c r="A5" s="211" t="s">
        <v>10</v>
      </c>
      <c r="B5" s="212"/>
      <c r="C5" s="435">
        <v>8806</v>
      </c>
      <c r="D5" s="435"/>
      <c r="E5" s="435">
        <v>442</v>
      </c>
      <c r="F5" s="435"/>
      <c r="G5" s="435">
        <v>1402</v>
      </c>
      <c r="H5" s="435"/>
      <c r="I5" s="431">
        <v>797</v>
      </c>
      <c r="J5" s="432"/>
      <c r="K5" s="433">
        <v>0</v>
      </c>
      <c r="L5" s="434"/>
      <c r="M5" s="64">
        <v>92</v>
      </c>
      <c r="N5" s="65">
        <v>1960</v>
      </c>
      <c r="O5" s="66">
        <v>1910</v>
      </c>
      <c r="P5" s="65">
        <v>1315</v>
      </c>
      <c r="Q5" s="67">
        <v>941</v>
      </c>
      <c r="R5" s="80" t="s">
        <v>609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</row>
    <row r="7" spans="1:18" x14ac:dyDescent="0.3">
      <c r="A7" s="101" t="s">
        <v>12</v>
      </c>
      <c r="B7" s="102"/>
      <c r="C7" s="210">
        <v>367</v>
      </c>
      <c r="D7" s="210"/>
      <c r="E7" s="210">
        <v>383</v>
      </c>
      <c r="F7" s="210"/>
      <c r="G7" s="210">
        <v>242</v>
      </c>
      <c r="H7" s="210"/>
      <c r="I7" s="149">
        <v>366</v>
      </c>
      <c r="J7" s="150"/>
      <c r="K7" s="149">
        <v>28</v>
      </c>
      <c r="L7" s="150"/>
      <c r="M7" s="52">
        <v>321</v>
      </c>
      <c r="N7" s="52">
        <v>38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363</v>
      </c>
      <c r="D8" s="210"/>
      <c r="E8" s="210">
        <v>273</v>
      </c>
      <c r="F8" s="210"/>
      <c r="G8" s="210">
        <v>68</v>
      </c>
      <c r="H8" s="210"/>
      <c r="I8" s="149">
        <v>174</v>
      </c>
      <c r="J8" s="150"/>
      <c r="K8" s="149">
        <v>0</v>
      </c>
      <c r="L8" s="150"/>
      <c r="M8" s="52">
        <v>73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253</v>
      </c>
      <c r="D9" s="210"/>
      <c r="E9" s="210">
        <v>6</v>
      </c>
      <c r="F9" s="210"/>
      <c r="G9" s="210">
        <v>2</v>
      </c>
      <c r="H9" s="210"/>
      <c r="I9" s="149">
        <v>365</v>
      </c>
      <c r="J9" s="150"/>
      <c r="K9" s="149">
        <v>14</v>
      </c>
      <c r="L9" s="150"/>
      <c r="M9" s="52">
        <v>222</v>
      </c>
      <c r="N9" s="52">
        <v>67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378</v>
      </c>
      <c r="D10" s="210"/>
      <c r="E10" s="210">
        <v>285</v>
      </c>
      <c r="F10" s="210"/>
      <c r="G10" s="210">
        <v>27</v>
      </c>
      <c r="H10" s="210"/>
      <c r="I10" s="149">
        <v>100</v>
      </c>
      <c r="J10" s="150"/>
      <c r="K10" s="149">
        <v>0</v>
      </c>
      <c r="L10" s="150"/>
      <c r="M10" s="52">
        <v>82</v>
      </c>
      <c r="N10" s="52">
        <v>90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470</v>
      </c>
      <c r="D11" s="209"/>
      <c r="E11" s="210">
        <v>240</v>
      </c>
      <c r="F11" s="210"/>
      <c r="G11" s="210">
        <v>0</v>
      </c>
      <c r="H11" s="210"/>
      <c r="I11" s="149">
        <v>21</v>
      </c>
      <c r="J11" s="150"/>
      <c r="K11" s="149">
        <v>5</v>
      </c>
      <c r="L11" s="150"/>
      <c r="M11" s="52">
        <v>281</v>
      </c>
      <c r="N11" s="52">
        <v>289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127</v>
      </c>
      <c r="D12" s="209"/>
      <c r="E12" s="210">
        <v>0</v>
      </c>
      <c r="F12" s="210"/>
      <c r="G12" s="210">
        <v>55</v>
      </c>
      <c r="H12" s="210"/>
      <c r="I12" s="149">
        <v>121</v>
      </c>
      <c r="J12" s="150"/>
      <c r="K12" s="149">
        <v>0</v>
      </c>
      <c r="L12" s="150"/>
      <c r="M12" s="52">
        <v>28</v>
      </c>
      <c r="N12" s="52">
        <v>98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140</v>
      </c>
      <c r="D13" s="150"/>
      <c r="E13" s="149">
        <v>64</v>
      </c>
      <c r="F13" s="150"/>
      <c r="G13" s="149">
        <v>0</v>
      </c>
      <c r="H13" s="150"/>
      <c r="I13" s="149">
        <v>1</v>
      </c>
      <c r="J13" s="150"/>
      <c r="K13" s="149">
        <v>69</v>
      </c>
      <c r="L13" s="150"/>
      <c r="M13" s="52">
        <v>44</v>
      </c>
      <c r="N13" s="52">
        <v>0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346</v>
      </c>
      <c r="D14" s="206"/>
      <c r="E14" s="205">
        <v>24</v>
      </c>
      <c r="F14" s="206"/>
      <c r="G14" s="205">
        <v>27</v>
      </c>
      <c r="H14" s="206"/>
      <c r="I14" s="149">
        <v>146</v>
      </c>
      <c r="J14" s="150"/>
      <c r="K14" s="205">
        <v>0</v>
      </c>
      <c r="L14" s="206"/>
      <c r="M14" s="59">
        <v>206</v>
      </c>
      <c r="N14" s="59">
        <v>34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1830</v>
      </c>
      <c r="P15" s="52">
        <v>2254</v>
      </c>
      <c r="Q15" s="63">
        <v>1711</v>
      </c>
    </row>
    <row r="16" spans="1:18" ht="15" thickBot="1" x14ac:dyDescent="0.35">
      <c r="A16" s="199" t="s">
        <v>20</v>
      </c>
      <c r="B16" s="200"/>
      <c r="C16" s="201">
        <f>SUM(C5:D15)</f>
        <v>12320</v>
      </c>
      <c r="D16" s="202"/>
      <c r="E16" s="201">
        <f>SUM(E5:F15)</f>
        <v>1717</v>
      </c>
      <c r="F16" s="202"/>
      <c r="G16" s="201">
        <f>SUM(G5:H15)</f>
        <v>1823</v>
      </c>
      <c r="H16" s="202"/>
      <c r="I16" s="201">
        <f>SUM(I5:J15)</f>
        <v>2091</v>
      </c>
      <c r="J16" s="202"/>
      <c r="K16" s="201">
        <f>SUM(K5:L15)</f>
        <v>116</v>
      </c>
      <c r="L16" s="202"/>
      <c r="M16" s="4">
        <f>SUM(M5:M15)</f>
        <v>1349</v>
      </c>
      <c r="N16" s="4">
        <f>SUM(N5:N15)</f>
        <v>2591</v>
      </c>
      <c r="O16" s="4">
        <f>SUM(O5:O15)</f>
        <v>3822</v>
      </c>
      <c r="P16" s="4">
        <f>SUM(P5:P15)</f>
        <v>3604</v>
      </c>
      <c r="Q16" s="33">
        <f>SUM(Q5:Q15)</f>
        <v>2660</v>
      </c>
    </row>
    <row r="17" spans="1:17" ht="15" thickBot="1" x14ac:dyDescent="0.35">
      <c r="A17" s="190" t="s">
        <v>21</v>
      </c>
      <c r="B17" s="191"/>
      <c r="C17" s="435">
        <v>8806</v>
      </c>
      <c r="D17" s="435"/>
      <c r="E17" s="193">
        <v>442</v>
      </c>
      <c r="F17" s="194"/>
      <c r="G17" s="195">
        <v>1402</v>
      </c>
      <c r="H17" s="196"/>
      <c r="I17" s="195">
        <v>797</v>
      </c>
      <c r="J17" s="196"/>
      <c r="K17" s="197">
        <v>0</v>
      </c>
      <c r="L17" s="198"/>
      <c r="M17" s="36">
        <v>92</v>
      </c>
      <c r="N17" s="47">
        <v>1960</v>
      </c>
      <c r="O17" s="82">
        <v>1910</v>
      </c>
      <c r="P17" s="77">
        <v>1315</v>
      </c>
      <c r="Q17" s="83">
        <v>941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O20" s="49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7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598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281</v>
      </c>
      <c r="D25" s="162"/>
      <c r="E25" s="185" t="s">
        <v>397</v>
      </c>
      <c r="F25" s="186"/>
      <c r="G25" s="161">
        <v>0</v>
      </c>
      <c r="H25" s="162"/>
      <c r="I25" s="161">
        <v>3</v>
      </c>
      <c r="J25" s="162"/>
      <c r="K25" s="70">
        <v>0</v>
      </c>
      <c r="L25" s="78">
        <v>17</v>
      </c>
      <c r="M25" s="78">
        <v>9</v>
      </c>
      <c r="N25"/>
      <c r="O25"/>
    </row>
    <row r="26" spans="1:17" x14ac:dyDescent="0.3">
      <c r="A26" s="101" t="s">
        <v>13</v>
      </c>
      <c r="B26" s="102"/>
      <c r="C26" s="149">
        <v>54</v>
      </c>
      <c r="D26" s="150"/>
      <c r="E26" s="165" t="s">
        <v>25</v>
      </c>
      <c r="F26" s="166"/>
      <c r="G26" s="149">
        <v>0</v>
      </c>
      <c r="H26" s="150"/>
      <c r="I26" s="149">
        <v>131</v>
      </c>
      <c r="J26" s="150"/>
      <c r="K26" s="52">
        <v>0</v>
      </c>
      <c r="L26" s="79">
        <v>0</v>
      </c>
      <c r="M26" s="79">
        <v>0</v>
      </c>
      <c r="N26"/>
      <c r="O26"/>
    </row>
    <row r="27" spans="1:17" x14ac:dyDescent="0.3">
      <c r="A27" s="101" t="s">
        <v>14</v>
      </c>
      <c r="B27" s="102"/>
      <c r="C27" s="149">
        <v>338</v>
      </c>
      <c r="D27" s="150"/>
      <c r="E27" s="165" t="s">
        <v>604</v>
      </c>
      <c r="F27" s="166"/>
      <c r="G27" s="149">
        <v>9</v>
      </c>
      <c r="H27" s="150"/>
      <c r="I27" s="149">
        <v>57</v>
      </c>
      <c r="J27" s="150"/>
      <c r="K27" s="52">
        <v>2</v>
      </c>
      <c r="L27" s="79">
        <v>16</v>
      </c>
      <c r="M27" s="79">
        <v>5</v>
      </c>
      <c r="N27"/>
      <c r="O27"/>
    </row>
    <row r="28" spans="1:17" x14ac:dyDescent="0.3">
      <c r="A28" s="101" t="s">
        <v>15</v>
      </c>
      <c r="B28" s="102"/>
      <c r="C28" s="165" t="s">
        <v>560</v>
      </c>
      <c r="D28" s="166"/>
      <c r="E28" s="165" t="s">
        <v>90</v>
      </c>
      <c r="F28" s="166"/>
      <c r="G28" s="149">
        <v>0</v>
      </c>
      <c r="H28" s="150"/>
      <c r="I28" s="149">
        <v>30</v>
      </c>
      <c r="J28" s="150"/>
      <c r="K28" s="52">
        <v>6</v>
      </c>
      <c r="L28" s="81">
        <v>0</v>
      </c>
      <c r="M28" s="79">
        <v>0</v>
      </c>
      <c r="N28"/>
      <c r="O28"/>
    </row>
    <row r="29" spans="1:17" x14ac:dyDescent="0.3">
      <c r="A29" s="101" t="s">
        <v>16</v>
      </c>
      <c r="B29" s="102"/>
      <c r="C29" s="183" t="s">
        <v>601</v>
      </c>
      <c r="D29" s="184"/>
      <c r="E29" s="165" t="s">
        <v>90</v>
      </c>
      <c r="F29" s="166"/>
      <c r="G29" s="149">
        <v>0</v>
      </c>
      <c r="H29" s="150"/>
      <c r="I29" s="149">
        <v>15</v>
      </c>
      <c r="J29" s="150"/>
      <c r="K29" s="52">
        <v>2</v>
      </c>
      <c r="L29" s="79">
        <v>3</v>
      </c>
      <c r="M29" s="79">
        <v>0</v>
      </c>
      <c r="N29"/>
      <c r="O29" s="58"/>
    </row>
    <row r="30" spans="1:17" x14ac:dyDescent="0.3">
      <c r="A30" s="101" t="s">
        <v>17</v>
      </c>
      <c r="B30" s="102"/>
      <c r="C30" s="152">
        <v>3</v>
      </c>
      <c r="D30" s="153"/>
      <c r="E30" s="149" t="s">
        <v>90</v>
      </c>
      <c r="F30" s="150"/>
      <c r="G30" s="149">
        <v>0</v>
      </c>
      <c r="H30" s="150"/>
      <c r="I30" s="149">
        <v>3</v>
      </c>
      <c r="J30" s="150"/>
      <c r="K30" s="52">
        <v>0</v>
      </c>
      <c r="L30" s="79">
        <v>0</v>
      </c>
      <c r="M30" s="79">
        <v>0</v>
      </c>
      <c r="N30"/>
      <c r="O30"/>
      <c r="P30"/>
    </row>
    <row r="31" spans="1:17" x14ac:dyDescent="0.3">
      <c r="A31" s="101" t="s">
        <v>18</v>
      </c>
      <c r="B31" s="102"/>
      <c r="C31" s="183" t="s">
        <v>599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598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23</v>
      </c>
      <c r="D38" s="162"/>
      <c r="E38" s="163" t="s">
        <v>607</v>
      </c>
      <c r="F38" s="164"/>
      <c r="G38" s="161">
        <v>0</v>
      </c>
      <c r="H38" s="162"/>
      <c r="I38" s="161">
        <v>10</v>
      </c>
      <c r="J38" s="162"/>
      <c r="K38" s="70">
        <v>0</v>
      </c>
      <c r="L38" s="78">
        <v>35</v>
      </c>
      <c r="M38" s="78">
        <v>11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608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9</v>
      </c>
      <c r="M39" s="79">
        <v>2</v>
      </c>
    </row>
    <row r="40" spans="1:16" x14ac:dyDescent="0.3">
      <c r="A40" s="147" t="s">
        <v>14</v>
      </c>
      <c r="B40" s="148"/>
      <c r="C40" s="149" t="s">
        <v>589</v>
      </c>
      <c r="D40" s="150"/>
      <c r="E40" s="154" t="s">
        <v>605</v>
      </c>
      <c r="F40" s="155"/>
      <c r="G40" s="149">
        <v>20</v>
      </c>
      <c r="H40" s="150"/>
      <c r="I40" s="149" t="s">
        <v>437</v>
      </c>
      <c r="J40" s="150"/>
      <c r="K40" s="52">
        <v>0</v>
      </c>
      <c r="L40" s="79">
        <v>13</v>
      </c>
      <c r="M40" s="79">
        <v>8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606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23</v>
      </c>
      <c r="M41" s="79">
        <v>8</v>
      </c>
      <c r="N41"/>
    </row>
    <row r="42" spans="1:16" x14ac:dyDescent="0.3">
      <c r="A42" s="147" t="s">
        <v>16</v>
      </c>
      <c r="B42" s="148"/>
      <c r="C42" s="152" t="s">
        <v>602</v>
      </c>
      <c r="D42" s="153"/>
      <c r="E42" s="154" t="s">
        <v>603</v>
      </c>
      <c r="F42" s="155"/>
      <c r="G42" s="149">
        <v>0</v>
      </c>
      <c r="H42" s="150"/>
      <c r="I42" s="149" t="s">
        <v>516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398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4</v>
      </c>
      <c r="D44" s="153"/>
      <c r="E44" s="149" t="s">
        <v>600</v>
      </c>
      <c r="F44" s="150"/>
      <c r="G44" s="149">
        <v>0</v>
      </c>
      <c r="H44" s="150"/>
      <c r="I44" s="149">
        <v>3</v>
      </c>
      <c r="J44" s="150"/>
      <c r="K44" s="52">
        <v>0</v>
      </c>
      <c r="L44" s="79">
        <v>3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566</v>
      </c>
      <c r="D49" s="146"/>
      <c r="E49" s="145" t="s">
        <v>576</v>
      </c>
      <c r="F49" s="146"/>
      <c r="G49" s="145" t="s">
        <v>588</v>
      </c>
      <c r="H49" s="146"/>
      <c r="I49" s="145" t="s">
        <v>598</v>
      </c>
      <c r="J49" s="146"/>
    </row>
    <row r="50" spans="1:11" x14ac:dyDescent="0.3">
      <c r="A50" s="120" t="s">
        <v>30</v>
      </c>
      <c r="B50" s="121"/>
      <c r="C50" s="136">
        <v>12398</v>
      </c>
      <c r="D50" s="137"/>
      <c r="E50" s="136">
        <v>12365</v>
      </c>
      <c r="F50" s="137"/>
      <c r="G50" s="136">
        <v>12334</v>
      </c>
      <c r="H50" s="137"/>
      <c r="I50" s="136">
        <v>12195</v>
      </c>
      <c r="J50" s="137"/>
    </row>
    <row r="51" spans="1:11" x14ac:dyDescent="0.3">
      <c r="A51" s="120" t="s">
        <v>31</v>
      </c>
      <c r="B51" s="121"/>
      <c r="C51" s="136">
        <v>9963</v>
      </c>
      <c r="D51" s="137"/>
      <c r="E51" s="136">
        <v>9992</v>
      </c>
      <c r="F51" s="137"/>
      <c r="G51" s="136">
        <v>10048</v>
      </c>
      <c r="H51" s="137"/>
      <c r="I51" s="136">
        <v>10107</v>
      </c>
      <c r="J51" s="137"/>
    </row>
    <row r="52" spans="1:11" x14ac:dyDescent="0.3">
      <c r="A52" s="120" t="s">
        <v>32</v>
      </c>
      <c r="B52" s="121"/>
      <c r="C52" s="136">
        <v>112858</v>
      </c>
      <c r="D52" s="137"/>
      <c r="E52" s="136">
        <v>112708</v>
      </c>
      <c r="F52" s="137"/>
      <c r="G52" s="136">
        <v>112624</v>
      </c>
      <c r="H52" s="137"/>
      <c r="I52" s="136">
        <v>112544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241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49854</v>
      </c>
      <c r="D54" s="137"/>
      <c r="E54" s="136">
        <v>49798</v>
      </c>
      <c r="F54" s="137"/>
      <c r="G54" s="136">
        <v>49770</v>
      </c>
      <c r="H54" s="137"/>
      <c r="I54" s="136">
        <v>49741</v>
      </c>
      <c r="J54" s="137"/>
    </row>
    <row r="55" spans="1:11" x14ac:dyDescent="0.3">
      <c r="A55" s="120" t="s">
        <v>53</v>
      </c>
      <c r="B55" s="121"/>
      <c r="C55" s="138">
        <v>4372</v>
      </c>
      <c r="D55" s="139"/>
      <c r="E55" s="138">
        <v>4366</v>
      </c>
      <c r="F55" s="139"/>
      <c r="G55" s="138">
        <v>4361</v>
      </c>
      <c r="H55" s="139"/>
      <c r="I55" s="138">
        <v>4370</v>
      </c>
      <c r="J55" s="139"/>
    </row>
    <row r="56" spans="1:11" x14ac:dyDescent="0.3">
      <c r="A56" s="120" t="s">
        <v>49</v>
      </c>
      <c r="B56" s="121"/>
      <c r="C56" s="136">
        <v>19590</v>
      </c>
      <c r="D56" s="137"/>
      <c r="E56" s="136">
        <v>19799</v>
      </c>
      <c r="F56" s="137"/>
      <c r="G56" s="136">
        <v>19951</v>
      </c>
      <c r="H56" s="137"/>
      <c r="I56" s="136">
        <v>20214</v>
      </c>
      <c r="J56" s="137"/>
      <c r="K56" s="51"/>
    </row>
    <row r="57" spans="1:11" x14ac:dyDescent="0.3">
      <c r="A57" s="120" t="s">
        <v>35</v>
      </c>
      <c r="B57" s="121"/>
      <c r="C57" s="138">
        <v>2766</v>
      </c>
      <c r="D57" s="139"/>
      <c r="E57" s="138">
        <v>2767</v>
      </c>
      <c r="F57" s="139"/>
      <c r="G57" s="138">
        <v>2782</v>
      </c>
      <c r="H57" s="139"/>
      <c r="I57" s="138">
        <v>2797</v>
      </c>
      <c r="J57" s="139"/>
    </row>
    <row r="58" spans="1:11" x14ac:dyDescent="0.3">
      <c r="A58" s="120" t="s">
        <v>36</v>
      </c>
      <c r="B58" s="121"/>
      <c r="C58" s="122">
        <f>SUM(C50:D57)</f>
        <v>212041</v>
      </c>
      <c r="D58" s="123"/>
      <c r="E58" s="122">
        <f>SUM(E50:F57)</f>
        <v>212036</v>
      </c>
      <c r="F58" s="123"/>
      <c r="G58" s="122">
        <f>SUM(G50:H57)</f>
        <v>212110</v>
      </c>
      <c r="H58" s="123"/>
      <c r="I58" s="122">
        <f>SUM(I50:J57)</f>
        <v>212208</v>
      </c>
      <c r="J58" s="123"/>
    </row>
    <row r="60" spans="1:11" x14ac:dyDescent="0.3">
      <c r="A60" s="124" t="s">
        <v>37</v>
      </c>
      <c r="B60" s="125"/>
      <c r="C60" s="130" t="s">
        <v>566</v>
      </c>
      <c r="D60" s="131"/>
      <c r="E60" s="130" t="s">
        <v>576</v>
      </c>
      <c r="F60" s="131"/>
      <c r="G60" s="130" t="s">
        <v>588</v>
      </c>
      <c r="H60" s="131"/>
      <c r="I60" s="130" t="s">
        <v>598</v>
      </c>
      <c r="J60" s="131"/>
    </row>
    <row r="61" spans="1:11" x14ac:dyDescent="0.3">
      <c r="A61" s="126"/>
      <c r="B61" s="127"/>
      <c r="C61" s="132">
        <v>139592</v>
      </c>
      <c r="D61" s="133"/>
      <c r="E61" s="132">
        <v>139632</v>
      </c>
      <c r="F61" s="133"/>
      <c r="G61" s="132">
        <v>139662</v>
      </c>
      <c r="H61" s="133"/>
      <c r="I61" s="132">
        <v>139665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465</v>
      </c>
      <c r="D66" s="115"/>
      <c r="E66" s="114" t="s">
        <v>509</v>
      </c>
      <c r="F66" s="115"/>
      <c r="G66" s="114" t="s">
        <v>548</v>
      </c>
      <c r="H66" s="115"/>
      <c r="I66" s="114" t="s">
        <v>577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29171</v>
      </c>
      <c r="D69" s="104"/>
      <c r="E69" s="103">
        <v>29615</v>
      </c>
      <c r="F69" s="104"/>
      <c r="G69" s="103">
        <v>30064</v>
      </c>
      <c r="H69" s="104"/>
      <c r="I69" s="103">
        <v>30398</v>
      </c>
      <c r="J69" s="104"/>
    </row>
    <row r="70" spans="1:10" x14ac:dyDescent="0.3">
      <c r="A70" s="101" t="s">
        <v>13</v>
      </c>
      <c r="B70" s="102"/>
      <c r="C70" s="103">
        <v>6989</v>
      </c>
      <c r="D70" s="104"/>
      <c r="E70" s="103">
        <v>7028</v>
      </c>
      <c r="F70" s="104"/>
      <c r="G70" s="103">
        <v>7077</v>
      </c>
      <c r="H70" s="104"/>
      <c r="I70" s="103">
        <v>7127</v>
      </c>
      <c r="J70" s="104"/>
    </row>
    <row r="71" spans="1:10" x14ac:dyDescent="0.3">
      <c r="A71" s="107" t="s">
        <v>14</v>
      </c>
      <c r="B71" s="108"/>
      <c r="C71" s="103">
        <v>6128</v>
      </c>
      <c r="D71" s="104"/>
      <c r="E71" s="103">
        <v>6175</v>
      </c>
      <c r="F71" s="104"/>
      <c r="G71" s="103">
        <v>6238</v>
      </c>
      <c r="H71" s="104"/>
      <c r="I71" s="103">
        <v>6283</v>
      </c>
      <c r="J71" s="104"/>
    </row>
    <row r="72" spans="1:10" x14ac:dyDescent="0.3">
      <c r="A72" s="107" t="s">
        <v>41</v>
      </c>
      <c r="B72" s="108"/>
      <c r="C72" s="103">
        <v>1391</v>
      </c>
      <c r="D72" s="104"/>
      <c r="E72" s="103">
        <v>1420</v>
      </c>
      <c r="F72" s="104"/>
      <c r="G72" s="103">
        <v>1453</v>
      </c>
      <c r="H72" s="104"/>
      <c r="I72" s="103">
        <v>1472</v>
      </c>
      <c r="J72" s="104"/>
    </row>
    <row r="73" spans="1:10" x14ac:dyDescent="0.3">
      <c r="A73" s="101" t="s">
        <v>15</v>
      </c>
      <c r="B73" s="102"/>
      <c r="C73" s="103">
        <v>4555</v>
      </c>
      <c r="D73" s="104"/>
      <c r="E73" s="103">
        <v>4623</v>
      </c>
      <c r="F73" s="104"/>
      <c r="G73" s="103">
        <v>4727</v>
      </c>
      <c r="H73" s="104"/>
      <c r="I73" s="103">
        <v>4792</v>
      </c>
      <c r="J73" s="104"/>
    </row>
    <row r="74" spans="1:10" x14ac:dyDescent="0.3">
      <c r="A74" s="107" t="s">
        <v>16</v>
      </c>
      <c r="B74" s="108"/>
      <c r="C74" s="103">
        <v>4774</v>
      </c>
      <c r="D74" s="104"/>
      <c r="E74" s="103">
        <v>4824</v>
      </c>
      <c r="F74" s="104"/>
      <c r="G74" s="103">
        <v>4881</v>
      </c>
      <c r="H74" s="104"/>
      <c r="I74" s="103">
        <v>4921</v>
      </c>
      <c r="J74" s="104"/>
    </row>
    <row r="75" spans="1:10" x14ac:dyDescent="0.3">
      <c r="A75" s="101" t="s">
        <v>17</v>
      </c>
      <c r="B75" s="102"/>
      <c r="C75" s="103">
        <v>7241</v>
      </c>
      <c r="D75" s="104"/>
      <c r="E75" s="103">
        <v>7361</v>
      </c>
      <c r="F75" s="104"/>
      <c r="G75" s="103">
        <v>7645</v>
      </c>
      <c r="H75" s="104"/>
      <c r="I75" s="103">
        <v>7806</v>
      </c>
      <c r="J75" s="104"/>
    </row>
    <row r="76" spans="1:10" x14ac:dyDescent="0.3">
      <c r="A76" s="107" t="s">
        <v>18</v>
      </c>
      <c r="B76" s="108"/>
      <c r="C76" s="103">
        <v>1553</v>
      </c>
      <c r="D76" s="104"/>
      <c r="E76" s="103">
        <v>1582</v>
      </c>
      <c r="F76" s="104"/>
      <c r="G76" s="103">
        <v>1602</v>
      </c>
      <c r="H76" s="104"/>
      <c r="I76" s="103">
        <v>1610</v>
      </c>
      <c r="J76" s="104"/>
    </row>
    <row r="77" spans="1:10" x14ac:dyDescent="0.3">
      <c r="A77" s="101" t="s">
        <v>19</v>
      </c>
      <c r="B77" s="102"/>
      <c r="C77" s="103">
        <v>5711</v>
      </c>
      <c r="D77" s="104"/>
      <c r="E77" s="103">
        <v>5778</v>
      </c>
      <c r="F77" s="104"/>
      <c r="G77" s="103">
        <v>5885</v>
      </c>
      <c r="H77" s="104"/>
      <c r="I77" s="103">
        <v>5920</v>
      </c>
      <c r="J77" s="104"/>
    </row>
    <row r="78" spans="1:10" x14ac:dyDescent="0.3">
      <c r="A78" s="105" t="s">
        <v>42</v>
      </c>
      <c r="B78" s="106"/>
      <c r="C78" s="103">
        <f>SUM(C69:C77)</f>
        <v>67513</v>
      </c>
      <c r="D78" s="104"/>
      <c r="E78" s="103">
        <f>SUM(E69:E77)</f>
        <v>68406</v>
      </c>
      <c r="F78" s="104"/>
      <c r="G78" s="103">
        <f>SUM(G69:G77)</f>
        <v>69572</v>
      </c>
      <c r="H78" s="104"/>
      <c r="I78" s="103">
        <f>SUM(I69:I77)</f>
        <v>70329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R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45" bestFit="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610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ht="15" customHeight="1" x14ac:dyDescent="0.3">
      <c r="A5" s="211" t="s">
        <v>10</v>
      </c>
      <c r="B5" s="212"/>
      <c r="C5" s="192">
        <v>8806</v>
      </c>
      <c r="D5" s="192"/>
      <c r="E5" s="192">
        <v>422</v>
      </c>
      <c r="F5" s="192"/>
      <c r="G5" s="192">
        <v>1402</v>
      </c>
      <c r="H5" s="192"/>
      <c r="I5" s="195">
        <v>555</v>
      </c>
      <c r="J5" s="196"/>
      <c r="K5" s="216">
        <v>0</v>
      </c>
      <c r="L5" s="217"/>
      <c r="M5" s="56">
        <v>30</v>
      </c>
      <c r="N5" s="53">
        <v>1960</v>
      </c>
      <c r="O5" s="88">
        <v>1610</v>
      </c>
      <c r="P5" s="53">
        <v>1315</v>
      </c>
      <c r="Q5" s="89">
        <v>941</v>
      </c>
      <c r="R5" s="80" t="s">
        <v>617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</row>
    <row r="7" spans="1:18" x14ac:dyDescent="0.3">
      <c r="A7" s="101" t="s">
        <v>12</v>
      </c>
      <c r="B7" s="102"/>
      <c r="C7" s="210">
        <v>383</v>
      </c>
      <c r="D7" s="210"/>
      <c r="E7" s="210">
        <v>380</v>
      </c>
      <c r="F7" s="210"/>
      <c r="G7" s="210">
        <v>242</v>
      </c>
      <c r="H7" s="210"/>
      <c r="I7" s="149">
        <v>320</v>
      </c>
      <c r="J7" s="150"/>
      <c r="K7" s="149">
        <v>26</v>
      </c>
      <c r="L7" s="150"/>
      <c r="M7" s="52">
        <v>262</v>
      </c>
      <c r="N7" s="52">
        <v>38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351</v>
      </c>
      <c r="D8" s="210"/>
      <c r="E8" s="210">
        <v>263</v>
      </c>
      <c r="F8" s="210"/>
      <c r="G8" s="210">
        <v>59</v>
      </c>
      <c r="H8" s="210"/>
      <c r="I8" s="149">
        <v>168</v>
      </c>
      <c r="J8" s="150"/>
      <c r="K8" s="149">
        <v>0</v>
      </c>
      <c r="L8" s="150"/>
      <c r="M8" s="52">
        <v>64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234</v>
      </c>
      <c r="D9" s="210"/>
      <c r="E9" s="210">
        <v>4</v>
      </c>
      <c r="F9" s="210"/>
      <c r="G9" s="210">
        <v>4</v>
      </c>
      <c r="H9" s="210"/>
      <c r="I9" s="149">
        <v>332</v>
      </c>
      <c r="J9" s="150"/>
      <c r="K9" s="149">
        <v>13</v>
      </c>
      <c r="L9" s="150"/>
      <c r="M9" s="52">
        <v>240</v>
      </c>
      <c r="N9" s="52">
        <v>15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361</v>
      </c>
      <c r="D10" s="210"/>
      <c r="E10" s="210">
        <v>273</v>
      </c>
      <c r="F10" s="210"/>
      <c r="G10" s="210">
        <v>27</v>
      </c>
      <c r="H10" s="210"/>
      <c r="I10" s="149">
        <v>95</v>
      </c>
      <c r="J10" s="150"/>
      <c r="K10" s="149">
        <v>0</v>
      </c>
      <c r="L10" s="150"/>
      <c r="M10" s="52">
        <v>66</v>
      </c>
      <c r="N10" s="52">
        <v>77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445</v>
      </c>
      <c r="D11" s="209"/>
      <c r="E11" s="210">
        <v>232</v>
      </c>
      <c r="F11" s="210"/>
      <c r="G11" s="210">
        <v>0</v>
      </c>
      <c r="H11" s="210"/>
      <c r="I11" s="149">
        <v>90</v>
      </c>
      <c r="J11" s="150"/>
      <c r="K11" s="149">
        <v>5</v>
      </c>
      <c r="L11" s="150"/>
      <c r="M11" s="52">
        <v>175</v>
      </c>
      <c r="N11" s="52">
        <v>235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92</v>
      </c>
      <c r="D12" s="209"/>
      <c r="E12" s="210">
        <v>0</v>
      </c>
      <c r="F12" s="210"/>
      <c r="G12" s="210">
        <v>50</v>
      </c>
      <c r="H12" s="210"/>
      <c r="I12" s="149">
        <v>96</v>
      </c>
      <c r="J12" s="150"/>
      <c r="K12" s="149">
        <v>0</v>
      </c>
      <c r="L12" s="150"/>
      <c r="M12" s="52">
        <v>103</v>
      </c>
      <c r="N12" s="52">
        <v>93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278</v>
      </c>
      <c r="D13" s="150"/>
      <c r="E13" s="149">
        <v>54</v>
      </c>
      <c r="F13" s="150"/>
      <c r="G13" s="149">
        <v>0</v>
      </c>
      <c r="H13" s="150"/>
      <c r="I13" s="149">
        <v>81</v>
      </c>
      <c r="J13" s="150"/>
      <c r="K13" s="149">
        <v>0</v>
      </c>
      <c r="L13" s="150"/>
      <c r="M13" s="52">
        <v>63</v>
      </c>
      <c r="N13" s="52">
        <v>44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356</v>
      </c>
      <c r="D14" s="206"/>
      <c r="E14" s="205">
        <v>68</v>
      </c>
      <c r="F14" s="206"/>
      <c r="G14" s="205">
        <v>18</v>
      </c>
      <c r="H14" s="206"/>
      <c r="I14" s="149">
        <v>131</v>
      </c>
      <c r="J14" s="150"/>
      <c r="K14" s="205">
        <v>0</v>
      </c>
      <c r="L14" s="206"/>
      <c r="M14" s="59">
        <v>194</v>
      </c>
      <c r="N14" s="59">
        <v>29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1484</v>
      </c>
      <c r="P15" s="52">
        <v>2006</v>
      </c>
      <c r="Q15" s="63">
        <v>1497</v>
      </c>
    </row>
    <row r="16" spans="1:18" ht="15" thickBot="1" x14ac:dyDescent="0.35">
      <c r="A16" s="199" t="s">
        <v>20</v>
      </c>
      <c r="B16" s="200"/>
      <c r="C16" s="201">
        <f>SUM(C5:D15)</f>
        <v>12376</v>
      </c>
      <c r="D16" s="202"/>
      <c r="E16" s="201">
        <f>SUM(E5:F15)</f>
        <v>1696</v>
      </c>
      <c r="F16" s="202"/>
      <c r="G16" s="201">
        <f>SUM(G5:H15)</f>
        <v>1802</v>
      </c>
      <c r="H16" s="202"/>
      <c r="I16" s="201">
        <f>SUM(I5:J15)</f>
        <v>1868</v>
      </c>
      <c r="J16" s="202"/>
      <c r="K16" s="201">
        <f>SUM(K5:L15)</f>
        <v>44</v>
      </c>
      <c r="L16" s="202"/>
      <c r="M16" s="4">
        <f>SUM(M5:M15)</f>
        <v>1197</v>
      </c>
      <c r="N16" s="4">
        <f>SUM(N5:N15)</f>
        <v>2506</v>
      </c>
      <c r="O16" s="4">
        <f>SUM(O5:O15)</f>
        <v>3176</v>
      </c>
      <c r="P16" s="4">
        <f>SUM(P5:P15)</f>
        <v>3356</v>
      </c>
      <c r="Q16" s="33">
        <f>SUM(Q5:Q15)</f>
        <v>2446</v>
      </c>
    </row>
    <row r="17" spans="1:18" ht="15" thickBot="1" x14ac:dyDescent="0.35">
      <c r="A17" s="190" t="s">
        <v>21</v>
      </c>
      <c r="B17" s="191"/>
      <c r="C17" s="192">
        <v>8806</v>
      </c>
      <c r="D17" s="192"/>
      <c r="E17" s="193">
        <v>422</v>
      </c>
      <c r="F17" s="194"/>
      <c r="G17" s="195">
        <v>1402</v>
      </c>
      <c r="H17" s="196"/>
      <c r="I17" s="195">
        <v>555</v>
      </c>
      <c r="J17" s="196"/>
      <c r="K17" s="197">
        <v>0</v>
      </c>
      <c r="L17" s="198"/>
      <c r="M17" s="36">
        <v>30</v>
      </c>
      <c r="N17" s="30">
        <v>1960</v>
      </c>
      <c r="O17" s="86">
        <v>1610</v>
      </c>
      <c r="P17" s="37">
        <v>1315</v>
      </c>
      <c r="Q17" s="87">
        <v>941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610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292</v>
      </c>
      <c r="D25" s="162"/>
      <c r="E25" s="185" t="s">
        <v>397</v>
      </c>
      <c r="F25" s="186"/>
      <c r="G25" s="161">
        <v>0</v>
      </c>
      <c r="H25" s="162"/>
      <c r="I25" s="161">
        <v>3</v>
      </c>
      <c r="J25" s="162"/>
      <c r="K25" s="70">
        <v>0</v>
      </c>
      <c r="L25" s="78">
        <v>29</v>
      </c>
      <c r="M25" s="78">
        <v>11</v>
      </c>
      <c r="N25"/>
      <c r="O25"/>
    </row>
    <row r="26" spans="1:18" x14ac:dyDescent="0.3">
      <c r="A26" s="101" t="s">
        <v>13</v>
      </c>
      <c r="B26" s="102"/>
      <c r="C26" s="149">
        <v>55</v>
      </c>
      <c r="D26" s="150"/>
      <c r="E26" s="165" t="s">
        <v>25</v>
      </c>
      <c r="F26" s="166"/>
      <c r="G26" s="149">
        <v>0</v>
      </c>
      <c r="H26" s="150"/>
      <c r="I26" s="149">
        <v>133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346</v>
      </c>
      <c r="D27" s="150"/>
      <c r="E27" s="165" t="s">
        <v>502</v>
      </c>
      <c r="F27" s="166"/>
      <c r="G27" s="149">
        <v>21</v>
      </c>
      <c r="H27" s="150"/>
      <c r="I27" s="149">
        <v>61</v>
      </c>
      <c r="J27" s="150"/>
      <c r="K27" s="52">
        <v>2</v>
      </c>
      <c r="L27" s="79">
        <v>21</v>
      </c>
      <c r="M27" s="79">
        <v>5</v>
      </c>
      <c r="N27"/>
      <c r="O27"/>
    </row>
    <row r="28" spans="1:18" x14ac:dyDescent="0.3">
      <c r="A28" s="101" t="s">
        <v>15</v>
      </c>
      <c r="B28" s="102"/>
      <c r="C28" s="165" t="s">
        <v>612</v>
      </c>
      <c r="D28" s="166"/>
      <c r="E28" s="165" t="s">
        <v>90</v>
      </c>
      <c r="F28" s="166"/>
      <c r="G28" s="149">
        <v>0</v>
      </c>
      <c r="H28" s="150"/>
      <c r="I28" s="149">
        <v>25</v>
      </c>
      <c r="J28" s="150"/>
      <c r="K28" s="52">
        <v>5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15</v>
      </c>
      <c r="J29" s="150"/>
      <c r="K29" s="52">
        <v>2</v>
      </c>
      <c r="L29" s="79">
        <v>3</v>
      </c>
      <c r="M29" s="79">
        <v>0</v>
      </c>
      <c r="N29"/>
      <c r="O29" s="58"/>
    </row>
    <row r="30" spans="1:18" x14ac:dyDescent="0.3">
      <c r="A30" s="101" t="s">
        <v>17</v>
      </c>
      <c r="B30" s="102"/>
      <c r="C30" s="152">
        <v>6</v>
      </c>
      <c r="D30" s="153"/>
      <c r="E30" s="149" t="s">
        <v>90</v>
      </c>
      <c r="F30" s="150"/>
      <c r="G30" s="149">
        <v>0</v>
      </c>
      <c r="H30" s="150"/>
      <c r="I30" s="149">
        <v>8</v>
      </c>
      <c r="J30" s="150"/>
      <c r="K30" s="52">
        <v>0</v>
      </c>
      <c r="L30" s="79">
        <v>0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599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610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22</v>
      </c>
      <c r="D38" s="162"/>
      <c r="E38" s="163" t="s">
        <v>615</v>
      </c>
      <c r="F38" s="164"/>
      <c r="G38" s="161">
        <v>0</v>
      </c>
      <c r="H38" s="162"/>
      <c r="I38" s="161">
        <v>10</v>
      </c>
      <c r="J38" s="162"/>
      <c r="K38" s="70">
        <v>0</v>
      </c>
      <c r="L38" s="78">
        <v>15</v>
      </c>
      <c r="M38" s="78">
        <v>8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616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9</v>
      </c>
      <c r="M39" s="79">
        <v>2</v>
      </c>
    </row>
    <row r="40" spans="1:16" x14ac:dyDescent="0.3">
      <c r="A40" s="147" t="s">
        <v>14</v>
      </c>
      <c r="B40" s="148"/>
      <c r="C40" s="149" t="s">
        <v>589</v>
      </c>
      <c r="D40" s="150"/>
      <c r="E40" s="154" t="s">
        <v>614</v>
      </c>
      <c r="F40" s="155"/>
      <c r="G40" s="149">
        <v>27</v>
      </c>
      <c r="H40" s="150"/>
      <c r="I40" s="149" t="s">
        <v>437</v>
      </c>
      <c r="J40" s="150"/>
      <c r="K40" s="52">
        <v>0</v>
      </c>
      <c r="L40" s="79">
        <v>11</v>
      </c>
      <c r="M40" s="79">
        <v>8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613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23</v>
      </c>
      <c r="M41" s="79">
        <v>8</v>
      </c>
      <c r="N41"/>
    </row>
    <row r="42" spans="1:16" x14ac:dyDescent="0.3">
      <c r="A42" s="147" t="s">
        <v>16</v>
      </c>
      <c r="B42" s="148"/>
      <c r="C42" s="152" t="s">
        <v>611</v>
      </c>
      <c r="D42" s="153"/>
      <c r="E42" s="154" t="s">
        <v>603</v>
      </c>
      <c r="F42" s="155"/>
      <c r="G42" s="149">
        <v>0</v>
      </c>
      <c r="H42" s="150"/>
      <c r="I42" s="149" t="s">
        <v>516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398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618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1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576</v>
      </c>
      <c r="D49" s="146"/>
      <c r="E49" s="145" t="s">
        <v>588</v>
      </c>
      <c r="F49" s="146"/>
      <c r="G49" s="145" t="s">
        <v>598</v>
      </c>
      <c r="H49" s="146"/>
      <c r="I49" s="145" t="s">
        <v>610</v>
      </c>
      <c r="J49" s="146"/>
    </row>
    <row r="50" spans="1:11" x14ac:dyDescent="0.3">
      <c r="A50" s="120" t="s">
        <v>30</v>
      </c>
      <c r="B50" s="121"/>
      <c r="C50" s="136">
        <v>12365</v>
      </c>
      <c r="D50" s="137"/>
      <c r="E50" s="136">
        <v>12334</v>
      </c>
      <c r="F50" s="137"/>
      <c r="G50" s="136">
        <v>12195</v>
      </c>
      <c r="H50" s="137"/>
      <c r="I50" s="136">
        <v>12005</v>
      </c>
      <c r="J50" s="137"/>
    </row>
    <row r="51" spans="1:11" x14ac:dyDescent="0.3">
      <c r="A51" s="120" t="s">
        <v>31</v>
      </c>
      <c r="B51" s="121"/>
      <c r="C51" s="136">
        <v>9992</v>
      </c>
      <c r="D51" s="137"/>
      <c r="E51" s="136">
        <v>10048</v>
      </c>
      <c r="F51" s="137"/>
      <c r="G51" s="136">
        <v>10107</v>
      </c>
      <c r="H51" s="137"/>
      <c r="I51" s="136">
        <v>10144</v>
      </c>
      <c r="J51" s="137"/>
    </row>
    <row r="52" spans="1:11" x14ac:dyDescent="0.3">
      <c r="A52" s="120" t="s">
        <v>32</v>
      </c>
      <c r="B52" s="121"/>
      <c r="C52" s="136">
        <v>112708</v>
      </c>
      <c r="D52" s="137"/>
      <c r="E52" s="136">
        <v>112624</v>
      </c>
      <c r="F52" s="137"/>
      <c r="G52" s="136">
        <v>112544</v>
      </c>
      <c r="H52" s="137"/>
      <c r="I52" s="136">
        <v>112457</v>
      </c>
      <c r="J52" s="137"/>
    </row>
    <row r="53" spans="1:11" x14ac:dyDescent="0.3">
      <c r="A53" s="120" t="s">
        <v>33</v>
      </c>
      <c r="B53" s="121"/>
      <c r="C53" s="138">
        <v>241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49798</v>
      </c>
      <c r="D54" s="137"/>
      <c r="E54" s="136">
        <v>49770</v>
      </c>
      <c r="F54" s="137"/>
      <c r="G54" s="136">
        <v>49741</v>
      </c>
      <c r="H54" s="137"/>
      <c r="I54" s="136">
        <v>49699</v>
      </c>
      <c r="J54" s="137"/>
    </row>
    <row r="55" spans="1:11" x14ac:dyDescent="0.3">
      <c r="A55" s="120" t="s">
        <v>53</v>
      </c>
      <c r="B55" s="121"/>
      <c r="C55" s="138">
        <v>4366</v>
      </c>
      <c r="D55" s="139"/>
      <c r="E55" s="138">
        <v>4361</v>
      </c>
      <c r="F55" s="139"/>
      <c r="G55" s="138">
        <v>4370</v>
      </c>
      <c r="H55" s="139"/>
      <c r="I55" s="138">
        <v>4374</v>
      </c>
      <c r="J55" s="139"/>
    </row>
    <row r="56" spans="1:11" x14ac:dyDescent="0.3">
      <c r="A56" s="120" t="s">
        <v>49</v>
      </c>
      <c r="B56" s="121"/>
      <c r="C56" s="136">
        <v>19799</v>
      </c>
      <c r="D56" s="137"/>
      <c r="E56" s="136">
        <v>19951</v>
      </c>
      <c r="F56" s="137"/>
      <c r="G56" s="136">
        <v>20214</v>
      </c>
      <c r="H56" s="137"/>
      <c r="I56" s="136">
        <v>20518</v>
      </c>
      <c r="J56" s="137"/>
      <c r="K56" s="51"/>
    </row>
    <row r="57" spans="1:11" x14ac:dyDescent="0.3">
      <c r="A57" s="120" t="s">
        <v>35</v>
      </c>
      <c r="B57" s="121"/>
      <c r="C57" s="138">
        <v>2767</v>
      </c>
      <c r="D57" s="139"/>
      <c r="E57" s="138">
        <v>2782</v>
      </c>
      <c r="F57" s="139"/>
      <c r="G57" s="138">
        <v>2797</v>
      </c>
      <c r="H57" s="139"/>
      <c r="I57" s="138">
        <v>2807</v>
      </c>
      <c r="J57" s="139"/>
    </row>
    <row r="58" spans="1:11" x14ac:dyDescent="0.3">
      <c r="A58" s="120" t="s">
        <v>36</v>
      </c>
      <c r="B58" s="121"/>
      <c r="C58" s="122">
        <f>SUM(C50:D57)</f>
        <v>212036</v>
      </c>
      <c r="D58" s="123"/>
      <c r="E58" s="122">
        <f>SUM(E50:F57)</f>
        <v>212110</v>
      </c>
      <c r="F58" s="123"/>
      <c r="G58" s="122">
        <f>SUM(G50:H57)</f>
        <v>212208</v>
      </c>
      <c r="H58" s="123"/>
      <c r="I58" s="122">
        <f>SUM(I50:J57)</f>
        <v>212244</v>
      </c>
      <c r="J58" s="123"/>
    </row>
    <row r="60" spans="1:11" x14ac:dyDescent="0.3">
      <c r="A60" s="124" t="s">
        <v>37</v>
      </c>
      <c r="B60" s="125"/>
      <c r="C60" s="130" t="s">
        <v>576</v>
      </c>
      <c r="D60" s="131"/>
      <c r="E60" s="130" t="s">
        <v>588</v>
      </c>
      <c r="F60" s="131"/>
      <c r="G60" s="130" t="s">
        <v>598</v>
      </c>
      <c r="H60" s="131"/>
      <c r="I60" s="130" t="s">
        <v>610</v>
      </c>
      <c r="J60" s="131"/>
    </row>
    <row r="61" spans="1:11" x14ac:dyDescent="0.3">
      <c r="A61" s="126"/>
      <c r="B61" s="127"/>
      <c r="C61" s="132">
        <v>139632</v>
      </c>
      <c r="D61" s="133"/>
      <c r="E61" s="132">
        <v>139662</v>
      </c>
      <c r="F61" s="133"/>
      <c r="G61" s="132">
        <v>139665</v>
      </c>
      <c r="H61" s="133"/>
      <c r="I61" s="132">
        <v>139680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465</v>
      </c>
      <c r="D66" s="115"/>
      <c r="E66" s="114" t="s">
        <v>509</v>
      </c>
      <c r="F66" s="115"/>
      <c r="G66" s="114" t="s">
        <v>548</v>
      </c>
      <c r="H66" s="115"/>
      <c r="I66" s="114" t="s">
        <v>577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29171</v>
      </c>
      <c r="D69" s="104"/>
      <c r="E69" s="103">
        <v>29615</v>
      </c>
      <c r="F69" s="104"/>
      <c r="G69" s="103">
        <v>30064</v>
      </c>
      <c r="H69" s="104"/>
      <c r="I69" s="103">
        <v>30398</v>
      </c>
      <c r="J69" s="104"/>
    </row>
    <row r="70" spans="1:10" x14ac:dyDescent="0.3">
      <c r="A70" s="101" t="s">
        <v>13</v>
      </c>
      <c r="B70" s="102"/>
      <c r="C70" s="103">
        <v>6989</v>
      </c>
      <c r="D70" s="104"/>
      <c r="E70" s="103">
        <v>7028</v>
      </c>
      <c r="F70" s="104"/>
      <c r="G70" s="103">
        <v>7077</v>
      </c>
      <c r="H70" s="104"/>
      <c r="I70" s="103">
        <v>7127</v>
      </c>
      <c r="J70" s="104"/>
    </row>
    <row r="71" spans="1:10" x14ac:dyDescent="0.3">
      <c r="A71" s="107" t="s">
        <v>14</v>
      </c>
      <c r="B71" s="108"/>
      <c r="C71" s="103">
        <v>6128</v>
      </c>
      <c r="D71" s="104"/>
      <c r="E71" s="103">
        <v>6175</v>
      </c>
      <c r="F71" s="104"/>
      <c r="G71" s="103">
        <v>6238</v>
      </c>
      <c r="H71" s="104"/>
      <c r="I71" s="103">
        <v>6283</v>
      </c>
      <c r="J71" s="104"/>
    </row>
    <row r="72" spans="1:10" x14ac:dyDescent="0.3">
      <c r="A72" s="107" t="s">
        <v>41</v>
      </c>
      <c r="B72" s="108"/>
      <c r="C72" s="103">
        <v>1391</v>
      </c>
      <c r="D72" s="104"/>
      <c r="E72" s="103">
        <v>1420</v>
      </c>
      <c r="F72" s="104"/>
      <c r="G72" s="103">
        <v>1453</v>
      </c>
      <c r="H72" s="104"/>
      <c r="I72" s="103">
        <v>1472</v>
      </c>
      <c r="J72" s="104"/>
    </row>
    <row r="73" spans="1:10" x14ac:dyDescent="0.3">
      <c r="A73" s="101" t="s">
        <v>15</v>
      </c>
      <c r="B73" s="102"/>
      <c r="C73" s="103">
        <v>4555</v>
      </c>
      <c r="D73" s="104"/>
      <c r="E73" s="103">
        <v>4623</v>
      </c>
      <c r="F73" s="104"/>
      <c r="G73" s="103">
        <v>4727</v>
      </c>
      <c r="H73" s="104"/>
      <c r="I73" s="103">
        <v>4792</v>
      </c>
      <c r="J73" s="104"/>
    </row>
    <row r="74" spans="1:10" x14ac:dyDescent="0.3">
      <c r="A74" s="107" t="s">
        <v>16</v>
      </c>
      <c r="B74" s="108"/>
      <c r="C74" s="103">
        <v>4774</v>
      </c>
      <c r="D74" s="104"/>
      <c r="E74" s="103">
        <v>4824</v>
      </c>
      <c r="F74" s="104"/>
      <c r="G74" s="103">
        <v>4881</v>
      </c>
      <c r="H74" s="104"/>
      <c r="I74" s="103">
        <v>4921</v>
      </c>
      <c r="J74" s="104"/>
    </row>
    <row r="75" spans="1:10" x14ac:dyDescent="0.3">
      <c r="A75" s="101" t="s">
        <v>17</v>
      </c>
      <c r="B75" s="102"/>
      <c r="C75" s="103">
        <v>7241</v>
      </c>
      <c r="D75" s="104"/>
      <c r="E75" s="103">
        <v>7361</v>
      </c>
      <c r="F75" s="104"/>
      <c r="G75" s="103">
        <v>7645</v>
      </c>
      <c r="H75" s="104"/>
      <c r="I75" s="103">
        <v>7806</v>
      </c>
      <c r="J75" s="104"/>
    </row>
    <row r="76" spans="1:10" x14ac:dyDescent="0.3">
      <c r="A76" s="107" t="s">
        <v>18</v>
      </c>
      <c r="B76" s="108"/>
      <c r="C76" s="103">
        <v>1553</v>
      </c>
      <c r="D76" s="104"/>
      <c r="E76" s="103">
        <v>1582</v>
      </c>
      <c r="F76" s="104"/>
      <c r="G76" s="103">
        <v>1602</v>
      </c>
      <c r="H76" s="104"/>
      <c r="I76" s="103">
        <v>1610</v>
      </c>
      <c r="J76" s="104"/>
    </row>
    <row r="77" spans="1:10" x14ac:dyDescent="0.3">
      <c r="A77" s="101" t="s">
        <v>19</v>
      </c>
      <c r="B77" s="102"/>
      <c r="C77" s="103">
        <v>5711</v>
      </c>
      <c r="D77" s="104"/>
      <c r="E77" s="103">
        <v>5778</v>
      </c>
      <c r="F77" s="104"/>
      <c r="G77" s="103">
        <v>5885</v>
      </c>
      <c r="H77" s="104"/>
      <c r="I77" s="103">
        <v>5920</v>
      </c>
      <c r="J77" s="104"/>
    </row>
    <row r="78" spans="1:10" x14ac:dyDescent="0.3">
      <c r="A78" s="105" t="s">
        <v>42</v>
      </c>
      <c r="B78" s="106"/>
      <c r="C78" s="103">
        <f>SUM(C69:C77)</f>
        <v>67513</v>
      </c>
      <c r="D78" s="104"/>
      <c r="E78" s="103">
        <f>SUM(E69:E77)</f>
        <v>68406</v>
      </c>
      <c r="F78" s="104"/>
      <c r="G78" s="103">
        <f>SUM(G69:G77)</f>
        <v>69572</v>
      </c>
      <c r="H78" s="104"/>
      <c r="I78" s="103">
        <f>SUM(I69:I77)</f>
        <v>70329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619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ht="15" customHeight="1" x14ac:dyDescent="0.3">
      <c r="A5" s="211" t="s">
        <v>10</v>
      </c>
      <c r="B5" s="212"/>
      <c r="C5" s="192">
        <v>8606</v>
      </c>
      <c r="D5" s="192"/>
      <c r="E5" s="192">
        <v>422</v>
      </c>
      <c r="F5" s="192"/>
      <c r="G5" s="192">
        <v>1352</v>
      </c>
      <c r="H5" s="192"/>
      <c r="I5" s="195">
        <v>500</v>
      </c>
      <c r="J5" s="196"/>
      <c r="K5" s="216">
        <v>0</v>
      </c>
      <c r="L5" s="217"/>
      <c r="M5" s="56">
        <v>30</v>
      </c>
      <c r="N5" s="53">
        <v>1960</v>
      </c>
      <c r="O5" s="88">
        <v>1766</v>
      </c>
      <c r="P5" s="53">
        <v>1135</v>
      </c>
      <c r="Q5" s="89">
        <v>651</v>
      </c>
      <c r="R5" s="80" t="s">
        <v>624</v>
      </c>
    </row>
    <row r="6" spans="1:18" ht="17.25" customHeight="1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80" t="s">
        <v>625</v>
      </c>
    </row>
    <row r="7" spans="1:18" x14ac:dyDescent="0.3">
      <c r="A7" s="101" t="s">
        <v>12</v>
      </c>
      <c r="B7" s="102"/>
      <c r="C7" s="210">
        <v>353</v>
      </c>
      <c r="D7" s="210"/>
      <c r="E7" s="210">
        <v>378</v>
      </c>
      <c r="F7" s="210"/>
      <c r="G7" s="210">
        <v>242</v>
      </c>
      <c r="H7" s="210"/>
      <c r="I7" s="149">
        <v>245</v>
      </c>
      <c r="J7" s="150"/>
      <c r="K7" s="149">
        <v>23</v>
      </c>
      <c r="L7" s="150"/>
      <c r="M7" s="52">
        <v>190</v>
      </c>
      <c r="N7" s="52">
        <v>37</v>
      </c>
      <c r="O7" s="52">
        <v>0</v>
      </c>
      <c r="P7" s="52">
        <v>0</v>
      </c>
      <c r="Q7" s="52">
        <v>0</v>
      </c>
      <c r="R7" s="80" t="s">
        <v>626</v>
      </c>
    </row>
    <row r="8" spans="1:18" x14ac:dyDescent="0.3">
      <c r="A8" s="101" t="s">
        <v>13</v>
      </c>
      <c r="B8" s="102"/>
      <c r="C8" s="210">
        <v>338</v>
      </c>
      <c r="D8" s="210"/>
      <c r="E8" s="210">
        <v>247</v>
      </c>
      <c r="F8" s="210"/>
      <c r="G8" s="210">
        <v>55</v>
      </c>
      <c r="H8" s="210"/>
      <c r="I8" s="149">
        <v>152</v>
      </c>
      <c r="J8" s="150"/>
      <c r="K8" s="149">
        <v>0</v>
      </c>
      <c r="L8" s="150"/>
      <c r="M8" s="52">
        <v>64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392</v>
      </c>
      <c r="D9" s="210"/>
      <c r="E9" s="210">
        <v>4</v>
      </c>
      <c r="F9" s="210"/>
      <c r="G9" s="210">
        <v>136</v>
      </c>
      <c r="H9" s="210"/>
      <c r="I9" s="149">
        <v>204</v>
      </c>
      <c r="J9" s="150"/>
      <c r="K9" s="149">
        <v>81</v>
      </c>
      <c r="L9" s="150"/>
      <c r="M9" s="52">
        <v>174</v>
      </c>
      <c r="N9" s="52">
        <v>50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335</v>
      </c>
      <c r="D10" s="210"/>
      <c r="E10" s="210">
        <v>260</v>
      </c>
      <c r="F10" s="210"/>
      <c r="G10" s="210">
        <v>27</v>
      </c>
      <c r="H10" s="210"/>
      <c r="I10" s="149">
        <v>70</v>
      </c>
      <c r="J10" s="150"/>
      <c r="K10" s="149">
        <v>0</v>
      </c>
      <c r="L10" s="150"/>
      <c r="M10" s="52">
        <v>38</v>
      </c>
      <c r="N10" s="52">
        <v>71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435</v>
      </c>
      <c r="D11" s="209"/>
      <c r="E11" s="210">
        <v>221</v>
      </c>
      <c r="F11" s="210"/>
      <c r="G11" s="210">
        <v>0</v>
      </c>
      <c r="H11" s="210"/>
      <c r="I11" s="149">
        <v>87</v>
      </c>
      <c r="J11" s="150"/>
      <c r="K11" s="149">
        <v>5</v>
      </c>
      <c r="L11" s="150"/>
      <c r="M11" s="52">
        <v>169</v>
      </c>
      <c r="N11" s="52">
        <v>224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67</v>
      </c>
      <c r="D12" s="209"/>
      <c r="E12" s="210">
        <v>0</v>
      </c>
      <c r="F12" s="210"/>
      <c r="G12" s="210">
        <v>45</v>
      </c>
      <c r="H12" s="210"/>
      <c r="I12" s="149">
        <v>68</v>
      </c>
      <c r="J12" s="150"/>
      <c r="K12" s="149">
        <v>0</v>
      </c>
      <c r="L12" s="150"/>
      <c r="M12" s="52">
        <v>80</v>
      </c>
      <c r="N12" s="52">
        <v>91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255</v>
      </c>
      <c r="D13" s="150"/>
      <c r="E13" s="149">
        <v>54</v>
      </c>
      <c r="F13" s="150"/>
      <c r="G13" s="149">
        <v>0</v>
      </c>
      <c r="H13" s="150"/>
      <c r="I13" s="149">
        <v>76</v>
      </c>
      <c r="J13" s="150"/>
      <c r="K13" s="149">
        <v>0</v>
      </c>
      <c r="L13" s="150"/>
      <c r="M13" s="52">
        <v>54</v>
      </c>
      <c r="N13" s="52">
        <v>44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325</v>
      </c>
      <c r="D14" s="206"/>
      <c r="E14" s="205">
        <v>63</v>
      </c>
      <c r="F14" s="206"/>
      <c r="G14" s="205">
        <v>16</v>
      </c>
      <c r="H14" s="206"/>
      <c r="I14" s="149">
        <v>121</v>
      </c>
      <c r="J14" s="150"/>
      <c r="K14" s="205">
        <v>0</v>
      </c>
      <c r="L14" s="206"/>
      <c r="M14" s="59">
        <v>169</v>
      </c>
      <c r="N14" s="59">
        <v>28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1190</v>
      </c>
      <c r="P15" s="52">
        <v>2218</v>
      </c>
      <c r="Q15" s="63">
        <v>1665</v>
      </c>
    </row>
    <row r="16" spans="1:18" ht="15" thickBot="1" x14ac:dyDescent="0.35">
      <c r="A16" s="199" t="s">
        <v>20</v>
      </c>
      <c r="B16" s="200"/>
      <c r="C16" s="201">
        <f>SUM(C5:D15)</f>
        <v>12176</v>
      </c>
      <c r="D16" s="202"/>
      <c r="E16" s="201">
        <f>SUM(E5:F15)</f>
        <v>1649</v>
      </c>
      <c r="F16" s="202"/>
      <c r="G16" s="201">
        <f>SUM(G5:H15)</f>
        <v>1873</v>
      </c>
      <c r="H16" s="202"/>
      <c r="I16" s="201">
        <f>SUM(I5:J15)</f>
        <v>1523</v>
      </c>
      <c r="J16" s="202"/>
      <c r="K16" s="201">
        <f>SUM(K5:L15)</f>
        <v>109</v>
      </c>
      <c r="L16" s="202"/>
      <c r="M16" s="4">
        <f>SUM(M5:M15)</f>
        <v>968</v>
      </c>
      <c r="N16" s="4">
        <f>SUM(N5:N15)</f>
        <v>2520</v>
      </c>
      <c r="O16" s="4">
        <f>SUM(O5:O15)</f>
        <v>3038</v>
      </c>
      <c r="P16" s="4">
        <f>SUM(P5:P15)</f>
        <v>3388</v>
      </c>
      <c r="Q16" s="33">
        <f>SUM(Q5:Q15)</f>
        <v>2324</v>
      </c>
    </row>
    <row r="17" spans="1:18" ht="15" thickBot="1" x14ac:dyDescent="0.35">
      <c r="A17" s="190" t="s">
        <v>21</v>
      </c>
      <c r="B17" s="191"/>
      <c r="C17" s="192">
        <v>8606</v>
      </c>
      <c r="D17" s="192"/>
      <c r="E17" s="193">
        <v>332</v>
      </c>
      <c r="F17" s="194"/>
      <c r="G17" s="195">
        <v>1352</v>
      </c>
      <c r="H17" s="196"/>
      <c r="I17" s="195">
        <v>400</v>
      </c>
      <c r="J17" s="196"/>
      <c r="K17" s="197">
        <v>0</v>
      </c>
      <c r="L17" s="198"/>
      <c r="M17" s="36">
        <v>30</v>
      </c>
      <c r="N17" s="30">
        <v>1960</v>
      </c>
      <c r="O17" s="86">
        <v>1766</v>
      </c>
      <c r="P17" s="37">
        <v>1135</v>
      </c>
      <c r="Q17" s="87">
        <v>651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619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303</v>
      </c>
      <c r="D25" s="162"/>
      <c r="E25" s="185" t="s">
        <v>303</v>
      </c>
      <c r="F25" s="186"/>
      <c r="G25" s="161">
        <v>0</v>
      </c>
      <c r="H25" s="162"/>
      <c r="I25" s="161">
        <v>4</v>
      </c>
      <c r="J25" s="162"/>
      <c r="K25" s="70">
        <v>0</v>
      </c>
      <c r="L25" s="78">
        <v>32</v>
      </c>
      <c r="M25" s="78">
        <v>12</v>
      </c>
      <c r="N25"/>
      <c r="O25"/>
    </row>
    <row r="26" spans="1:18" x14ac:dyDescent="0.3">
      <c r="A26" s="101" t="s">
        <v>13</v>
      </c>
      <c r="B26" s="102"/>
      <c r="C26" s="149">
        <v>58</v>
      </c>
      <c r="D26" s="150"/>
      <c r="E26" s="165" t="s">
        <v>25</v>
      </c>
      <c r="F26" s="166"/>
      <c r="G26" s="149">
        <v>0</v>
      </c>
      <c r="H26" s="150"/>
      <c r="I26" s="149">
        <v>133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327</v>
      </c>
      <c r="D27" s="150"/>
      <c r="E27" s="165" t="s">
        <v>389</v>
      </c>
      <c r="F27" s="166"/>
      <c r="G27" s="149">
        <v>14</v>
      </c>
      <c r="H27" s="150"/>
      <c r="I27" s="149">
        <v>61</v>
      </c>
      <c r="J27" s="150"/>
      <c r="K27" s="52">
        <v>2</v>
      </c>
      <c r="L27" s="79">
        <v>26</v>
      </c>
      <c r="M27" s="79">
        <v>11</v>
      </c>
      <c r="N27"/>
      <c r="O27"/>
    </row>
    <row r="28" spans="1:18" x14ac:dyDescent="0.3">
      <c r="A28" s="101" t="s">
        <v>15</v>
      </c>
      <c r="B28" s="102"/>
      <c r="C28" s="165" t="s">
        <v>623</v>
      </c>
      <c r="D28" s="166"/>
      <c r="E28" s="165" t="s">
        <v>90</v>
      </c>
      <c r="F28" s="166"/>
      <c r="G28" s="149">
        <v>0</v>
      </c>
      <c r="H28" s="150"/>
      <c r="I28" s="149">
        <v>25</v>
      </c>
      <c r="J28" s="150"/>
      <c r="K28" s="52">
        <v>5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15</v>
      </c>
      <c r="J29" s="150"/>
      <c r="K29" s="52">
        <v>2</v>
      </c>
      <c r="L29" s="79">
        <v>3</v>
      </c>
      <c r="M29" s="79">
        <v>0</v>
      </c>
      <c r="N29"/>
      <c r="O29" s="58"/>
    </row>
    <row r="30" spans="1:18" x14ac:dyDescent="0.3">
      <c r="A30" s="101" t="s">
        <v>17</v>
      </c>
      <c r="B30" s="102"/>
      <c r="C30" s="152">
        <v>4</v>
      </c>
      <c r="D30" s="153"/>
      <c r="E30" s="149" t="s">
        <v>90</v>
      </c>
      <c r="F30" s="150"/>
      <c r="G30" s="149">
        <v>0</v>
      </c>
      <c r="H30" s="150"/>
      <c r="I30" s="149">
        <v>3</v>
      </c>
      <c r="J30" s="150"/>
      <c r="K30" s="52">
        <v>0</v>
      </c>
      <c r="L30" s="79">
        <v>0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116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619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22</v>
      </c>
      <c r="D38" s="162"/>
      <c r="E38" s="163" t="s">
        <v>622</v>
      </c>
      <c r="F38" s="164"/>
      <c r="G38" s="161">
        <v>0</v>
      </c>
      <c r="H38" s="162"/>
      <c r="I38" s="161">
        <v>10</v>
      </c>
      <c r="J38" s="162"/>
      <c r="K38" s="70">
        <v>0</v>
      </c>
      <c r="L38" s="78">
        <v>20</v>
      </c>
      <c r="M38" s="78">
        <v>9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627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9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621</v>
      </c>
      <c r="F40" s="155"/>
      <c r="G40" s="149">
        <v>27</v>
      </c>
      <c r="H40" s="150"/>
      <c r="I40" s="149" t="s">
        <v>405</v>
      </c>
      <c r="J40" s="150"/>
      <c r="K40" s="52">
        <v>0</v>
      </c>
      <c r="L40" s="79">
        <v>10</v>
      </c>
      <c r="M40" s="79">
        <v>4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613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23</v>
      </c>
      <c r="M41" s="79">
        <v>8</v>
      </c>
      <c r="N41"/>
    </row>
    <row r="42" spans="1:16" x14ac:dyDescent="0.3">
      <c r="A42" s="147" t="s">
        <v>16</v>
      </c>
      <c r="B42" s="148"/>
      <c r="C42" s="152" t="s">
        <v>611</v>
      </c>
      <c r="D42" s="153"/>
      <c r="E42" s="154" t="s">
        <v>603</v>
      </c>
      <c r="F42" s="155"/>
      <c r="G42" s="149">
        <v>0</v>
      </c>
      <c r="H42" s="150"/>
      <c r="I42" s="149" t="s">
        <v>516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398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620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1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588</v>
      </c>
      <c r="D49" s="146"/>
      <c r="E49" s="145" t="s">
        <v>598</v>
      </c>
      <c r="F49" s="146"/>
      <c r="G49" s="145" t="s">
        <v>610</v>
      </c>
      <c r="H49" s="146"/>
      <c r="I49" s="145" t="s">
        <v>619</v>
      </c>
      <c r="J49" s="146"/>
    </row>
    <row r="50" spans="1:11" x14ac:dyDescent="0.3">
      <c r="A50" s="120" t="s">
        <v>30</v>
      </c>
      <c r="B50" s="121"/>
      <c r="C50" s="136">
        <v>12334</v>
      </c>
      <c r="D50" s="137"/>
      <c r="E50" s="136">
        <v>12195</v>
      </c>
      <c r="F50" s="137"/>
      <c r="G50" s="136">
        <v>12005</v>
      </c>
      <c r="H50" s="137"/>
      <c r="I50" s="136">
        <v>11856</v>
      </c>
      <c r="J50" s="137"/>
    </row>
    <row r="51" spans="1:11" x14ac:dyDescent="0.3">
      <c r="A51" s="120" t="s">
        <v>31</v>
      </c>
      <c r="B51" s="121"/>
      <c r="C51" s="136">
        <v>10048</v>
      </c>
      <c r="D51" s="137"/>
      <c r="E51" s="136">
        <v>10107</v>
      </c>
      <c r="F51" s="137"/>
      <c r="G51" s="136">
        <v>10144</v>
      </c>
      <c r="H51" s="137"/>
      <c r="I51" s="136">
        <v>10193</v>
      </c>
      <c r="J51" s="137"/>
    </row>
    <row r="52" spans="1:11" x14ac:dyDescent="0.3">
      <c r="A52" s="120" t="s">
        <v>32</v>
      </c>
      <c r="B52" s="121"/>
      <c r="C52" s="136">
        <v>112624</v>
      </c>
      <c r="D52" s="137"/>
      <c r="E52" s="136">
        <v>112544</v>
      </c>
      <c r="F52" s="137"/>
      <c r="G52" s="136">
        <v>112457</v>
      </c>
      <c r="H52" s="137"/>
      <c r="I52" s="136">
        <v>112362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241</v>
      </c>
      <c r="J53" s="139"/>
    </row>
    <row r="54" spans="1:11" x14ac:dyDescent="0.3">
      <c r="A54" s="120" t="s">
        <v>34</v>
      </c>
      <c r="B54" s="121"/>
      <c r="C54" s="136">
        <v>49770</v>
      </c>
      <c r="D54" s="137"/>
      <c r="E54" s="136">
        <v>49741</v>
      </c>
      <c r="F54" s="137"/>
      <c r="G54" s="136">
        <v>49699</v>
      </c>
      <c r="H54" s="137"/>
      <c r="I54" s="136">
        <v>49661</v>
      </c>
      <c r="J54" s="137"/>
    </row>
    <row r="55" spans="1:11" x14ac:dyDescent="0.3">
      <c r="A55" s="120" t="s">
        <v>53</v>
      </c>
      <c r="B55" s="121"/>
      <c r="C55" s="138">
        <v>4361</v>
      </c>
      <c r="D55" s="139"/>
      <c r="E55" s="138">
        <v>4370</v>
      </c>
      <c r="F55" s="139"/>
      <c r="G55" s="138">
        <v>4374</v>
      </c>
      <c r="H55" s="139"/>
      <c r="I55" s="138">
        <v>4371</v>
      </c>
      <c r="J55" s="139"/>
    </row>
    <row r="56" spans="1:11" x14ac:dyDescent="0.3">
      <c r="A56" s="120" t="s">
        <v>49</v>
      </c>
      <c r="B56" s="121"/>
      <c r="C56" s="136">
        <v>19951</v>
      </c>
      <c r="D56" s="137"/>
      <c r="E56" s="136">
        <v>20214</v>
      </c>
      <c r="F56" s="137"/>
      <c r="G56" s="136">
        <v>20518</v>
      </c>
      <c r="H56" s="137"/>
      <c r="I56" s="136">
        <v>20806</v>
      </c>
      <c r="J56" s="137"/>
      <c r="K56" s="51"/>
    </row>
    <row r="57" spans="1:11" x14ac:dyDescent="0.3">
      <c r="A57" s="120" t="s">
        <v>35</v>
      </c>
      <c r="B57" s="121"/>
      <c r="C57" s="138">
        <v>2782</v>
      </c>
      <c r="D57" s="139"/>
      <c r="E57" s="138">
        <v>2797</v>
      </c>
      <c r="F57" s="139"/>
      <c r="G57" s="138">
        <v>2807</v>
      </c>
      <c r="H57" s="139"/>
      <c r="I57" s="138">
        <v>2814</v>
      </c>
      <c r="J57" s="139"/>
    </row>
    <row r="58" spans="1:11" x14ac:dyDescent="0.3">
      <c r="A58" s="120" t="s">
        <v>36</v>
      </c>
      <c r="B58" s="121"/>
      <c r="C58" s="122">
        <f>SUM(C50:D57)</f>
        <v>212110</v>
      </c>
      <c r="D58" s="123"/>
      <c r="E58" s="122">
        <f>SUM(E50:F57)</f>
        <v>212208</v>
      </c>
      <c r="F58" s="123"/>
      <c r="G58" s="122">
        <f>SUM(G50:H57)</f>
        <v>212244</v>
      </c>
      <c r="H58" s="123"/>
      <c r="I58" s="122">
        <f>SUM(I50:J57)</f>
        <v>212304</v>
      </c>
      <c r="J58" s="123"/>
    </row>
    <row r="60" spans="1:11" x14ac:dyDescent="0.3">
      <c r="A60" s="124" t="s">
        <v>37</v>
      </c>
      <c r="B60" s="125"/>
      <c r="C60" s="130" t="s">
        <v>588</v>
      </c>
      <c r="D60" s="131"/>
      <c r="E60" s="130" t="s">
        <v>598</v>
      </c>
      <c r="F60" s="131"/>
      <c r="G60" s="130" t="s">
        <v>610</v>
      </c>
      <c r="H60" s="131"/>
      <c r="I60" s="130" t="s">
        <v>619</v>
      </c>
      <c r="J60" s="131"/>
    </row>
    <row r="61" spans="1:11" x14ac:dyDescent="0.3">
      <c r="A61" s="126"/>
      <c r="B61" s="127"/>
      <c r="C61" s="132">
        <v>139662</v>
      </c>
      <c r="D61" s="133"/>
      <c r="E61" s="132">
        <v>139665</v>
      </c>
      <c r="F61" s="133"/>
      <c r="G61" s="132">
        <v>139680</v>
      </c>
      <c r="H61" s="133"/>
      <c r="I61" s="132">
        <v>139735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509</v>
      </c>
      <c r="D66" s="115"/>
      <c r="E66" s="114" t="s">
        <v>548</v>
      </c>
      <c r="F66" s="115"/>
      <c r="G66" s="114" t="s">
        <v>577</v>
      </c>
      <c r="H66" s="115"/>
      <c r="I66" s="114" t="s">
        <v>628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29615</v>
      </c>
      <c r="D69" s="104"/>
      <c r="E69" s="103">
        <v>30064</v>
      </c>
      <c r="F69" s="104"/>
      <c r="G69" s="103">
        <v>30398</v>
      </c>
      <c r="H69" s="104"/>
      <c r="I69" s="103">
        <v>30944</v>
      </c>
      <c r="J69" s="104"/>
    </row>
    <row r="70" spans="1:10" x14ac:dyDescent="0.3">
      <c r="A70" s="101" t="s">
        <v>13</v>
      </c>
      <c r="B70" s="102"/>
      <c r="C70" s="103">
        <v>7028</v>
      </c>
      <c r="D70" s="104"/>
      <c r="E70" s="103">
        <v>7077</v>
      </c>
      <c r="F70" s="104"/>
      <c r="G70" s="103">
        <v>7127</v>
      </c>
      <c r="H70" s="104"/>
      <c r="I70" s="103">
        <v>7193</v>
      </c>
      <c r="J70" s="104"/>
    </row>
    <row r="71" spans="1:10" x14ac:dyDescent="0.3">
      <c r="A71" s="107" t="s">
        <v>14</v>
      </c>
      <c r="B71" s="108"/>
      <c r="C71" s="103">
        <v>6175</v>
      </c>
      <c r="D71" s="104"/>
      <c r="E71" s="103">
        <v>6238</v>
      </c>
      <c r="F71" s="104"/>
      <c r="G71" s="103">
        <v>6283</v>
      </c>
      <c r="H71" s="104"/>
      <c r="I71" s="103">
        <v>6345</v>
      </c>
      <c r="J71" s="104"/>
    </row>
    <row r="72" spans="1:10" x14ac:dyDescent="0.3">
      <c r="A72" s="107" t="s">
        <v>41</v>
      </c>
      <c r="B72" s="108"/>
      <c r="C72" s="103">
        <v>1420</v>
      </c>
      <c r="D72" s="104"/>
      <c r="E72" s="103">
        <v>1453</v>
      </c>
      <c r="F72" s="104"/>
      <c r="G72" s="103">
        <v>1472</v>
      </c>
      <c r="H72" s="104"/>
      <c r="I72" s="103">
        <v>1519</v>
      </c>
      <c r="J72" s="104"/>
    </row>
    <row r="73" spans="1:10" x14ac:dyDescent="0.3">
      <c r="A73" s="101" t="s">
        <v>15</v>
      </c>
      <c r="B73" s="102"/>
      <c r="C73" s="103">
        <v>4623</v>
      </c>
      <c r="D73" s="104"/>
      <c r="E73" s="103">
        <v>4727</v>
      </c>
      <c r="F73" s="104"/>
      <c r="G73" s="103">
        <v>4792</v>
      </c>
      <c r="H73" s="104"/>
      <c r="I73" s="103">
        <v>4837</v>
      </c>
      <c r="J73" s="104"/>
    </row>
    <row r="74" spans="1:10" x14ac:dyDescent="0.3">
      <c r="A74" s="107" t="s">
        <v>16</v>
      </c>
      <c r="B74" s="108"/>
      <c r="C74" s="103">
        <v>4824</v>
      </c>
      <c r="D74" s="104"/>
      <c r="E74" s="103">
        <v>4881</v>
      </c>
      <c r="F74" s="104"/>
      <c r="G74" s="103">
        <v>4921</v>
      </c>
      <c r="H74" s="104"/>
      <c r="I74" s="103">
        <v>5008</v>
      </c>
      <c r="J74" s="104"/>
    </row>
    <row r="75" spans="1:10" x14ac:dyDescent="0.3">
      <c r="A75" s="101" t="s">
        <v>17</v>
      </c>
      <c r="B75" s="102"/>
      <c r="C75" s="103">
        <v>7361</v>
      </c>
      <c r="D75" s="104"/>
      <c r="E75" s="103">
        <v>7645</v>
      </c>
      <c r="F75" s="104"/>
      <c r="G75" s="103">
        <v>7806</v>
      </c>
      <c r="H75" s="104"/>
      <c r="I75" s="103">
        <v>7930</v>
      </c>
      <c r="J75" s="104"/>
    </row>
    <row r="76" spans="1:10" x14ac:dyDescent="0.3">
      <c r="A76" s="107" t="s">
        <v>18</v>
      </c>
      <c r="B76" s="108"/>
      <c r="C76" s="103">
        <v>1582</v>
      </c>
      <c r="D76" s="104"/>
      <c r="E76" s="103">
        <v>1602</v>
      </c>
      <c r="F76" s="104"/>
      <c r="G76" s="103">
        <v>1610</v>
      </c>
      <c r="H76" s="104"/>
      <c r="I76" s="103">
        <v>1634</v>
      </c>
      <c r="J76" s="104"/>
    </row>
    <row r="77" spans="1:10" x14ac:dyDescent="0.3">
      <c r="A77" s="101" t="s">
        <v>19</v>
      </c>
      <c r="B77" s="102"/>
      <c r="C77" s="103">
        <v>5778</v>
      </c>
      <c r="D77" s="104"/>
      <c r="E77" s="103">
        <v>5885</v>
      </c>
      <c r="F77" s="104"/>
      <c r="G77" s="103">
        <v>5920</v>
      </c>
      <c r="H77" s="104"/>
      <c r="I77" s="103">
        <v>6006</v>
      </c>
      <c r="J77" s="104"/>
    </row>
    <row r="78" spans="1:10" x14ac:dyDescent="0.3">
      <c r="A78" s="105" t="s">
        <v>42</v>
      </c>
      <c r="B78" s="106"/>
      <c r="C78" s="103">
        <f>SUM(C69:C77)</f>
        <v>68406</v>
      </c>
      <c r="D78" s="104"/>
      <c r="E78" s="103">
        <f>SUM(E69:E77)</f>
        <v>69572</v>
      </c>
      <c r="F78" s="104"/>
      <c r="G78" s="103">
        <f>SUM(G69:G77)</f>
        <v>70329</v>
      </c>
      <c r="H78" s="104"/>
      <c r="I78" s="103">
        <f>SUM(I69:I77)</f>
        <v>71416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629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ht="15" customHeight="1" x14ac:dyDescent="0.3">
      <c r="A5" s="211" t="s">
        <v>10</v>
      </c>
      <c r="B5" s="212"/>
      <c r="C5" s="192">
        <v>8606</v>
      </c>
      <c r="D5" s="192"/>
      <c r="E5" s="192">
        <v>222</v>
      </c>
      <c r="F5" s="192"/>
      <c r="G5" s="192">
        <v>1232</v>
      </c>
      <c r="H5" s="192"/>
      <c r="I5" s="195">
        <v>180</v>
      </c>
      <c r="J5" s="196"/>
      <c r="K5" s="216">
        <v>0</v>
      </c>
      <c r="L5" s="217"/>
      <c r="M5" s="56">
        <v>0</v>
      </c>
      <c r="N5" s="53">
        <v>1960</v>
      </c>
      <c r="O5" s="88">
        <v>1594</v>
      </c>
      <c r="P5" s="53">
        <v>1085</v>
      </c>
      <c r="Q5" s="89">
        <v>599</v>
      </c>
      <c r="R5" s="80" t="s">
        <v>636</v>
      </c>
    </row>
    <row r="6" spans="1:18" ht="17.25" customHeight="1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80" t="s">
        <v>637</v>
      </c>
    </row>
    <row r="7" spans="1:18" x14ac:dyDescent="0.3">
      <c r="A7" s="101" t="s">
        <v>12</v>
      </c>
      <c r="B7" s="102"/>
      <c r="C7" s="210">
        <v>315</v>
      </c>
      <c r="D7" s="210"/>
      <c r="E7" s="210">
        <v>373</v>
      </c>
      <c r="F7" s="210"/>
      <c r="G7" s="210">
        <v>366</v>
      </c>
      <c r="H7" s="210"/>
      <c r="I7" s="149">
        <v>322</v>
      </c>
      <c r="J7" s="150"/>
      <c r="K7" s="149">
        <v>22</v>
      </c>
      <c r="L7" s="150"/>
      <c r="M7" s="52">
        <v>158</v>
      </c>
      <c r="N7" s="52">
        <v>33</v>
      </c>
      <c r="O7" s="52">
        <v>0</v>
      </c>
      <c r="P7" s="52">
        <v>0</v>
      </c>
      <c r="Q7" s="52">
        <v>0</v>
      </c>
      <c r="R7" s="80" t="s">
        <v>638</v>
      </c>
    </row>
    <row r="8" spans="1:18" x14ac:dyDescent="0.3">
      <c r="A8" s="101" t="s">
        <v>13</v>
      </c>
      <c r="B8" s="102"/>
      <c r="C8" s="210">
        <v>330</v>
      </c>
      <c r="D8" s="210"/>
      <c r="E8" s="210">
        <v>249</v>
      </c>
      <c r="F8" s="210"/>
      <c r="G8" s="210">
        <v>46</v>
      </c>
      <c r="H8" s="210"/>
      <c r="I8" s="149">
        <v>130</v>
      </c>
      <c r="J8" s="150"/>
      <c r="K8" s="149">
        <v>0</v>
      </c>
      <c r="L8" s="150"/>
      <c r="M8" s="52">
        <v>29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344</v>
      </c>
      <c r="D9" s="210"/>
      <c r="E9" s="210">
        <v>104</v>
      </c>
      <c r="F9" s="210"/>
      <c r="G9" s="210">
        <v>51</v>
      </c>
      <c r="H9" s="210"/>
      <c r="I9" s="149">
        <v>345</v>
      </c>
      <c r="J9" s="150"/>
      <c r="K9" s="149">
        <v>29</v>
      </c>
      <c r="L9" s="150"/>
      <c r="M9" s="52">
        <v>244</v>
      </c>
      <c r="N9" s="52">
        <v>64</v>
      </c>
      <c r="O9" s="52">
        <v>0</v>
      </c>
      <c r="P9" s="52">
        <v>5</v>
      </c>
      <c r="Q9" s="52">
        <v>2</v>
      </c>
    </row>
    <row r="10" spans="1:18" x14ac:dyDescent="0.3">
      <c r="A10" s="101" t="s">
        <v>15</v>
      </c>
      <c r="B10" s="102"/>
      <c r="C10" s="210">
        <v>310</v>
      </c>
      <c r="D10" s="210"/>
      <c r="E10" s="210">
        <v>250</v>
      </c>
      <c r="F10" s="210"/>
      <c r="G10" s="210">
        <v>27</v>
      </c>
      <c r="H10" s="210"/>
      <c r="I10" s="149">
        <v>50</v>
      </c>
      <c r="J10" s="150"/>
      <c r="K10" s="149">
        <v>0</v>
      </c>
      <c r="L10" s="150"/>
      <c r="M10" s="52">
        <v>30</v>
      </c>
      <c r="N10" s="52">
        <v>60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427</v>
      </c>
      <c r="D11" s="209"/>
      <c r="E11" s="210">
        <v>191</v>
      </c>
      <c r="F11" s="210"/>
      <c r="G11" s="210">
        <v>0</v>
      </c>
      <c r="H11" s="210"/>
      <c r="I11" s="149">
        <v>45</v>
      </c>
      <c r="J11" s="150"/>
      <c r="K11" s="149">
        <v>5</v>
      </c>
      <c r="L11" s="150"/>
      <c r="M11" s="52">
        <v>163</v>
      </c>
      <c r="N11" s="52">
        <v>215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27</v>
      </c>
      <c r="D12" s="209"/>
      <c r="E12" s="210">
        <v>0</v>
      </c>
      <c r="F12" s="210"/>
      <c r="G12" s="210">
        <v>41</v>
      </c>
      <c r="H12" s="210"/>
      <c r="I12" s="149">
        <v>35</v>
      </c>
      <c r="J12" s="150"/>
      <c r="K12" s="149">
        <v>0</v>
      </c>
      <c r="L12" s="150"/>
      <c r="M12" s="52">
        <v>40</v>
      </c>
      <c r="N12" s="52">
        <v>85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239</v>
      </c>
      <c r="D13" s="150"/>
      <c r="E13" s="149">
        <v>28</v>
      </c>
      <c r="F13" s="150"/>
      <c r="G13" s="149">
        <v>0</v>
      </c>
      <c r="H13" s="150"/>
      <c r="I13" s="149">
        <v>70</v>
      </c>
      <c r="J13" s="150"/>
      <c r="K13" s="149">
        <v>0</v>
      </c>
      <c r="L13" s="150"/>
      <c r="M13" s="52">
        <v>50</v>
      </c>
      <c r="N13" s="52">
        <v>43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330</v>
      </c>
      <c r="D14" s="206"/>
      <c r="E14" s="205">
        <v>83</v>
      </c>
      <c r="F14" s="206"/>
      <c r="G14" s="205">
        <v>52</v>
      </c>
      <c r="H14" s="206"/>
      <c r="I14" s="149">
        <v>109</v>
      </c>
      <c r="J14" s="150"/>
      <c r="K14" s="205">
        <v>0</v>
      </c>
      <c r="L14" s="206"/>
      <c r="M14" s="59">
        <v>138</v>
      </c>
      <c r="N14" s="59">
        <v>32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1016</v>
      </c>
      <c r="P15" s="52">
        <v>2110</v>
      </c>
      <c r="Q15" s="63">
        <v>1569</v>
      </c>
    </row>
    <row r="16" spans="1:18" ht="15" thickBot="1" x14ac:dyDescent="0.35">
      <c r="A16" s="199" t="s">
        <v>20</v>
      </c>
      <c r="B16" s="200"/>
      <c r="C16" s="201">
        <f>SUM(C5:D15)</f>
        <v>11998</v>
      </c>
      <c r="D16" s="202"/>
      <c r="E16" s="201">
        <f>SUM(E5:F15)</f>
        <v>1500</v>
      </c>
      <c r="F16" s="202"/>
      <c r="G16" s="201">
        <f>SUM(G5:H15)</f>
        <v>1815</v>
      </c>
      <c r="H16" s="202"/>
      <c r="I16" s="201">
        <f>SUM(I5:J15)</f>
        <v>1286</v>
      </c>
      <c r="J16" s="202"/>
      <c r="K16" s="201">
        <f>SUM(K5:L15)</f>
        <v>56</v>
      </c>
      <c r="L16" s="202"/>
      <c r="M16" s="4">
        <f>SUM(M5:M15)</f>
        <v>852</v>
      </c>
      <c r="N16" s="4">
        <f>SUM(N5:N15)</f>
        <v>2507</v>
      </c>
      <c r="O16" s="4">
        <f>SUM(O5:O15)</f>
        <v>2692</v>
      </c>
      <c r="P16" s="4">
        <f>SUM(P5:P15)</f>
        <v>3230</v>
      </c>
      <c r="Q16" s="33">
        <f>SUM(Q5:Q15)</f>
        <v>2177</v>
      </c>
    </row>
    <row r="17" spans="1:18" ht="15" thickBot="1" x14ac:dyDescent="0.35">
      <c r="A17" s="190" t="s">
        <v>21</v>
      </c>
      <c r="B17" s="191"/>
      <c r="C17" s="192">
        <v>8606</v>
      </c>
      <c r="D17" s="192"/>
      <c r="E17" s="193">
        <v>222</v>
      </c>
      <c r="F17" s="194"/>
      <c r="G17" s="195">
        <v>1232</v>
      </c>
      <c r="H17" s="196"/>
      <c r="I17" s="195">
        <v>180</v>
      </c>
      <c r="J17" s="196"/>
      <c r="K17" s="197">
        <v>0</v>
      </c>
      <c r="L17" s="198"/>
      <c r="M17" s="36">
        <v>0</v>
      </c>
      <c r="N17" s="30">
        <v>1960</v>
      </c>
      <c r="O17" s="86">
        <v>1594</v>
      </c>
      <c r="P17" s="37">
        <v>1085</v>
      </c>
      <c r="Q17" s="87">
        <v>599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629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280</v>
      </c>
      <c r="D25" s="162"/>
      <c r="E25" s="185" t="s">
        <v>591</v>
      </c>
      <c r="F25" s="186"/>
      <c r="G25" s="161">
        <v>0</v>
      </c>
      <c r="H25" s="162"/>
      <c r="I25" s="161">
        <v>3</v>
      </c>
      <c r="J25" s="162"/>
      <c r="K25" s="70">
        <v>0</v>
      </c>
      <c r="L25" s="78">
        <v>22</v>
      </c>
      <c r="M25" s="78">
        <v>7</v>
      </c>
      <c r="N25"/>
      <c r="O25"/>
    </row>
    <row r="26" spans="1:18" x14ac:dyDescent="0.3">
      <c r="A26" s="101" t="s">
        <v>13</v>
      </c>
      <c r="B26" s="102"/>
      <c r="C26" s="149">
        <v>50</v>
      </c>
      <c r="D26" s="150"/>
      <c r="E26" s="165" t="s">
        <v>25</v>
      </c>
      <c r="F26" s="166"/>
      <c r="G26" s="149">
        <v>0</v>
      </c>
      <c r="H26" s="150"/>
      <c r="I26" s="149">
        <v>134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301</v>
      </c>
      <c r="D27" s="150"/>
      <c r="E27" s="165" t="s">
        <v>633</v>
      </c>
      <c r="F27" s="166"/>
      <c r="G27" s="149">
        <v>12</v>
      </c>
      <c r="H27" s="150"/>
      <c r="I27" s="149">
        <v>54</v>
      </c>
      <c r="J27" s="150"/>
      <c r="K27" s="52">
        <v>8</v>
      </c>
      <c r="L27" s="79">
        <v>26</v>
      </c>
      <c r="M27" s="79">
        <v>9</v>
      </c>
      <c r="N27"/>
      <c r="O27"/>
    </row>
    <row r="28" spans="1:18" x14ac:dyDescent="0.3">
      <c r="A28" s="101" t="s">
        <v>15</v>
      </c>
      <c r="B28" s="102"/>
      <c r="C28" s="165" t="s">
        <v>612</v>
      </c>
      <c r="D28" s="166"/>
      <c r="E28" s="165" t="s">
        <v>90</v>
      </c>
      <c r="F28" s="166"/>
      <c r="G28" s="149">
        <v>0</v>
      </c>
      <c r="H28" s="150"/>
      <c r="I28" s="149">
        <v>25</v>
      </c>
      <c r="J28" s="150"/>
      <c r="K28" s="52">
        <v>5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11</v>
      </c>
      <c r="J29" s="150"/>
      <c r="K29" s="52">
        <v>2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3</v>
      </c>
      <c r="D30" s="153"/>
      <c r="E30" s="149" t="s">
        <v>90</v>
      </c>
      <c r="F30" s="150"/>
      <c r="G30" s="149">
        <v>0</v>
      </c>
      <c r="H30" s="150"/>
      <c r="I30" s="149">
        <v>2</v>
      </c>
      <c r="J30" s="150"/>
      <c r="K30" s="52">
        <v>0</v>
      </c>
      <c r="L30" s="79">
        <v>0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131</v>
      </c>
      <c r="D31" s="184"/>
      <c r="E31" s="165" t="s">
        <v>25</v>
      </c>
      <c r="F31" s="166"/>
      <c r="G31" s="149">
        <v>0</v>
      </c>
      <c r="H31" s="150"/>
      <c r="I31" s="149">
        <v>6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629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20</v>
      </c>
      <c r="D38" s="162"/>
      <c r="E38" s="163" t="s">
        <v>622</v>
      </c>
      <c r="F38" s="164"/>
      <c r="G38" s="161">
        <v>0</v>
      </c>
      <c r="H38" s="162"/>
      <c r="I38" s="161">
        <v>10</v>
      </c>
      <c r="J38" s="162"/>
      <c r="K38" s="70">
        <v>0</v>
      </c>
      <c r="L38" s="78">
        <v>20</v>
      </c>
      <c r="M38" s="78">
        <v>4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635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9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634</v>
      </c>
      <c r="F40" s="155"/>
      <c r="G40" s="149">
        <v>25</v>
      </c>
      <c r="H40" s="150"/>
      <c r="I40" s="149" t="s">
        <v>405</v>
      </c>
      <c r="J40" s="150"/>
      <c r="K40" s="52">
        <v>0</v>
      </c>
      <c r="L40" s="79">
        <v>10</v>
      </c>
      <c r="M40" s="79">
        <v>4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613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23</v>
      </c>
      <c r="M41" s="79">
        <v>8</v>
      </c>
      <c r="N41"/>
    </row>
    <row r="42" spans="1:16" x14ac:dyDescent="0.3">
      <c r="A42" s="147" t="s">
        <v>16</v>
      </c>
      <c r="B42" s="148"/>
      <c r="C42" s="152" t="s">
        <v>611</v>
      </c>
      <c r="D42" s="153"/>
      <c r="E42" s="154" t="s">
        <v>630</v>
      </c>
      <c r="F42" s="155"/>
      <c r="G42" s="149">
        <v>0</v>
      </c>
      <c r="H42" s="150"/>
      <c r="I42" s="149" t="s">
        <v>631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398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632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2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598</v>
      </c>
      <c r="D49" s="146"/>
      <c r="E49" s="145" t="s">
        <v>610</v>
      </c>
      <c r="F49" s="146"/>
      <c r="G49" s="145" t="s">
        <v>619</v>
      </c>
      <c r="H49" s="146"/>
      <c r="I49" s="145" t="s">
        <v>629</v>
      </c>
      <c r="J49" s="146"/>
    </row>
    <row r="50" spans="1:11" x14ac:dyDescent="0.3">
      <c r="A50" s="120" t="s">
        <v>30</v>
      </c>
      <c r="B50" s="121"/>
      <c r="C50" s="136">
        <v>12195</v>
      </c>
      <c r="D50" s="137"/>
      <c r="E50" s="136">
        <v>12005</v>
      </c>
      <c r="F50" s="137"/>
      <c r="G50" s="136">
        <v>11856</v>
      </c>
      <c r="H50" s="137"/>
      <c r="I50" s="136">
        <v>11668</v>
      </c>
      <c r="J50" s="137"/>
    </row>
    <row r="51" spans="1:11" x14ac:dyDescent="0.3">
      <c r="A51" s="120" t="s">
        <v>31</v>
      </c>
      <c r="B51" s="121"/>
      <c r="C51" s="136">
        <v>10107</v>
      </c>
      <c r="D51" s="137"/>
      <c r="E51" s="136">
        <v>10144</v>
      </c>
      <c r="F51" s="137"/>
      <c r="G51" s="136">
        <v>10193</v>
      </c>
      <c r="H51" s="137"/>
      <c r="I51" s="136">
        <v>10230</v>
      </c>
      <c r="J51" s="137"/>
    </row>
    <row r="52" spans="1:11" x14ac:dyDescent="0.3">
      <c r="A52" s="120" t="s">
        <v>32</v>
      </c>
      <c r="B52" s="121"/>
      <c r="C52" s="136">
        <v>112544</v>
      </c>
      <c r="D52" s="137"/>
      <c r="E52" s="136">
        <v>112457</v>
      </c>
      <c r="F52" s="137"/>
      <c r="G52" s="136">
        <v>112362</v>
      </c>
      <c r="H52" s="137"/>
      <c r="I52" s="136">
        <v>112268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241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49741</v>
      </c>
      <c r="D54" s="137"/>
      <c r="E54" s="136">
        <v>49699</v>
      </c>
      <c r="F54" s="137"/>
      <c r="G54" s="136">
        <v>49661</v>
      </c>
      <c r="H54" s="137"/>
      <c r="I54" s="136">
        <v>49622</v>
      </c>
      <c r="J54" s="137"/>
    </row>
    <row r="55" spans="1:11" x14ac:dyDescent="0.3">
      <c r="A55" s="120" t="s">
        <v>53</v>
      </c>
      <c r="B55" s="121"/>
      <c r="C55" s="138">
        <v>4370</v>
      </c>
      <c r="D55" s="139"/>
      <c r="E55" s="138">
        <v>4374</v>
      </c>
      <c r="F55" s="139"/>
      <c r="G55" s="138">
        <v>4371</v>
      </c>
      <c r="H55" s="139"/>
      <c r="I55" s="138">
        <v>4367</v>
      </c>
      <c r="J55" s="139"/>
    </row>
    <row r="56" spans="1:11" x14ac:dyDescent="0.3">
      <c r="A56" s="120" t="s">
        <v>49</v>
      </c>
      <c r="B56" s="121"/>
      <c r="C56" s="136">
        <v>20214</v>
      </c>
      <c r="D56" s="137"/>
      <c r="E56" s="136">
        <v>20518</v>
      </c>
      <c r="F56" s="137"/>
      <c r="G56" s="136">
        <v>20806</v>
      </c>
      <c r="H56" s="137"/>
      <c r="I56" s="136">
        <v>21075</v>
      </c>
      <c r="J56" s="137"/>
      <c r="K56" s="51"/>
    </row>
    <row r="57" spans="1:11" x14ac:dyDescent="0.3">
      <c r="A57" s="120" t="s">
        <v>35</v>
      </c>
      <c r="B57" s="121"/>
      <c r="C57" s="138">
        <v>2797</v>
      </c>
      <c r="D57" s="139"/>
      <c r="E57" s="138">
        <v>2807</v>
      </c>
      <c r="F57" s="139"/>
      <c r="G57" s="138">
        <v>2814</v>
      </c>
      <c r="H57" s="139"/>
      <c r="I57" s="138">
        <v>2849</v>
      </c>
      <c r="J57" s="139"/>
    </row>
    <row r="58" spans="1:11" x14ac:dyDescent="0.3">
      <c r="A58" s="120" t="s">
        <v>36</v>
      </c>
      <c r="B58" s="121"/>
      <c r="C58" s="122">
        <f>SUM(C50:D57)</f>
        <v>212208</v>
      </c>
      <c r="D58" s="123"/>
      <c r="E58" s="122">
        <f>SUM(E50:F57)</f>
        <v>212244</v>
      </c>
      <c r="F58" s="123"/>
      <c r="G58" s="122">
        <f>SUM(G50:H57)</f>
        <v>212304</v>
      </c>
      <c r="H58" s="123"/>
      <c r="I58" s="122">
        <f>SUM(I50:J57)</f>
        <v>212319</v>
      </c>
      <c r="J58" s="123"/>
    </row>
    <row r="60" spans="1:11" x14ac:dyDescent="0.3">
      <c r="A60" s="124" t="s">
        <v>37</v>
      </c>
      <c r="B60" s="125"/>
      <c r="C60" s="130" t="s">
        <v>598</v>
      </c>
      <c r="D60" s="131"/>
      <c r="E60" s="130" t="s">
        <v>610</v>
      </c>
      <c r="F60" s="131"/>
      <c r="G60" s="130" t="s">
        <v>619</v>
      </c>
      <c r="H60" s="131"/>
      <c r="I60" s="130" t="s">
        <v>629</v>
      </c>
      <c r="J60" s="131"/>
    </row>
    <row r="61" spans="1:11" x14ac:dyDescent="0.3">
      <c r="A61" s="126"/>
      <c r="B61" s="127"/>
      <c r="C61" s="132">
        <v>139665</v>
      </c>
      <c r="D61" s="133"/>
      <c r="E61" s="132">
        <v>139680</v>
      </c>
      <c r="F61" s="133"/>
      <c r="G61" s="132">
        <v>139735</v>
      </c>
      <c r="H61" s="133"/>
      <c r="I61" s="132">
        <v>139724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509</v>
      </c>
      <c r="D66" s="115"/>
      <c r="E66" s="114" t="s">
        <v>548</v>
      </c>
      <c r="F66" s="115"/>
      <c r="G66" s="114" t="s">
        <v>577</v>
      </c>
      <c r="H66" s="115"/>
      <c r="I66" s="114" t="s">
        <v>628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29615</v>
      </c>
      <c r="D69" s="104"/>
      <c r="E69" s="103">
        <v>30064</v>
      </c>
      <c r="F69" s="104"/>
      <c r="G69" s="103">
        <v>30398</v>
      </c>
      <c r="H69" s="104"/>
      <c r="I69" s="103">
        <v>30944</v>
      </c>
      <c r="J69" s="104"/>
    </row>
    <row r="70" spans="1:10" x14ac:dyDescent="0.3">
      <c r="A70" s="101" t="s">
        <v>13</v>
      </c>
      <c r="B70" s="102"/>
      <c r="C70" s="103">
        <v>7028</v>
      </c>
      <c r="D70" s="104"/>
      <c r="E70" s="103">
        <v>7077</v>
      </c>
      <c r="F70" s="104"/>
      <c r="G70" s="103">
        <v>7127</v>
      </c>
      <c r="H70" s="104"/>
      <c r="I70" s="103">
        <v>7193</v>
      </c>
      <c r="J70" s="104"/>
    </row>
    <row r="71" spans="1:10" x14ac:dyDescent="0.3">
      <c r="A71" s="107" t="s">
        <v>14</v>
      </c>
      <c r="B71" s="108"/>
      <c r="C71" s="103">
        <v>6175</v>
      </c>
      <c r="D71" s="104"/>
      <c r="E71" s="103">
        <v>6238</v>
      </c>
      <c r="F71" s="104"/>
      <c r="G71" s="103">
        <v>6283</v>
      </c>
      <c r="H71" s="104"/>
      <c r="I71" s="103">
        <v>6345</v>
      </c>
      <c r="J71" s="104"/>
    </row>
    <row r="72" spans="1:10" x14ac:dyDescent="0.3">
      <c r="A72" s="107" t="s">
        <v>41</v>
      </c>
      <c r="B72" s="108"/>
      <c r="C72" s="103">
        <v>1420</v>
      </c>
      <c r="D72" s="104"/>
      <c r="E72" s="103">
        <v>1453</v>
      </c>
      <c r="F72" s="104"/>
      <c r="G72" s="103">
        <v>1472</v>
      </c>
      <c r="H72" s="104"/>
      <c r="I72" s="103">
        <v>1519</v>
      </c>
      <c r="J72" s="104"/>
    </row>
    <row r="73" spans="1:10" x14ac:dyDescent="0.3">
      <c r="A73" s="101" t="s">
        <v>15</v>
      </c>
      <c r="B73" s="102"/>
      <c r="C73" s="103">
        <v>4623</v>
      </c>
      <c r="D73" s="104"/>
      <c r="E73" s="103">
        <v>4727</v>
      </c>
      <c r="F73" s="104"/>
      <c r="G73" s="103">
        <v>4792</v>
      </c>
      <c r="H73" s="104"/>
      <c r="I73" s="103">
        <v>4837</v>
      </c>
      <c r="J73" s="104"/>
    </row>
    <row r="74" spans="1:10" x14ac:dyDescent="0.3">
      <c r="A74" s="107" t="s">
        <v>16</v>
      </c>
      <c r="B74" s="108"/>
      <c r="C74" s="103">
        <v>4824</v>
      </c>
      <c r="D74" s="104"/>
      <c r="E74" s="103">
        <v>4881</v>
      </c>
      <c r="F74" s="104"/>
      <c r="G74" s="103">
        <v>4921</v>
      </c>
      <c r="H74" s="104"/>
      <c r="I74" s="103">
        <v>5008</v>
      </c>
      <c r="J74" s="104"/>
    </row>
    <row r="75" spans="1:10" x14ac:dyDescent="0.3">
      <c r="A75" s="101" t="s">
        <v>17</v>
      </c>
      <c r="B75" s="102"/>
      <c r="C75" s="103">
        <v>7361</v>
      </c>
      <c r="D75" s="104"/>
      <c r="E75" s="103">
        <v>7645</v>
      </c>
      <c r="F75" s="104"/>
      <c r="G75" s="103">
        <v>7806</v>
      </c>
      <c r="H75" s="104"/>
      <c r="I75" s="103">
        <v>7930</v>
      </c>
      <c r="J75" s="104"/>
    </row>
    <row r="76" spans="1:10" x14ac:dyDescent="0.3">
      <c r="A76" s="107" t="s">
        <v>18</v>
      </c>
      <c r="B76" s="108"/>
      <c r="C76" s="103">
        <v>1582</v>
      </c>
      <c r="D76" s="104"/>
      <c r="E76" s="103">
        <v>1602</v>
      </c>
      <c r="F76" s="104"/>
      <c r="G76" s="103">
        <v>1610</v>
      </c>
      <c r="H76" s="104"/>
      <c r="I76" s="103">
        <v>1634</v>
      </c>
      <c r="J76" s="104"/>
    </row>
    <row r="77" spans="1:10" x14ac:dyDescent="0.3">
      <c r="A77" s="101" t="s">
        <v>19</v>
      </c>
      <c r="B77" s="102"/>
      <c r="C77" s="103">
        <v>5778</v>
      </c>
      <c r="D77" s="104"/>
      <c r="E77" s="103">
        <v>5885</v>
      </c>
      <c r="F77" s="104"/>
      <c r="G77" s="103">
        <v>5920</v>
      </c>
      <c r="H77" s="104"/>
      <c r="I77" s="103">
        <v>6006</v>
      </c>
      <c r="J77" s="104"/>
    </row>
    <row r="78" spans="1:10" x14ac:dyDescent="0.3">
      <c r="A78" s="105" t="s">
        <v>42</v>
      </c>
      <c r="B78" s="106"/>
      <c r="C78" s="103">
        <f>SUM(C69:C77)</f>
        <v>68406</v>
      </c>
      <c r="D78" s="104"/>
      <c r="E78" s="103">
        <f>SUM(E69:E77)</f>
        <v>69572</v>
      </c>
      <c r="F78" s="104"/>
      <c r="G78" s="103">
        <f>SUM(G69:G77)</f>
        <v>70329</v>
      </c>
      <c r="H78" s="104"/>
      <c r="I78" s="103">
        <f>SUM(I69:I77)</f>
        <v>71416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78"/>
  <sheetViews>
    <sheetView workbookViewId="0">
      <selection sqref="A1:R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639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ht="15" customHeight="1" x14ac:dyDescent="0.3">
      <c r="A5" s="211" t="s">
        <v>10</v>
      </c>
      <c r="B5" s="212"/>
      <c r="C5" s="192">
        <v>8206</v>
      </c>
      <c r="D5" s="192"/>
      <c r="E5" s="192">
        <v>142</v>
      </c>
      <c r="F5" s="192"/>
      <c r="G5" s="192">
        <v>1152</v>
      </c>
      <c r="H5" s="192"/>
      <c r="I5" s="195">
        <v>100</v>
      </c>
      <c r="J5" s="196"/>
      <c r="K5" s="216">
        <v>0</v>
      </c>
      <c r="L5" s="217"/>
      <c r="M5" s="56">
        <v>0</v>
      </c>
      <c r="N5" s="53">
        <v>1960</v>
      </c>
      <c r="O5" s="88">
        <v>1336</v>
      </c>
      <c r="P5" s="53">
        <v>1069</v>
      </c>
      <c r="Q5" s="89">
        <v>449</v>
      </c>
      <c r="R5" s="80" t="s">
        <v>646</v>
      </c>
    </row>
    <row r="6" spans="1:18" ht="17.25" customHeight="1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80" t="s">
        <v>647</v>
      </c>
    </row>
    <row r="7" spans="1:18" x14ac:dyDescent="0.3">
      <c r="A7" s="101" t="s">
        <v>12</v>
      </c>
      <c r="B7" s="102"/>
      <c r="C7" s="210">
        <v>372</v>
      </c>
      <c r="D7" s="210"/>
      <c r="E7" s="210">
        <v>362</v>
      </c>
      <c r="F7" s="210"/>
      <c r="G7" s="210">
        <v>355</v>
      </c>
      <c r="H7" s="210"/>
      <c r="I7" s="149">
        <v>277</v>
      </c>
      <c r="J7" s="150"/>
      <c r="K7" s="149">
        <v>22</v>
      </c>
      <c r="L7" s="150"/>
      <c r="M7" s="52">
        <v>118</v>
      </c>
      <c r="N7" s="52">
        <v>33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330</v>
      </c>
      <c r="D8" s="210"/>
      <c r="E8" s="210">
        <v>226</v>
      </c>
      <c r="F8" s="210"/>
      <c r="G8" s="210">
        <v>38</v>
      </c>
      <c r="H8" s="210"/>
      <c r="I8" s="149">
        <v>128</v>
      </c>
      <c r="J8" s="150"/>
      <c r="K8" s="149">
        <v>0</v>
      </c>
      <c r="L8" s="150"/>
      <c r="M8" s="52">
        <v>25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394</v>
      </c>
      <c r="D9" s="210"/>
      <c r="E9" s="210">
        <v>90</v>
      </c>
      <c r="F9" s="210"/>
      <c r="G9" s="210">
        <v>50</v>
      </c>
      <c r="H9" s="210"/>
      <c r="I9" s="149">
        <v>280</v>
      </c>
      <c r="J9" s="150"/>
      <c r="K9" s="149">
        <v>0</v>
      </c>
      <c r="L9" s="150"/>
      <c r="M9" s="52">
        <v>144</v>
      </c>
      <c r="N9" s="52">
        <v>64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300</v>
      </c>
      <c r="D10" s="210"/>
      <c r="E10" s="210">
        <v>241</v>
      </c>
      <c r="F10" s="210"/>
      <c r="G10" s="210">
        <v>27</v>
      </c>
      <c r="H10" s="210"/>
      <c r="I10" s="149">
        <v>25</v>
      </c>
      <c r="J10" s="150"/>
      <c r="K10" s="149">
        <v>0</v>
      </c>
      <c r="L10" s="150"/>
      <c r="M10" s="52">
        <v>23</v>
      </c>
      <c r="N10" s="52">
        <v>53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420</v>
      </c>
      <c r="D11" s="209"/>
      <c r="E11" s="210">
        <v>165</v>
      </c>
      <c r="F11" s="210"/>
      <c r="G11" s="210">
        <v>0</v>
      </c>
      <c r="H11" s="210"/>
      <c r="I11" s="149">
        <v>65</v>
      </c>
      <c r="J11" s="150"/>
      <c r="K11" s="149">
        <v>5</v>
      </c>
      <c r="L11" s="150"/>
      <c r="M11" s="52">
        <v>78</v>
      </c>
      <c r="N11" s="52">
        <v>195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305</v>
      </c>
      <c r="D12" s="209"/>
      <c r="E12" s="210">
        <v>30</v>
      </c>
      <c r="F12" s="210"/>
      <c r="G12" s="210">
        <v>68</v>
      </c>
      <c r="H12" s="210"/>
      <c r="I12" s="149">
        <v>46</v>
      </c>
      <c r="J12" s="150"/>
      <c r="K12" s="149">
        <v>0</v>
      </c>
      <c r="L12" s="150"/>
      <c r="M12" s="52">
        <v>58</v>
      </c>
      <c r="N12" s="52">
        <v>82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226</v>
      </c>
      <c r="D13" s="150"/>
      <c r="E13" s="149">
        <v>71</v>
      </c>
      <c r="F13" s="150"/>
      <c r="G13" s="149">
        <v>0</v>
      </c>
      <c r="H13" s="150"/>
      <c r="I13" s="149">
        <v>115</v>
      </c>
      <c r="J13" s="150"/>
      <c r="K13" s="149">
        <v>0</v>
      </c>
      <c r="L13" s="150"/>
      <c r="M13" s="52">
        <v>40</v>
      </c>
      <c r="N13" s="52">
        <v>43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310</v>
      </c>
      <c r="D14" s="206"/>
      <c r="E14" s="205">
        <v>49</v>
      </c>
      <c r="F14" s="206"/>
      <c r="G14" s="205">
        <v>59</v>
      </c>
      <c r="H14" s="206"/>
      <c r="I14" s="149">
        <v>105</v>
      </c>
      <c r="J14" s="150"/>
      <c r="K14" s="205">
        <v>0</v>
      </c>
      <c r="L14" s="206"/>
      <c r="M14" s="59">
        <v>128</v>
      </c>
      <c r="N14" s="59">
        <v>32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971</v>
      </c>
      <c r="P15" s="52">
        <v>1997</v>
      </c>
      <c r="Q15" s="63">
        <v>1486</v>
      </c>
    </row>
    <row r="16" spans="1:18" ht="15" thickBot="1" x14ac:dyDescent="0.35">
      <c r="A16" s="199" t="s">
        <v>20</v>
      </c>
      <c r="B16" s="200"/>
      <c r="C16" s="201">
        <f>SUM(C5:D15)</f>
        <v>11933</v>
      </c>
      <c r="D16" s="202"/>
      <c r="E16" s="201">
        <f>SUM(E5:F15)</f>
        <v>1376</v>
      </c>
      <c r="F16" s="202"/>
      <c r="G16" s="201">
        <f>SUM(G5:H15)</f>
        <v>1749</v>
      </c>
      <c r="H16" s="202"/>
      <c r="I16" s="201">
        <f>SUM(I5:J15)</f>
        <v>1141</v>
      </c>
      <c r="J16" s="202"/>
      <c r="K16" s="201">
        <f>SUM(K5:L15)</f>
        <v>27</v>
      </c>
      <c r="L16" s="202"/>
      <c r="M16" s="4">
        <f>SUM(M5:M15)</f>
        <v>614</v>
      </c>
      <c r="N16" s="4">
        <f>SUM(N5:N15)</f>
        <v>2477</v>
      </c>
      <c r="O16" s="4">
        <f>SUM(O5:O15)</f>
        <v>2389</v>
      </c>
      <c r="P16" s="4">
        <f>SUM(P5:P15)</f>
        <v>3101</v>
      </c>
      <c r="Q16" s="33">
        <f>SUM(Q5:Q15)</f>
        <v>1943</v>
      </c>
    </row>
    <row r="17" spans="1:18" ht="15" thickBot="1" x14ac:dyDescent="0.35">
      <c r="A17" s="190" t="s">
        <v>21</v>
      </c>
      <c r="B17" s="191"/>
      <c r="C17" s="192">
        <v>8206</v>
      </c>
      <c r="D17" s="192"/>
      <c r="E17" s="193">
        <v>142</v>
      </c>
      <c r="F17" s="194"/>
      <c r="G17" s="195">
        <v>1152</v>
      </c>
      <c r="H17" s="196"/>
      <c r="I17" s="195">
        <v>100</v>
      </c>
      <c r="J17" s="196"/>
      <c r="K17" s="197">
        <v>0</v>
      </c>
      <c r="L17" s="198"/>
      <c r="M17" s="36">
        <v>0</v>
      </c>
      <c r="N17" s="30">
        <v>1960</v>
      </c>
      <c r="O17" s="86">
        <v>1336</v>
      </c>
      <c r="P17" s="37">
        <v>1069</v>
      </c>
      <c r="Q17" s="87">
        <v>449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639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262</v>
      </c>
      <c r="D25" s="162"/>
      <c r="E25" s="185" t="s">
        <v>326</v>
      </c>
      <c r="F25" s="186"/>
      <c r="G25" s="161">
        <v>0</v>
      </c>
      <c r="H25" s="162"/>
      <c r="I25" s="161">
        <v>4</v>
      </c>
      <c r="J25" s="162"/>
      <c r="K25" s="70">
        <v>0</v>
      </c>
      <c r="L25" s="78">
        <v>20</v>
      </c>
      <c r="M25" s="78">
        <v>5</v>
      </c>
      <c r="N25"/>
      <c r="O25"/>
    </row>
    <row r="26" spans="1:18" x14ac:dyDescent="0.3">
      <c r="A26" s="101" t="s">
        <v>13</v>
      </c>
      <c r="B26" s="102"/>
      <c r="C26" s="149">
        <v>48</v>
      </c>
      <c r="D26" s="150"/>
      <c r="E26" s="165" t="s">
        <v>25</v>
      </c>
      <c r="F26" s="166"/>
      <c r="G26" s="149">
        <v>0</v>
      </c>
      <c r="H26" s="150"/>
      <c r="I26" s="149">
        <v>115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285</v>
      </c>
      <c r="D27" s="150"/>
      <c r="E27" s="165" t="s">
        <v>644</v>
      </c>
      <c r="F27" s="166"/>
      <c r="G27" s="149">
        <v>25</v>
      </c>
      <c r="H27" s="150"/>
      <c r="I27" s="149">
        <v>68</v>
      </c>
      <c r="J27" s="150"/>
      <c r="K27" s="52">
        <v>4</v>
      </c>
      <c r="L27" s="79">
        <v>24</v>
      </c>
      <c r="M27" s="79">
        <v>6</v>
      </c>
      <c r="N27"/>
      <c r="O27"/>
    </row>
    <row r="28" spans="1:18" x14ac:dyDescent="0.3">
      <c r="A28" s="101" t="s">
        <v>15</v>
      </c>
      <c r="B28" s="102"/>
      <c r="C28" s="165" t="s">
        <v>623</v>
      </c>
      <c r="D28" s="166"/>
      <c r="E28" s="165" t="s">
        <v>90</v>
      </c>
      <c r="F28" s="166"/>
      <c r="G28" s="149">
        <v>0</v>
      </c>
      <c r="H28" s="150"/>
      <c r="I28" s="149">
        <v>25</v>
      </c>
      <c r="J28" s="150"/>
      <c r="K28" s="52">
        <v>5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12</v>
      </c>
      <c r="J29" s="150"/>
      <c r="K29" s="52">
        <v>2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5</v>
      </c>
      <c r="D30" s="153"/>
      <c r="E30" s="149" t="s">
        <v>90</v>
      </c>
      <c r="F30" s="150"/>
      <c r="G30" s="149">
        <v>0</v>
      </c>
      <c r="H30" s="150"/>
      <c r="I30" s="149">
        <v>4</v>
      </c>
      <c r="J30" s="150"/>
      <c r="K30" s="52">
        <v>0</v>
      </c>
      <c r="L30" s="79">
        <v>6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131</v>
      </c>
      <c r="D31" s="184"/>
      <c r="E31" s="165" t="s">
        <v>25</v>
      </c>
      <c r="F31" s="166"/>
      <c r="G31" s="149">
        <v>0</v>
      </c>
      <c r="H31" s="150"/>
      <c r="I31" s="149">
        <v>4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639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18</v>
      </c>
      <c r="D38" s="162"/>
      <c r="E38" s="163" t="s">
        <v>648</v>
      </c>
      <c r="F38" s="164"/>
      <c r="G38" s="161">
        <v>0</v>
      </c>
      <c r="H38" s="162"/>
      <c r="I38" s="161">
        <v>8</v>
      </c>
      <c r="J38" s="162"/>
      <c r="K38" s="70">
        <v>0</v>
      </c>
      <c r="L38" s="78">
        <v>18</v>
      </c>
      <c r="M38" s="78">
        <v>4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643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645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613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24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640</v>
      </c>
      <c r="D42" s="153"/>
      <c r="E42" s="154" t="s">
        <v>630</v>
      </c>
      <c r="F42" s="155"/>
      <c r="G42" s="149">
        <v>0</v>
      </c>
      <c r="H42" s="150"/>
      <c r="I42" s="149" t="s">
        <v>631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642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3</v>
      </c>
      <c r="D44" s="153"/>
      <c r="E44" s="149" t="s">
        <v>641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2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610</v>
      </c>
      <c r="D49" s="146"/>
      <c r="E49" s="145" t="s">
        <v>619</v>
      </c>
      <c r="F49" s="146"/>
      <c r="G49" s="145" t="s">
        <v>629</v>
      </c>
      <c r="H49" s="146"/>
      <c r="I49" s="145" t="s">
        <v>639</v>
      </c>
      <c r="J49" s="146"/>
    </row>
    <row r="50" spans="1:11" x14ac:dyDescent="0.3">
      <c r="A50" s="120" t="s">
        <v>30</v>
      </c>
      <c r="B50" s="121"/>
      <c r="C50" s="136">
        <v>12005</v>
      </c>
      <c r="D50" s="137"/>
      <c r="E50" s="136">
        <v>11856</v>
      </c>
      <c r="F50" s="137"/>
      <c r="G50" s="136">
        <v>11668</v>
      </c>
      <c r="H50" s="137"/>
      <c r="I50" s="136">
        <v>11525</v>
      </c>
      <c r="J50" s="137"/>
    </row>
    <row r="51" spans="1:11" x14ac:dyDescent="0.3">
      <c r="A51" s="120" t="s">
        <v>31</v>
      </c>
      <c r="B51" s="121"/>
      <c r="C51" s="136">
        <v>10144</v>
      </c>
      <c r="D51" s="137"/>
      <c r="E51" s="136">
        <v>10193</v>
      </c>
      <c r="F51" s="137"/>
      <c r="G51" s="136">
        <v>10230</v>
      </c>
      <c r="H51" s="137"/>
      <c r="I51" s="136">
        <v>10249</v>
      </c>
      <c r="J51" s="137"/>
    </row>
    <row r="52" spans="1:11" x14ac:dyDescent="0.3">
      <c r="A52" s="120" t="s">
        <v>32</v>
      </c>
      <c r="B52" s="121"/>
      <c r="C52" s="136">
        <v>112457</v>
      </c>
      <c r="D52" s="137"/>
      <c r="E52" s="136">
        <v>112362</v>
      </c>
      <c r="F52" s="137"/>
      <c r="G52" s="136">
        <v>112268</v>
      </c>
      <c r="H52" s="137"/>
      <c r="I52" s="136">
        <v>112211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241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49699</v>
      </c>
      <c r="D54" s="137"/>
      <c r="E54" s="136">
        <v>49661</v>
      </c>
      <c r="F54" s="137"/>
      <c r="G54" s="136">
        <v>49622</v>
      </c>
      <c r="H54" s="137"/>
      <c r="I54" s="136">
        <v>49556</v>
      </c>
      <c r="J54" s="137"/>
    </row>
    <row r="55" spans="1:11" x14ac:dyDescent="0.3">
      <c r="A55" s="120" t="s">
        <v>53</v>
      </c>
      <c r="B55" s="121"/>
      <c r="C55" s="138">
        <v>4374</v>
      </c>
      <c r="D55" s="139"/>
      <c r="E55" s="138">
        <v>4371</v>
      </c>
      <c r="F55" s="139"/>
      <c r="G55" s="138">
        <v>4367</v>
      </c>
      <c r="H55" s="139"/>
      <c r="I55" s="138">
        <v>4374</v>
      </c>
      <c r="J55" s="139"/>
    </row>
    <row r="56" spans="1:11" x14ac:dyDescent="0.3">
      <c r="A56" s="120" t="s">
        <v>49</v>
      </c>
      <c r="B56" s="121"/>
      <c r="C56" s="136">
        <v>20518</v>
      </c>
      <c r="D56" s="137"/>
      <c r="E56" s="136">
        <v>20806</v>
      </c>
      <c r="F56" s="137"/>
      <c r="G56" s="136">
        <v>21075</v>
      </c>
      <c r="H56" s="137"/>
      <c r="I56" s="136">
        <v>21301</v>
      </c>
      <c r="J56" s="137"/>
      <c r="K56" s="51"/>
    </row>
    <row r="57" spans="1:11" x14ac:dyDescent="0.3">
      <c r="A57" s="120" t="s">
        <v>35</v>
      </c>
      <c r="B57" s="121"/>
      <c r="C57" s="138">
        <v>2807</v>
      </c>
      <c r="D57" s="139"/>
      <c r="E57" s="138">
        <v>2814</v>
      </c>
      <c r="F57" s="139"/>
      <c r="G57" s="138">
        <v>2849</v>
      </c>
      <c r="H57" s="139"/>
      <c r="I57" s="138">
        <v>2864</v>
      </c>
      <c r="J57" s="139"/>
    </row>
    <row r="58" spans="1:11" x14ac:dyDescent="0.3">
      <c r="A58" s="120" t="s">
        <v>36</v>
      </c>
      <c r="B58" s="121"/>
      <c r="C58" s="122">
        <f>SUM(C50:D57)</f>
        <v>212244</v>
      </c>
      <c r="D58" s="123"/>
      <c r="E58" s="122">
        <f>SUM(E50:F57)</f>
        <v>212304</v>
      </c>
      <c r="F58" s="123"/>
      <c r="G58" s="122">
        <f>SUM(G50:H57)</f>
        <v>212319</v>
      </c>
      <c r="H58" s="123"/>
      <c r="I58" s="122">
        <f>SUM(I50:J57)</f>
        <v>212320</v>
      </c>
      <c r="J58" s="123"/>
    </row>
    <row r="60" spans="1:11" x14ac:dyDescent="0.3">
      <c r="A60" s="124" t="s">
        <v>37</v>
      </c>
      <c r="B60" s="125"/>
      <c r="C60" s="130" t="s">
        <v>610</v>
      </c>
      <c r="D60" s="131"/>
      <c r="E60" s="130" t="s">
        <v>619</v>
      </c>
      <c r="F60" s="131"/>
      <c r="G60" s="130" t="s">
        <v>629</v>
      </c>
      <c r="H60" s="131"/>
      <c r="I60" s="130" t="s">
        <v>639</v>
      </c>
      <c r="J60" s="131"/>
    </row>
    <row r="61" spans="1:11" x14ac:dyDescent="0.3">
      <c r="A61" s="126"/>
      <c r="B61" s="127"/>
      <c r="C61" s="132">
        <v>139680</v>
      </c>
      <c r="D61" s="133"/>
      <c r="E61" s="132">
        <v>139735</v>
      </c>
      <c r="F61" s="133"/>
      <c r="G61" s="132">
        <v>139724</v>
      </c>
      <c r="H61" s="133"/>
      <c r="I61" s="132">
        <v>139743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509</v>
      </c>
      <c r="D66" s="115"/>
      <c r="E66" s="114" t="s">
        <v>548</v>
      </c>
      <c r="F66" s="115"/>
      <c r="G66" s="114" t="s">
        <v>577</v>
      </c>
      <c r="H66" s="115"/>
      <c r="I66" s="114" t="s">
        <v>628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ht="15" customHeight="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29615</v>
      </c>
      <c r="D69" s="104"/>
      <c r="E69" s="103">
        <v>30064</v>
      </c>
      <c r="F69" s="104"/>
      <c r="G69" s="103">
        <v>30398</v>
      </c>
      <c r="H69" s="104"/>
      <c r="I69" s="103">
        <v>30944</v>
      </c>
      <c r="J69" s="104"/>
    </row>
    <row r="70" spans="1:10" x14ac:dyDescent="0.3">
      <c r="A70" s="101" t="s">
        <v>13</v>
      </c>
      <c r="B70" s="102"/>
      <c r="C70" s="103">
        <v>7028</v>
      </c>
      <c r="D70" s="104"/>
      <c r="E70" s="103">
        <v>7077</v>
      </c>
      <c r="F70" s="104"/>
      <c r="G70" s="103">
        <v>7127</v>
      </c>
      <c r="H70" s="104"/>
      <c r="I70" s="103">
        <v>7193</v>
      </c>
      <c r="J70" s="104"/>
    </row>
    <row r="71" spans="1:10" x14ac:dyDescent="0.3">
      <c r="A71" s="107" t="s">
        <v>14</v>
      </c>
      <c r="B71" s="108"/>
      <c r="C71" s="103">
        <v>6175</v>
      </c>
      <c r="D71" s="104"/>
      <c r="E71" s="103">
        <v>6238</v>
      </c>
      <c r="F71" s="104"/>
      <c r="G71" s="103">
        <v>6283</v>
      </c>
      <c r="H71" s="104"/>
      <c r="I71" s="103">
        <v>6345</v>
      </c>
      <c r="J71" s="104"/>
    </row>
    <row r="72" spans="1:10" x14ac:dyDescent="0.3">
      <c r="A72" s="107" t="s">
        <v>41</v>
      </c>
      <c r="B72" s="108"/>
      <c r="C72" s="103">
        <v>1420</v>
      </c>
      <c r="D72" s="104"/>
      <c r="E72" s="103">
        <v>1453</v>
      </c>
      <c r="F72" s="104"/>
      <c r="G72" s="103">
        <v>1472</v>
      </c>
      <c r="H72" s="104"/>
      <c r="I72" s="103">
        <v>1519</v>
      </c>
      <c r="J72" s="104"/>
    </row>
    <row r="73" spans="1:10" x14ac:dyDescent="0.3">
      <c r="A73" s="101" t="s">
        <v>15</v>
      </c>
      <c r="B73" s="102"/>
      <c r="C73" s="103">
        <v>4623</v>
      </c>
      <c r="D73" s="104"/>
      <c r="E73" s="103">
        <v>4727</v>
      </c>
      <c r="F73" s="104"/>
      <c r="G73" s="103">
        <v>4792</v>
      </c>
      <c r="H73" s="104"/>
      <c r="I73" s="103">
        <v>4837</v>
      </c>
      <c r="J73" s="104"/>
    </row>
    <row r="74" spans="1:10" x14ac:dyDescent="0.3">
      <c r="A74" s="107" t="s">
        <v>16</v>
      </c>
      <c r="B74" s="108"/>
      <c r="C74" s="103">
        <v>4824</v>
      </c>
      <c r="D74" s="104"/>
      <c r="E74" s="103">
        <v>4881</v>
      </c>
      <c r="F74" s="104"/>
      <c r="G74" s="103">
        <v>4921</v>
      </c>
      <c r="H74" s="104"/>
      <c r="I74" s="103">
        <v>5008</v>
      </c>
      <c r="J74" s="104"/>
    </row>
    <row r="75" spans="1:10" x14ac:dyDescent="0.3">
      <c r="A75" s="101" t="s">
        <v>17</v>
      </c>
      <c r="B75" s="102"/>
      <c r="C75" s="103">
        <v>7361</v>
      </c>
      <c r="D75" s="104"/>
      <c r="E75" s="103">
        <v>7645</v>
      </c>
      <c r="F75" s="104"/>
      <c r="G75" s="103">
        <v>7806</v>
      </c>
      <c r="H75" s="104"/>
      <c r="I75" s="103">
        <v>7930</v>
      </c>
      <c r="J75" s="104"/>
    </row>
    <row r="76" spans="1:10" x14ac:dyDescent="0.3">
      <c r="A76" s="107" t="s">
        <v>18</v>
      </c>
      <c r="B76" s="108"/>
      <c r="C76" s="103">
        <v>1582</v>
      </c>
      <c r="D76" s="104"/>
      <c r="E76" s="103">
        <v>1602</v>
      </c>
      <c r="F76" s="104"/>
      <c r="G76" s="103">
        <v>1610</v>
      </c>
      <c r="H76" s="104"/>
      <c r="I76" s="103">
        <v>1634</v>
      </c>
      <c r="J76" s="104"/>
    </row>
    <row r="77" spans="1:10" x14ac:dyDescent="0.3">
      <c r="A77" s="101" t="s">
        <v>19</v>
      </c>
      <c r="B77" s="102"/>
      <c r="C77" s="103">
        <v>5778</v>
      </c>
      <c r="D77" s="104"/>
      <c r="E77" s="103">
        <v>5885</v>
      </c>
      <c r="F77" s="104"/>
      <c r="G77" s="103">
        <v>5920</v>
      </c>
      <c r="H77" s="104"/>
      <c r="I77" s="103">
        <v>6006</v>
      </c>
      <c r="J77" s="104"/>
    </row>
    <row r="78" spans="1:10" x14ac:dyDescent="0.3">
      <c r="A78" s="105" t="s">
        <v>42</v>
      </c>
      <c r="B78" s="106"/>
      <c r="C78" s="103">
        <f>SUM(C69:C77)</f>
        <v>68406</v>
      </c>
      <c r="D78" s="104"/>
      <c r="E78" s="103">
        <f>SUM(E69:E77)</f>
        <v>69572</v>
      </c>
      <c r="F78" s="104"/>
      <c r="G78" s="103">
        <f>SUM(G69:G77)</f>
        <v>70329</v>
      </c>
      <c r="H78" s="104"/>
      <c r="I78" s="103">
        <f>SUM(I69:I77)</f>
        <v>71416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5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649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2">
        <v>8146</v>
      </c>
      <c r="D5" s="192"/>
      <c r="E5" s="192">
        <v>102</v>
      </c>
      <c r="F5" s="192"/>
      <c r="G5" s="192">
        <v>1092</v>
      </c>
      <c r="H5" s="192"/>
      <c r="I5" s="195">
        <v>100</v>
      </c>
      <c r="J5" s="196"/>
      <c r="K5" s="216">
        <v>0</v>
      </c>
      <c r="L5" s="217"/>
      <c r="M5" s="56">
        <v>0</v>
      </c>
      <c r="N5" s="53">
        <v>1920</v>
      </c>
      <c r="O5" s="88">
        <v>981</v>
      </c>
      <c r="P5" s="53">
        <v>859</v>
      </c>
      <c r="Q5" s="89">
        <v>14161</v>
      </c>
      <c r="R5" s="80" t="s">
        <v>657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80" t="s">
        <v>658</v>
      </c>
    </row>
    <row r="7" spans="1:18" x14ac:dyDescent="0.3">
      <c r="A7" s="101" t="s">
        <v>12</v>
      </c>
      <c r="B7" s="102"/>
      <c r="C7" s="210">
        <v>324</v>
      </c>
      <c r="D7" s="210"/>
      <c r="E7" s="210">
        <v>360</v>
      </c>
      <c r="F7" s="210"/>
      <c r="G7" s="210">
        <v>343</v>
      </c>
      <c r="H7" s="210"/>
      <c r="I7" s="149">
        <v>186</v>
      </c>
      <c r="J7" s="150"/>
      <c r="K7" s="149">
        <v>20</v>
      </c>
      <c r="L7" s="150"/>
      <c r="M7" s="52">
        <v>50</v>
      </c>
      <c r="N7" s="52">
        <v>36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291</v>
      </c>
      <c r="D8" s="210"/>
      <c r="E8" s="210">
        <v>226</v>
      </c>
      <c r="F8" s="210"/>
      <c r="G8" s="210">
        <v>19</v>
      </c>
      <c r="H8" s="210"/>
      <c r="I8" s="149">
        <v>106</v>
      </c>
      <c r="J8" s="150"/>
      <c r="K8" s="149">
        <v>0</v>
      </c>
      <c r="L8" s="150"/>
      <c r="M8" s="52">
        <v>25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373</v>
      </c>
      <c r="D9" s="210"/>
      <c r="E9" s="210">
        <v>83</v>
      </c>
      <c r="F9" s="210"/>
      <c r="G9" s="210">
        <v>50</v>
      </c>
      <c r="H9" s="210"/>
      <c r="I9" s="149">
        <v>262</v>
      </c>
      <c r="J9" s="150"/>
      <c r="K9" s="149">
        <v>0</v>
      </c>
      <c r="L9" s="150"/>
      <c r="M9" s="52">
        <v>119</v>
      </c>
      <c r="N9" s="52">
        <v>64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345</v>
      </c>
      <c r="D10" s="210"/>
      <c r="E10" s="210">
        <v>284</v>
      </c>
      <c r="F10" s="210"/>
      <c r="G10" s="210">
        <v>83</v>
      </c>
      <c r="H10" s="210"/>
      <c r="I10" s="149">
        <v>25</v>
      </c>
      <c r="J10" s="150"/>
      <c r="K10" s="149">
        <v>0</v>
      </c>
      <c r="L10" s="150"/>
      <c r="M10" s="52">
        <v>21</v>
      </c>
      <c r="N10" s="52">
        <v>90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410</v>
      </c>
      <c r="D11" s="209"/>
      <c r="E11" s="210">
        <v>195</v>
      </c>
      <c r="F11" s="210"/>
      <c r="G11" s="210">
        <v>50</v>
      </c>
      <c r="H11" s="210"/>
      <c r="I11" s="149">
        <v>110</v>
      </c>
      <c r="J11" s="150"/>
      <c r="K11" s="149">
        <v>0</v>
      </c>
      <c r="L11" s="150"/>
      <c r="M11" s="52">
        <v>71</v>
      </c>
      <c r="N11" s="52">
        <v>187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285</v>
      </c>
      <c r="D12" s="209"/>
      <c r="E12" s="210">
        <v>28</v>
      </c>
      <c r="F12" s="210"/>
      <c r="G12" s="210">
        <v>67</v>
      </c>
      <c r="H12" s="210"/>
      <c r="I12" s="149">
        <v>36</v>
      </c>
      <c r="J12" s="150"/>
      <c r="K12" s="149">
        <v>0</v>
      </c>
      <c r="L12" s="150"/>
      <c r="M12" s="52">
        <v>40</v>
      </c>
      <c r="N12" s="52">
        <v>79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216</v>
      </c>
      <c r="D13" s="150"/>
      <c r="E13" s="149">
        <v>64</v>
      </c>
      <c r="F13" s="150"/>
      <c r="G13" s="149">
        <v>0</v>
      </c>
      <c r="H13" s="150"/>
      <c r="I13" s="149">
        <v>105</v>
      </c>
      <c r="J13" s="150"/>
      <c r="K13" s="149">
        <v>0</v>
      </c>
      <c r="L13" s="150"/>
      <c r="M13" s="52">
        <v>35</v>
      </c>
      <c r="N13" s="52">
        <v>43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305</v>
      </c>
      <c r="D14" s="206"/>
      <c r="E14" s="205">
        <v>48</v>
      </c>
      <c r="F14" s="206"/>
      <c r="G14" s="205">
        <v>59</v>
      </c>
      <c r="H14" s="206"/>
      <c r="I14" s="149">
        <v>89</v>
      </c>
      <c r="J14" s="150"/>
      <c r="K14" s="205">
        <v>0</v>
      </c>
      <c r="L14" s="206"/>
      <c r="M14" s="59">
        <v>121</v>
      </c>
      <c r="N14" s="59">
        <v>32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858</v>
      </c>
      <c r="P15" s="52">
        <v>1941</v>
      </c>
      <c r="Q15" s="63">
        <v>1809</v>
      </c>
    </row>
    <row r="16" spans="1:18" ht="15" thickBot="1" x14ac:dyDescent="0.35">
      <c r="A16" s="199" t="s">
        <v>20</v>
      </c>
      <c r="B16" s="200"/>
      <c r="C16" s="201">
        <f>SUM(C5:D15)</f>
        <v>11765</v>
      </c>
      <c r="D16" s="202"/>
      <c r="E16" s="201">
        <f>SUM(E5:F15)</f>
        <v>1390</v>
      </c>
      <c r="F16" s="202"/>
      <c r="G16" s="201">
        <f>SUM(G5:H15)</f>
        <v>1763</v>
      </c>
      <c r="H16" s="202"/>
      <c r="I16" s="201">
        <f>SUM(I5:J15)</f>
        <v>1019</v>
      </c>
      <c r="J16" s="202"/>
      <c r="K16" s="201">
        <f>SUM(K5:L15)</f>
        <v>20</v>
      </c>
      <c r="L16" s="202"/>
      <c r="M16" s="4">
        <f>SUM(M5:M15)</f>
        <v>482</v>
      </c>
      <c r="N16" s="4">
        <f>SUM(N5:N15)</f>
        <v>2466</v>
      </c>
      <c r="O16" s="4">
        <f>SUM(O5:O15)</f>
        <v>1921</v>
      </c>
      <c r="P16" s="4">
        <f>SUM(P5:P15)</f>
        <v>2835</v>
      </c>
      <c r="Q16" s="33">
        <f>SUM(Q5:Q15)</f>
        <v>15978</v>
      </c>
    </row>
    <row r="17" spans="1:18" ht="15" thickBot="1" x14ac:dyDescent="0.35">
      <c r="A17" s="190" t="s">
        <v>21</v>
      </c>
      <c r="B17" s="191"/>
      <c r="C17" s="192">
        <v>8146</v>
      </c>
      <c r="D17" s="192"/>
      <c r="E17" s="193">
        <v>102</v>
      </c>
      <c r="F17" s="194"/>
      <c r="G17" s="195">
        <v>1092</v>
      </c>
      <c r="H17" s="196"/>
      <c r="I17" s="195">
        <v>100</v>
      </c>
      <c r="J17" s="196"/>
      <c r="K17" s="197">
        <v>0</v>
      </c>
      <c r="L17" s="198"/>
      <c r="M17" s="36">
        <v>0</v>
      </c>
      <c r="N17" s="30">
        <v>1920</v>
      </c>
      <c r="O17" s="86">
        <v>981</v>
      </c>
      <c r="P17" s="37">
        <v>859</v>
      </c>
      <c r="Q17" s="87">
        <v>14161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649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395</v>
      </c>
      <c r="D25" s="162"/>
      <c r="E25" s="185" t="s">
        <v>604</v>
      </c>
      <c r="F25" s="186"/>
      <c r="G25" s="161">
        <v>0</v>
      </c>
      <c r="H25" s="162"/>
      <c r="I25" s="161">
        <v>4</v>
      </c>
      <c r="J25" s="162"/>
      <c r="K25" s="70">
        <v>0</v>
      </c>
      <c r="L25" s="78">
        <v>21</v>
      </c>
      <c r="M25" s="78">
        <v>5</v>
      </c>
      <c r="N25"/>
      <c r="O25"/>
    </row>
    <row r="26" spans="1:18" x14ac:dyDescent="0.3">
      <c r="A26" s="101" t="s">
        <v>13</v>
      </c>
      <c r="B26" s="102"/>
      <c r="C26" s="149">
        <v>53</v>
      </c>
      <c r="D26" s="150"/>
      <c r="E26" s="165" t="s">
        <v>25</v>
      </c>
      <c r="F26" s="166"/>
      <c r="G26" s="149">
        <v>0</v>
      </c>
      <c r="H26" s="150"/>
      <c r="I26" s="149">
        <v>113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277</v>
      </c>
      <c r="D27" s="150"/>
      <c r="E27" s="165" t="s">
        <v>653</v>
      </c>
      <c r="F27" s="166"/>
      <c r="G27" s="149">
        <v>24</v>
      </c>
      <c r="H27" s="150"/>
      <c r="I27" s="149">
        <v>68</v>
      </c>
      <c r="J27" s="150"/>
      <c r="K27" s="52">
        <v>4</v>
      </c>
      <c r="L27" s="79">
        <v>17</v>
      </c>
      <c r="M27" s="79">
        <v>6</v>
      </c>
      <c r="N27"/>
      <c r="O27"/>
    </row>
    <row r="28" spans="1:18" x14ac:dyDescent="0.3">
      <c r="A28" s="101" t="s">
        <v>15</v>
      </c>
      <c r="B28" s="102"/>
      <c r="C28" s="165" t="s">
        <v>623</v>
      </c>
      <c r="D28" s="166"/>
      <c r="E28" s="165" t="s">
        <v>90</v>
      </c>
      <c r="F28" s="166"/>
      <c r="G28" s="149">
        <v>0</v>
      </c>
      <c r="H28" s="150"/>
      <c r="I28" s="149">
        <v>17</v>
      </c>
      <c r="J28" s="150"/>
      <c r="K28" s="52">
        <v>5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529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7</v>
      </c>
      <c r="D30" s="153"/>
      <c r="E30" s="165" t="s">
        <v>106</v>
      </c>
      <c r="F30" s="166"/>
      <c r="G30" s="149">
        <v>0</v>
      </c>
      <c r="H30" s="150"/>
      <c r="I30" s="149">
        <v>10</v>
      </c>
      <c r="J30" s="150"/>
      <c r="K30" s="52">
        <v>0</v>
      </c>
      <c r="L30" s="79">
        <v>10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131</v>
      </c>
      <c r="D31" s="184"/>
      <c r="E31" s="165" t="s">
        <v>25</v>
      </c>
      <c r="F31" s="166"/>
      <c r="G31" s="149">
        <v>0</v>
      </c>
      <c r="H31" s="150"/>
      <c r="I31" s="149">
        <v>4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649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18</v>
      </c>
      <c r="D38" s="162"/>
      <c r="E38" s="163" t="s">
        <v>656</v>
      </c>
      <c r="F38" s="164"/>
      <c r="G38" s="161">
        <v>0</v>
      </c>
      <c r="H38" s="162"/>
      <c r="I38" s="161">
        <v>8</v>
      </c>
      <c r="J38" s="162"/>
      <c r="K38" s="70">
        <v>0</v>
      </c>
      <c r="L38" s="78">
        <v>20</v>
      </c>
      <c r="M38" s="78">
        <v>5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659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654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613</v>
      </c>
      <c r="F41" s="155"/>
      <c r="G41" s="149">
        <v>26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650</v>
      </c>
      <c r="D42" s="153"/>
      <c r="E42" s="154" t="s">
        <v>651</v>
      </c>
      <c r="F42" s="155"/>
      <c r="G42" s="149">
        <v>0</v>
      </c>
      <c r="H42" s="150"/>
      <c r="I42" s="149" t="s">
        <v>631</v>
      </c>
      <c r="J42" s="150"/>
      <c r="K42" s="52" t="s">
        <v>475</v>
      </c>
      <c r="L42" s="79">
        <v>5</v>
      </c>
      <c r="M42" s="79">
        <v>2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655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652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2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619</v>
      </c>
      <c r="D49" s="146"/>
      <c r="E49" s="145" t="s">
        <v>629</v>
      </c>
      <c r="F49" s="146"/>
      <c r="G49" s="145" t="s">
        <v>639</v>
      </c>
      <c r="H49" s="146"/>
      <c r="I49" s="145" t="s">
        <v>649</v>
      </c>
      <c r="J49" s="146"/>
    </row>
    <row r="50" spans="1:11" x14ac:dyDescent="0.3">
      <c r="A50" s="120" t="s">
        <v>30</v>
      </c>
      <c r="B50" s="121"/>
      <c r="C50" s="136">
        <v>11856</v>
      </c>
      <c r="D50" s="137"/>
      <c r="E50" s="136">
        <v>11668</v>
      </c>
      <c r="F50" s="137"/>
      <c r="G50" s="136">
        <v>11525</v>
      </c>
      <c r="H50" s="137"/>
      <c r="I50" s="136">
        <v>11417</v>
      </c>
      <c r="J50" s="137"/>
    </row>
    <row r="51" spans="1:11" x14ac:dyDescent="0.3">
      <c r="A51" s="120" t="s">
        <v>31</v>
      </c>
      <c r="B51" s="121"/>
      <c r="C51" s="136">
        <v>10193</v>
      </c>
      <c r="D51" s="137"/>
      <c r="E51" s="136">
        <v>10230</v>
      </c>
      <c r="F51" s="137"/>
      <c r="G51" s="136">
        <v>10249</v>
      </c>
      <c r="H51" s="137"/>
      <c r="I51" s="136">
        <v>10278</v>
      </c>
      <c r="J51" s="137"/>
    </row>
    <row r="52" spans="1:11" x14ac:dyDescent="0.3">
      <c r="A52" s="120" t="s">
        <v>32</v>
      </c>
      <c r="B52" s="121"/>
      <c r="C52" s="136">
        <v>112362</v>
      </c>
      <c r="D52" s="137"/>
      <c r="E52" s="136">
        <v>112268</v>
      </c>
      <c r="F52" s="137"/>
      <c r="G52" s="136">
        <v>112211</v>
      </c>
      <c r="H52" s="137"/>
      <c r="I52" s="136">
        <v>112150</v>
      </c>
      <c r="J52" s="137"/>
    </row>
    <row r="53" spans="1:11" x14ac:dyDescent="0.3">
      <c r="A53" s="120" t="s">
        <v>33</v>
      </c>
      <c r="B53" s="121"/>
      <c r="C53" s="138">
        <v>241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49661</v>
      </c>
      <c r="D54" s="137"/>
      <c r="E54" s="136">
        <v>49622</v>
      </c>
      <c r="F54" s="137"/>
      <c r="G54" s="136">
        <v>49556</v>
      </c>
      <c r="H54" s="137"/>
      <c r="I54" s="136">
        <v>49556</v>
      </c>
      <c r="J54" s="137"/>
    </row>
    <row r="55" spans="1:11" x14ac:dyDescent="0.3">
      <c r="A55" s="120" t="s">
        <v>53</v>
      </c>
      <c r="B55" s="121"/>
      <c r="C55" s="138">
        <v>4371</v>
      </c>
      <c r="D55" s="139"/>
      <c r="E55" s="138">
        <v>4367</v>
      </c>
      <c r="F55" s="139"/>
      <c r="G55" s="138">
        <v>4374</v>
      </c>
      <c r="H55" s="139"/>
      <c r="I55" s="138">
        <v>4379</v>
      </c>
      <c r="J55" s="139"/>
    </row>
    <row r="56" spans="1:11" x14ac:dyDescent="0.3">
      <c r="A56" s="120" t="s">
        <v>49</v>
      </c>
      <c r="B56" s="121"/>
      <c r="C56" s="136">
        <v>20806</v>
      </c>
      <c r="D56" s="137"/>
      <c r="E56" s="136">
        <v>21075</v>
      </c>
      <c r="F56" s="137"/>
      <c r="G56" s="136">
        <v>21301</v>
      </c>
      <c r="H56" s="137"/>
      <c r="I56" s="136">
        <v>21470</v>
      </c>
      <c r="J56" s="137"/>
      <c r="K56" s="51"/>
    </row>
    <row r="57" spans="1:11" x14ac:dyDescent="0.3">
      <c r="A57" s="120" t="s">
        <v>35</v>
      </c>
      <c r="B57" s="121"/>
      <c r="C57" s="138">
        <v>2814</v>
      </c>
      <c r="D57" s="139"/>
      <c r="E57" s="138">
        <v>2849</v>
      </c>
      <c r="F57" s="139"/>
      <c r="G57" s="138">
        <v>2864</v>
      </c>
      <c r="H57" s="139"/>
      <c r="I57" s="138">
        <v>2889</v>
      </c>
      <c r="J57" s="139"/>
    </row>
    <row r="58" spans="1:11" x14ac:dyDescent="0.3">
      <c r="A58" s="120" t="s">
        <v>36</v>
      </c>
      <c r="B58" s="121"/>
      <c r="C58" s="122">
        <f>SUM(C50:D57)</f>
        <v>212304</v>
      </c>
      <c r="D58" s="123"/>
      <c r="E58" s="122">
        <f>SUM(E50:F57)</f>
        <v>212319</v>
      </c>
      <c r="F58" s="123"/>
      <c r="G58" s="122">
        <f>SUM(G50:H57)</f>
        <v>212320</v>
      </c>
      <c r="H58" s="123"/>
      <c r="I58" s="122">
        <f>SUM(I50:J57)</f>
        <v>212379</v>
      </c>
      <c r="J58" s="123"/>
    </row>
    <row r="60" spans="1:11" x14ac:dyDescent="0.3">
      <c r="A60" s="124" t="s">
        <v>37</v>
      </c>
      <c r="B60" s="125"/>
      <c r="C60" s="130" t="s">
        <v>619</v>
      </c>
      <c r="D60" s="131"/>
      <c r="E60" s="130" t="s">
        <v>629</v>
      </c>
      <c r="F60" s="131"/>
      <c r="G60" s="130" t="s">
        <v>639</v>
      </c>
      <c r="H60" s="131"/>
      <c r="I60" s="130" t="s">
        <v>649</v>
      </c>
      <c r="J60" s="131"/>
    </row>
    <row r="61" spans="1:11" x14ac:dyDescent="0.3">
      <c r="A61" s="126"/>
      <c r="B61" s="127"/>
      <c r="C61" s="132">
        <v>139735</v>
      </c>
      <c r="D61" s="133"/>
      <c r="E61" s="132">
        <v>139724</v>
      </c>
      <c r="F61" s="133"/>
      <c r="G61" s="132">
        <v>139743</v>
      </c>
      <c r="H61" s="133"/>
      <c r="I61" s="132">
        <v>139809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509</v>
      </c>
      <c r="D66" s="115"/>
      <c r="E66" s="114" t="s">
        <v>548</v>
      </c>
      <c r="F66" s="115"/>
      <c r="G66" s="114" t="s">
        <v>577</v>
      </c>
      <c r="H66" s="115"/>
      <c r="I66" s="114" t="s">
        <v>628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29615</v>
      </c>
      <c r="D69" s="104"/>
      <c r="E69" s="103">
        <v>30064</v>
      </c>
      <c r="F69" s="104"/>
      <c r="G69" s="103">
        <v>30398</v>
      </c>
      <c r="H69" s="104"/>
      <c r="I69" s="103">
        <v>30944</v>
      </c>
      <c r="J69" s="104"/>
    </row>
    <row r="70" spans="1:10" x14ac:dyDescent="0.3">
      <c r="A70" s="101" t="s">
        <v>13</v>
      </c>
      <c r="B70" s="102"/>
      <c r="C70" s="103">
        <v>7028</v>
      </c>
      <c r="D70" s="104"/>
      <c r="E70" s="103">
        <v>7077</v>
      </c>
      <c r="F70" s="104"/>
      <c r="G70" s="103">
        <v>7127</v>
      </c>
      <c r="H70" s="104"/>
      <c r="I70" s="103">
        <v>7193</v>
      </c>
      <c r="J70" s="104"/>
    </row>
    <row r="71" spans="1:10" x14ac:dyDescent="0.3">
      <c r="A71" s="107" t="s">
        <v>14</v>
      </c>
      <c r="B71" s="108"/>
      <c r="C71" s="103">
        <v>6175</v>
      </c>
      <c r="D71" s="104"/>
      <c r="E71" s="103">
        <v>6238</v>
      </c>
      <c r="F71" s="104"/>
      <c r="G71" s="103">
        <v>6283</v>
      </c>
      <c r="H71" s="104"/>
      <c r="I71" s="103">
        <v>6345</v>
      </c>
      <c r="J71" s="104"/>
    </row>
    <row r="72" spans="1:10" x14ac:dyDescent="0.3">
      <c r="A72" s="107" t="s">
        <v>41</v>
      </c>
      <c r="B72" s="108"/>
      <c r="C72" s="103">
        <v>1420</v>
      </c>
      <c r="D72" s="104"/>
      <c r="E72" s="103">
        <v>1453</v>
      </c>
      <c r="F72" s="104"/>
      <c r="G72" s="103">
        <v>1472</v>
      </c>
      <c r="H72" s="104"/>
      <c r="I72" s="103">
        <v>1519</v>
      </c>
      <c r="J72" s="104"/>
    </row>
    <row r="73" spans="1:10" x14ac:dyDescent="0.3">
      <c r="A73" s="101" t="s">
        <v>15</v>
      </c>
      <c r="B73" s="102"/>
      <c r="C73" s="103">
        <v>4623</v>
      </c>
      <c r="D73" s="104"/>
      <c r="E73" s="103">
        <v>4727</v>
      </c>
      <c r="F73" s="104"/>
      <c r="G73" s="103">
        <v>4792</v>
      </c>
      <c r="H73" s="104"/>
      <c r="I73" s="103">
        <v>4837</v>
      </c>
      <c r="J73" s="104"/>
    </row>
    <row r="74" spans="1:10" x14ac:dyDescent="0.3">
      <c r="A74" s="107" t="s">
        <v>16</v>
      </c>
      <c r="B74" s="108"/>
      <c r="C74" s="103">
        <v>4824</v>
      </c>
      <c r="D74" s="104"/>
      <c r="E74" s="103">
        <v>4881</v>
      </c>
      <c r="F74" s="104"/>
      <c r="G74" s="103">
        <v>4921</v>
      </c>
      <c r="H74" s="104"/>
      <c r="I74" s="103">
        <v>5008</v>
      </c>
      <c r="J74" s="104"/>
    </row>
    <row r="75" spans="1:10" x14ac:dyDescent="0.3">
      <c r="A75" s="101" t="s">
        <v>17</v>
      </c>
      <c r="B75" s="102"/>
      <c r="C75" s="103">
        <v>7361</v>
      </c>
      <c r="D75" s="104"/>
      <c r="E75" s="103">
        <v>7645</v>
      </c>
      <c r="F75" s="104"/>
      <c r="G75" s="103">
        <v>7806</v>
      </c>
      <c r="H75" s="104"/>
      <c r="I75" s="103">
        <v>7930</v>
      </c>
      <c r="J75" s="104"/>
    </row>
    <row r="76" spans="1:10" x14ac:dyDescent="0.3">
      <c r="A76" s="107" t="s">
        <v>18</v>
      </c>
      <c r="B76" s="108"/>
      <c r="C76" s="103">
        <v>1582</v>
      </c>
      <c r="D76" s="104"/>
      <c r="E76" s="103">
        <v>1602</v>
      </c>
      <c r="F76" s="104"/>
      <c r="G76" s="103">
        <v>1610</v>
      </c>
      <c r="H76" s="104"/>
      <c r="I76" s="103">
        <v>1634</v>
      </c>
      <c r="J76" s="104"/>
    </row>
    <row r="77" spans="1:10" x14ac:dyDescent="0.3">
      <c r="A77" s="101" t="s">
        <v>19</v>
      </c>
      <c r="B77" s="102"/>
      <c r="C77" s="103">
        <v>5778</v>
      </c>
      <c r="D77" s="104"/>
      <c r="E77" s="103">
        <v>5885</v>
      </c>
      <c r="F77" s="104"/>
      <c r="G77" s="103">
        <v>5920</v>
      </c>
      <c r="H77" s="104"/>
      <c r="I77" s="103">
        <v>6006</v>
      </c>
      <c r="J77" s="104"/>
    </row>
    <row r="78" spans="1:10" x14ac:dyDescent="0.3">
      <c r="A78" s="105" t="s">
        <v>42</v>
      </c>
      <c r="B78" s="106"/>
      <c r="C78" s="103">
        <f>SUM(C69:C77)</f>
        <v>68406</v>
      </c>
      <c r="D78" s="104"/>
      <c r="E78" s="103">
        <f>SUM(E69:E77)</f>
        <v>69572</v>
      </c>
      <c r="F78" s="104"/>
      <c r="G78" s="103">
        <f>SUM(G69:G77)</f>
        <v>70329</v>
      </c>
      <c r="H78" s="104"/>
      <c r="I78" s="103">
        <f>SUM(I69:I77)</f>
        <v>71416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R78"/>
  <sheetViews>
    <sheetView workbookViewId="0">
      <selection activeCell="O24" sqref="O24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660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2">
        <v>8046</v>
      </c>
      <c r="D5" s="192"/>
      <c r="E5" s="192">
        <v>77</v>
      </c>
      <c r="F5" s="192"/>
      <c r="G5" s="192">
        <v>1042</v>
      </c>
      <c r="H5" s="192"/>
      <c r="I5" s="195">
        <v>75</v>
      </c>
      <c r="J5" s="196"/>
      <c r="K5" s="216">
        <v>0</v>
      </c>
      <c r="L5" s="217"/>
      <c r="M5" s="56">
        <v>8710</v>
      </c>
      <c r="N5" s="53">
        <v>1920</v>
      </c>
      <c r="O5" s="88">
        <v>781</v>
      </c>
      <c r="P5" s="53">
        <v>819</v>
      </c>
      <c r="Q5" s="89">
        <v>14121</v>
      </c>
      <c r="R5" s="80" t="s">
        <v>665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80" t="s">
        <v>666</v>
      </c>
    </row>
    <row r="7" spans="1:18" x14ac:dyDescent="0.3">
      <c r="A7" s="101" t="s">
        <v>12</v>
      </c>
      <c r="B7" s="102"/>
      <c r="C7" s="210">
        <v>381</v>
      </c>
      <c r="D7" s="210"/>
      <c r="E7" s="210">
        <v>360</v>
      </c>
      <c r="F7" s="210"/>
      <c r="G7" s="210">
        <v>283</v>
      </c>
      <c r="H7" s="210"/>
      <c r="I7" s="149">
        <v>154</v>
      </c>
      <c r="J7" s="150"/>
      <c r="K7" s="149">
        <v>19</v>
      </c>
      <c r="L7" s="150"/>
      <c r="M7" s="52">
        <v>429</v>
      </c>
      <c r="N7" s="52">
        <v>30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269</v>
      </c>
      <c r="D8" s="210"/>
      <c r="E8" s="210">
        <v>226</v>
      </c>
      <c r="F8" s="210"/>
      <c r="G8" s="210">
        <v>10</v>
      </c>
      <c r="H8" s="210"/>
      <c r="I8" s="149">
        <v>94</v>
      </c>
      <c r="J8" s="150"/>
      <c r="K8" s="149">
        <v>0</v>
      </c>
      <c r="L8" s="150"/>
      <c r="M8" s="52">
        <v>20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341</v>
      </c>
      <c r="D9" s="210"/>
      <c r="E9" s="210">
        <v>82</v>
      </c>
      <c r="F9" s="210"/>
      <c r="G9" s="210">
        <v>48</v>
      </c>
      <c r="H9" s="210"/>
      <c r="I9" s="149">
        <v>244</v>
      </c>
      <c r="J9" s="150"/>
      <c r="K9" s="149">
        <v>0</v>
      </c>
      <c r="L9" s="150"/>
      <c r="M9" s="52">
        <v>284</v>
      </c>
      <c r="N9" s="52">
        <v>64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325</v>
      </c>
      <c r="D10" s="210"/>
      <c r="E10" s="210">
        <v>264</v>
      </c>
      <c r="F10" s="210"/>
      <c r="G10" s="210">
        <v>83</v>
      </c>
      <c r="H10" s="210"/>
      <c r="I10" s="149">
        <v>25</v>
      </c>
      <c r="J10" s="150"/>
      <c r="K10" s="149">
        <v>0</v>
      </c>
      <c r="L10" s="150"/>
      <c r="M10" s="52">
        <v>351</v>
      </c>
      <c r="N10" s="52">
        <v>80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390</v>
      </c>
      <c r="D11" s="209"/>
      <c r="E11" s="210">
        <v>187</v>
      </c>
      <c r="F11" s="210"/>
      <c r="G11" s="210">
        <v>25</v>
      </c>
      <c r="H11" s="210"/>
      <c r="I11" s="149">
        <v>102</v>
      </c>
      <c r="J11" s="150"/>
      <c r="K11" s="149">
        <v>0</v>
      </c>
      <c r="L11" s="150"/>
      <c r="M11" s="52">
        <v>68</v>
      </c>
      <c r="N11" s="52">
        <v>177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260</v>
      </c>
      <c r="D12" s="209"/>
      <c r="E12" s="210">
        <v>26</v>
      </c>
      <c r="F12" s="210"/>
      <c r="G12" s="210">
        <v>67</v>
      </c>
      <c r="H12" s="210"/>
      <c r="I12" s="149">
        <v>26</v>
      </c>
      <c r="J12" s="150"/>
      <c r="K12" s="149">
        <v>0</v>
      </c>
      <c r="L12" s="150"/>
      <c r="M12" s="52">
        <v>214</v>
      </c>
      <c r="N12" s="52">
        <v>77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189</v>
      </c>
      <c r="D13" s="150"/>
      <c r="E13" s="149">
        <v>57</v>
      </c>
      <c r="F13" s="150"/>
      <c r="G13" s="149">
        <v>0</v>
      </c>
      <c r="H13" s="150"/>
      <c r="I13" s="149">
        <v>99</v>
      </c>
      <c r="J13" s="150"/>
      <c r="K13" s="149">
        <v>0</v>
      </c>
      <c r="L13" s="150"/>
      <c r="M13" s="52">
        <v>31</v>
      </c>
      <c r="N13" s="52">
        <v>40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301</v>
      </c>
      <c r="D14" s="206"/>
      <c r="E14" s="205">
        <v>43</v>
      </c>
      <c r="F14" s="206"/>
      <c r="G14" s="205">
        <v>59</v>
      </c>
      <c r="H14" s="206"/>
      <c r="I14" s="149">
        <v>90</v>
      </c>
      <c r="J14" s="150"/>
      <c r="K14" s="205">
        <v>0</v>
      </c>
      <c r="L14" s="206"/>
      <c r="M14" s="59">
        <v>101</v>
      </c>
      <c r="N14" s="59">
        <v>28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794</v>
      </c>
      <c r="P15" s="52">
        <v>1793</v>
      </c>
      <c r="Q15" s="63">
        <v>1313</v>
      </c>
    </row>
    <row r="16" spans="1:18" ht="15" thickBot="1" x14ac:dyDescent="0.35">
      <c r="A16" s="199" t="s">
        <v>20</v>
      </c>
      <c r="B16" s="200"/>
      <c r="C16" s="201">
        <f>SUM(C5:D15)</f>
        <v>11572</v>
      </c>
      <c r="D16" s="202"/>
      <c r="E16" s="201">
        <f>SUM(E5:F15)</f>
        <v>1322</v>
      </c>
      <c r="F16" s="202"/>
      <c r="G16" s="201">
        <f>SUM(G5:H15)</f>
        <v>1617</v>
      </c>
      <c r="H16" s="202"/>
      <c r="I16" s="201">
        <f>SUM(I5:J15)</f>
        <v>909</v>
      </c>
      <c r="J16" s="202"/>
      <c r="K16" s="201">
        <f>SUM(K5:L15)</f>
        <v>19</v>
      </c>
      <c r="L16" s="202"/>
      <c r="M16" s="4">
        <f>SUM(M5:M15)</f>
        <v>10208</v>
      </c>
      <c r="N16" s="4">
        <f>SUM(N5:N15)</f>
        <v>2431</v>
      </c>
      <c r="O16" s="4">
        <f>SUM(O5:O15)</f>
        <v>1657</v>
      </c>
      <c r="P16" s="4">
        <f>SUM(P5:P15)</f>
        <v>2647</v>
      </c>
      <c r="Q16" s="33">
        <f>SUM(Q5:Q15)</f>
        <v>15442</v>
      </c>
    </row>
    <row r="17" spans="1:18" ht="15" thickBot="1" x14ac:dyDescent="0.35">
      <c r="A17" s="190" t="s">
        <v>21</v>
      </c>
      <c r="B17" s="191"/>
      <c r="C17" s="192">
        <v>8046</v>
      </c>
      <c r="D17" s="192"/>
      <c r="E17" s="193">
        <v>77</v>
      </c>
      <c r="F17" s="194"/>
      <c r="G17" s="195">
        <v>1042</v>
      </c>
      <c r="H17" s="196"/>
      <c r="I17" s="195">
        <v>75</v>
      </c>
      <c r="J17" s="196"/>
      <c r="K17" s="197">
        <v>0</v>
      </c>
      <c r="L17" s="198"/>
      <c r="M17" s="36">
        <v>8370</v>
      </c>
      <c r="N17" s="30">
        <v>1920</v>
      </c>
      <c r="O17" s="86">
        <v>781</v>
      </c>
      <c r="P17" s="37">
        <v>819</v>
      </c>
      <c r="Q17" s="87">
        <v>14121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660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388</v>
      </c>
      <c r="D25" s="162"/>
      <c r="E25" s="185" t="s">
        <v>278</v>
      </c>
      <c r="F25" s="186"/>
      <c r="G25" s="161">
        <v>0</v>
      </c>
      <c r="H25" s="162"/>
      <c r="I25" s="161">
        <v>4</v>
      </c>
      <c r="J25" s="162"/>
      <c r="K25" s="70">
        <v>0</v>
      </c>
      <c r="L25" s="78">
        <v>21</v>
      </c>
      <c r="M25" s="78">
        <v>5</v>
      </c>
      <c r="N25"/>
      <c r="O25"/>
    </row>
    <row r="26" spans="1:18" x14ac:dyDescent="0.3">
      <c r="A26" s="101" t="s">
        <v>13</v>
      </c>
      <c r="B26" s="102"/>
      <c r="C26" s="149">
        <v>50</v>
      </c>
      <c r="D26" s="150"/>
      <c r="E26" s="165" t="s">
        <v>25</v>
      </c>
      <c r="F26" s="166"/>
      <c r="G26" s="149">
        <v>0</v>
      </c>
      <c r="H26" s="150"/>
      <c r="I26" s="149">
        <v>118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237</v>
      </c>
      <c r="D27" s="150"/>
      <c r="E27" s="165" t="s">
        <v>348</v>
      </c>
      <c r="F27" s="166"/>
      <c r="G27" s="149">
        <v>24</v>
      </c>
      <c r="H27" s="150"/>
      <c r="I27" s="149">
        <v>65</v>
      </c>
      <c r="J27" s="150"/>
      <c r="K27" s="52">
        <v>4</v>
      </c>
      <c r="L27" s="79">
        <v>17</v>
      </c>
      <c r="M27" s="79">
        <v>4</v>
      </c>
      <c r="N27"/>
      <c r="O27"/>
    </row>
    <row r="28" spans="1:18" x14ac:dyDescent="0.3">
      <c r="A28" s="101" t="s">
        <v>15</v>
      </c>
      <c r="B28" s="102"/>
      <c r="C28" s="165" t="s">
        <v>668</v>
      </c>
      <c r="D28" s="166"/>
      <c r="E28" s="165" t="s">
        <v>90</v>
      </c>
      <c r="F28" s="166"/>
      <c r="G28" s="149">
        <v>0</v>
      </c>
      <c r="H28" s="150"/>
      <c r="I28" s="149">
        <v>7</v>
      </c>
      <c r="J28" s="150"/>
      <c r="K28" s="52">
        <v>3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529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5</v>
      </c>
      <c r="D30" s="153"/>
      <c r="E30" s="165" t="s">
        <v>661</v>
      </c>
      <c r="F30" s="166"/>
      <c r="G30" s="149">
        <v>0</v>
      </c>
      <c r="H30" s="150"/>
      <c r="I30" s="149">
        <v>10</v>
      </c>
      <c r="J30" s="150"/>
      <c r="K30" s="52">
        <v>0</v>
      </c>
      <c r="L30" s="79">
        <v>12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663</v>
      </c>
      <c r="D31" s="184"/>
      <c r="E31" s="165" t="s">
        <v>25</v>
      </c>
      <c r="F31" s="166"/>
      <c r="G31" s="149">
        <v>0</v>
      </c>
      <c r="H31" s="150"/>
      <c r="I31" s="149">
        <v>3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660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16</v>
      </c>
      <c r="D38" s="162"/>
      <c r="E38" s="163" t="s">
        <v>88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21</v>
      </c>
      <c r="M38" s="78">
        <v>6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667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654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669</v>
      </c>
      <c r="F41" s="155"/>
      <c r="G41" s="149">
        <v>28</v>
      </c>
      <c r="H41" s="150"/>
      <c r="I41" s="149">
        <v>0</v>
      </c>
      <c r="J41" s="150"/>
      <c r="K41" s="52">
        <v>0</v>
      </c>
      <c r="L41" s="79">
        <v>1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662</v>
      </c>
      <c r="D42" s="153"/>
      <c r="E42" s="154" t="s">
        <v>603</v>
      </c>
      <c r="F42" s="155"/>
      <c r="G42" s="149">
        <v>0</v>
      </c>
      <c r="H42" s="150"/>
      <c r="I42" s="149" t="s">
        <v>631</v>
      </c>
      <c r="J42" s="150"/>
      <c r="K42" s="52" t="s">
        <v>475</v>
      </c>
      <c r="L42" s="79">
        <v>4</v>
      </c>
      <c r="M42" s="79">
        <v>0</v>
      </c>
    </row>
    <row r="43" spans="1:16" x14ac:dyDescent="0.3">
      <c r="A43" s="147" t="s">
        <v>17</v>
      </c>
      <c r="B43" s="148"/>
      <c r="C43" s="152">
        <v>1</v>
      </c>
      <c r="D43" s="153"/>
      <c r="E43" s="149" t="s">
        <v>664</v>
      </c>
      <c r="F43" s="150"/>
      <c r="G43" s="149">
        <v>0</v>
      </c>
      <c r="H43" s="150"/>
      <c r="I43" s="149">
        <v>2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652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2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629</v>
      </c>
      <c r="D49" s="146"/>
      <c r="E49" s="145" t="s">
        <v>639</v>
      </c>
      <c r="F49" s="146"/>
      <c r="G49" s="145" t="s">
        <v>649</v>
      </c>
      <c r="H49" s="146"/>
      <c r="I49" s="145" t="s">
        <v>660</v>
      </c>
      <c r="J49" s="146"/>
    </row>
    <row r="50" spans="1:11" x14ac:dyDescent="0.3">
      <c r="A50" s="120" t="s">
        <v>30</v>
      </c>
      <c r="B50" s="121"/>
      <c r="C50" s="136">
        <v>11668</v>
      </c>
      <c r="D50" s="137"/>
      <c r="E50" s="136">
        <v>11525</v>
      </c>
      <c r="F50" s="137"/>
      <c r="G50" s="136">
        <v>11417</v>
      </c>
      <c r="H50" s="137"/>
      <c r="I50" s="136">
        <v>11310</v>
      </c>
      <c r="J50" s="137"/>
    </row>
    <row r="51" spans="1:11" x14ac:dyDescent="0.3">
      <c r="A51" s="120" t="s">
        <v>31</v>
      </c>
      <c r="B51" s="121"/>
      <c r="C51" s="136">
        <v>10230</v>
      </c>
      <c r="D51" s="137"/>
      <c r="E51" s="136">
        <v>10249</v>
      </c>
      <c r="F51" s="137"/>
      <c r="G51" s="136">
        <v>10278</v>
      </c>
      <c r="H51" s="137"/>
      <c r="I51" s="136">
        <v>10313</v>
      </c>
      <c r="J51" s="137"/>
    </row>
    <row r="52" spans="1:11" x14ac:dyDescent="0.3">
      <c r="A52" s="120" t="s">
        <v>32</v>
      </c>
      <c r="B52" s="121"/>
      <c r="C52" s="136">
        <v>112268</v>
      </c>
      <c r="D52" s="137"/>
      <c r="E52" s="136">
        <v>112211</v>
      </c>
      <c r="F52" s="137"/>
      <c r="G52" s="136">
        <v>112150</v>
      </c>
      <c r="H52" s="137"/>
      <c r="I52" s="136">
        <v>112068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49622</v>
      </c>
      <c r="D54" s="137"/>
      <c r="E54" s="136">
        <v>49556</v>
      </c>
      <c r="F54" s="137"/>
      <c r="G54" s="136">
        <v>49556</v>
      </c>
      <c r="H54" s="137"/>
      <c r="I54" s="136">
        <v>49508</v>
      </c>
      <c r="J54" s="137"/>
    </row>
    <row r="55" spans="1:11" x14ac:dyDescent="0.3">
      <c r="A55" s="120" t="s">
        <v>53</v>
      </c>
      <c r="B55" s="121"/>
      <c r="C55" s="138">
        <v>4367</v>
      </c>
      <c r="D55" s="139"/>
      <c r="E55" s="138">
        <v>4374</v>
      </c>
      <c r="F55" s="139"/>
      <c r="G55" s="138">
        <v>4379</v>
      </c>
      <c r="H55" s="139"/>
      <c r="I55" s="138">
        <v>4381</v>
      </c>
      <c r="J55" s="139"/>
    </row>
    <row r="56" spans="1:11" x14ac:dyDescent="0.3">
      <c r="A56" s="120" t="s">
        <v>49</v>
      </c>
      <c r="B56" s="121"/>
      <c r="C56" s="136">
        <v>21075</v>
      </c>
      <c r="D56" s="137"/>
      <c r="E56" s="136">
        <v>21301</v>
      </c>
      <c r="F56" s="137"/>
      <c r="G56" s="136">
        <v>21470</v>
      </c>
      <c r="H56" s="137"/>
      <c r="I56" s="136">
        <v>21630</v>
      </c>
      <c r="J56" s="137"/>
      <c r="K56" s="51"/>
    </row>
    <row r="57" spans="1:11" x14ac:dyDescent="0.3">
      <c r="A57" s="120" t="s">
        <v>35</v>
      </c>
      <c r="B57" s="121"/>
      <c r="C57" s="138">
        <v>2849</v>
      </c>
      <c r="D57" s="139"/>
      <c r="E57" s="138">
        <v>2864</v>
      </c>
      <c r="F57" s="139"/>
      <c r="G57" s="138">
        <v>2889</v>
      </c>
      <c r="H57" s="139"/>
      <c r="I57" s="138">
        <v>2971</v>
      </c>
      <c r="J57" s="139"/>
    </row>
    <row r="58" spans="1:11" x14ac:dyDescent="0.3">
      <c r="A58" s="120" t="s">
        <v>36</v>
      </c>
      <c r="B58" s="121"/>
      <c r="C58" s="122">
        <f>SUM(C50:D57)</f>
        <v>212319</v>
      </c>
      <c r="D58" s="123"/>
      <c r="E58" s="122">
        <f>SUM(E50:F57)</f>
        <v>212320</v>
      </c>
      <c r="F58" s="123"/>
      <c r="G58" s="122">
        <f>SUM(G50:H57)</f>
        <v>212379</v>
      </c>
      <c r="H58" s="123"/>
      <c r="I58" s="122">
        <f>SUM(I50:J57)</f>
        <v>212421</v>
      </c>
      <c r="J58" s="123"/>
    </row>
    <row r="60" spans="1:11" x14ac:dyDescent="0.3">
      <c r="A60" s="124" t="s">
        <v>37</v>
      </c>
      <c r="B60" s="125"/>
      <c r="C60" s="130" t="s">
        <v>629</v>
      </c>
      <c r="D60" s="131"/>
      <c r="E60" s="130" t="s">
        <v>639</v>
      </c>
      <c r="F60" s="131"/>
      <c r="G60" s="130" t="s">
        <v>649</v>
      </c>
      <c r="H60" s="131"/>
      <c r="I60" s="130" t="s">
        <v>660</v>
      </c>
      <c r="J60" s="131"/>
    </row>
    <row r="61" spans="1:11" x14ac:dyDescent="0.3">
      <c r="A61" s="126"/>
      <c r="B61" s="127"/>
      <c r="C61" s="132">
        <v>139724</v>
      </c>
      <c r="D61" s="133"/>
      <c r="E61" s="132">
        <v>139743</v>
      </c>
      <c r="F61" s="133"/>
      <c r="G61" s="132">
        <v>139809</v>
      </c>
      <c r="H61" s="133"/>
      <c r="I61" s="132">
        <v>139839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509</v>
      </c>
      <c r="D66" s="115"/>
      <c r="E66" s="114" t="s">
        <v>548</v>
      </c>
      <c r="F66" s="115"/>
      <c r="G66" s="114" t="s">
        <v>577</v>
      </c>
      <c r="H66" s="115"/>
      <c r="I66" s="114" t="s">
        <v>628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29615</v>
      </c>
      <c r="D69" s="104"/>
      <c r="E69" s="103">
        <v>30064</v>
      </c>
      <c r="F69" s="104"/>
      <c r="G69" s="103">
        <v>30398</v>
      </c>
      <c r="H69" s="104"/>
      <c r="I69" s="103">
        <v>30944</v>
      </c>
      <c r="J69" s="104"/>
    </row>
    <row r="70" spans="1:10" x14ac:dyDescent="0.3">
      <c r="A70" s="101" t="s">
        <v>13</v>
      </c>
      <c r="B70" s="102"/>
      <c r="C70" s="103">
        <v>7028</v>
      </c>
      <c r="D70" s="104"/>
      <c r="E70" s="103">
        <v>7077</v>
      </c>
      <c r="F70" s="104"/>
      <c r="G70" s="103">
        <v>7127</v>
      </c>
      <c r="H70" s="104"/>
      <c r="I70" s="103">
        <v>7193</v>
      </c>
      <c r="J70" s="104"/>
    </row>
    <row r="71" spans="1:10" x14ac:dyDescent="0.3">
      <c r="A71" s="107" t="s">
        <v>14</v>
      </c>
      <c r="B71" s="108"/>
      <c r="C71" s="103">
        <v>6175</v>
      </c>
      <c r="D71" s="104"/>
      <c r="E71" s="103">
        <v>6238</v>
      </c>
      <c r="F71" s="104"/>
      <c r="G71" s="103">
        <v>6283</v>
      </c>
      <c r="H71" s="104"/>
      <c r="I71" s="103">
        <v>6345</v>
      </c>
      <c r="J71" s="104"/>
    </row>
    <row r="72" spans="1:10" x14ac:dyDescent="0.3">
      <c r="A72" s="107" t="s">
        <v>41</v>
      </c>
      <c r="B72" s="108"/>
      <c r="C72" s="103">
        <v>1420</v>
      </c>
      <c r="D72" s="104"/>
      <c r="E72" s="103">
        <v>1453</v>
      </c>
      <c r="F72" s="104"/>
      <c r="G72" s="103">
        <v>1472</v>
      </c>
      <c r="H72" s="104"/>
      <c r="I72" s="103">
        <v>1519</v>
      </c>
      <c r="J72" s="104"/>
    </row>
    <row r="73" spans="1:10" x14ac:dyDescent="0.3">
      <c r="A73" s="101" t="s">
        <v>15</v>
      </c>
      <c r="B73" s="102"/>
      <c r="C73" s="103">
        <v>4623</v>
      </c>
      <c r="D73" s="104"/>
      <c r="E73" s="103">
        <v>4727</v>
      </c>
      <c r="F73" s="104"/>
      <c r="G73" s="103">
        <v>4792</v>
      </c>
      <c r="H73" s="104"/>
      <c r="I73" s="103">
        <v>4837</v>
      </c>
      <c r="J73" s="104"/>
    </row>
    <row r="74" spans="1:10" x14ac:dyDescent="0.3">
      <c r="A74" s="107" t="s">
        <v>16</v>
      </c>
      <c r="B74" s="108"/>
      <c r="C74" s="103">
        <v>4824</v>
      </c>
      <c r="D74" s="104"/>
      <c r="E74" s="103">
        <v>4881</v>
      </c>
      <c r="F74" s="104"/>
      <c r="G74" s="103">
        <v>4921</v>
      </c>
      <c r="H74" s="104"/>
      <c r="I74" s="103">
        <v>5008</v>
      </c>
      <c r="J74" s="104"/>
    </row>
    <row r="75" spans="1:10" x14ac:dyDescent="0.3">
      <c r="A75" s="101" t="s">
        <v>17</v>
      </c>
      <c r="B75" s="102"/>
      <c r="C75" s="103">
        <v>7361</v>
      </c>
      <c r="D75" s="104"/>
      <c r="E75" s="103">
        <v>7645</v>
      </c>
      <c r="F75" s="104"/>
      <c r="G75" s="103">
        <v>7806</v>
      </c>
      <c r="H75" s="104"/>
      <c r="I75" s="103">
        <v>7930</v>
      </c>
      <c r="J75" s="104"/>
    </row>
    <row r="76" spans="1:10" x14ac:dyDescent="0.3">
      <c r="A76" s="107" t="s">
        <v>18</v>
      </c>
      <c r="B76" s="108"/>
      <c r="C76" s="103">
        <v>1582</v>
      </c>
      <c r="D76" s="104"/>
      <c r="E76" s="103">
        <v>1602</v>
      </c>
      <c r="F76" s="104"/>
      <c r="G76" s="103">
        <v>1610</v>
      </c>
      <c r="H76" s="104"/>
      <c r="I76" s="103">
        <v>1634</v>
      </c>
      <c r="J76" s="104"/>
    </row>
    <row r="77" spans="1:10" x14ac:dyDescent="0.3">
      <c r="A77" s="101" t="s">
        <v>19</v>
      </c>
      <c r="B77" s="102"/>
      <c r="C77" s="103">
        <v>5778</v>
      </c>
      <c r="D77" s="104"/>
      <c r="E77" s="103">
        <v>5885</v>
      </c>
      <c r="F77" s="104"/>
      <c r="G77" s="103">
        <v>5920</v>
      </c>
      <c r="H77" s="104"/>
      <c r="I77" s="103">
        <v>6006</v>
      </c>
      <c r="J77" s="104"/>
    </row>
    <row r="78" spans="1:10" x14ac:dyDescent="0.3">
      <c r="A78" s="105" t="s">
        <v>42</v>
      </c>
      <c r="B78" s="106"/>
      <c r="C78" s="103">
        <f>SUM(C69:C77)</f>
        <v>68406</v>
      </c>
      <c r="D78" s="104"/>
      <c r="E78" s="103">
        <f>SUM(E69:E77)</f>
        <v>69572</v>
      </c>
      <c r="F78" s="104"/>
      <c r="G78" s="103">
        <f>SUM(G69:G77)</f>
        <v>70329</v>
      </c>
      <c r="H78" s="104"/>
      <c r="I78" s="103">
        <f>SUM(I69:I77)</f>
        <v>71416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670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2">
        <v>7846</v>
      </c>
      <c r="D5" s="192"/>
      <c r="E5" s="192">
        <v>77</v>
      </c>
      <c r="F5" s="192"/>
      <c r="G5" s="192">
        <v>1042</v>
      </c>
      <c r="H5" s="192"/>
      <c r="I5" s="195">
        <v>75</v>
      </c>
      <c r="J5" s="196"/>
      <c r="K5" s="216">
        <v>0</v>
      </c>
      <c r="L5" s="217"/>
      <c r="M5" s="56">
        <v>8390</v>
      </c>
      <c r="N5" s="53">
        <v>1920</v>
      </c>
      <c r="O5" s="88">
        <v>701</v>
      </c>
      <c r="P5" s="53">
        <v>14177</v>
      </c>
      <c r="Q5" s="89">
        <v>13801</v>
      </c>
      <c r="R5" s="80" t="s">
        <v>672</v>
      </c>
    </row>
    <row r="6" spans="1:18" x14ac:dyDescent="0.3">
      <c r="A6" s="211" t="s">
        <v>11</v>
      </c>
      <c r="B6" s="212"/>
      <c r="C6" s="427">
        <v>1070</v>
      </c>
      <c r="D6" s="428"/>
      <c r="E6" s="427">
        <v>0</v>
      </c>
      <c r="F6" s="428"/>
      <c r="G6" s="427">
        <v>0</v>
      </c>
      <c r="H6" s="428"/>
      <c r="I6" s="427">
        <v>0</v>
      </c>
      <c r="J6" s="428"/>
      <c r="K6" s="427">
        <v>0</v>
      </c>
      <c r="L6" s="428"/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80"/>
    </row>
    <row r="7" spans="1:18" x14ac:dyDescent="0.3">
      <c r="A7" s="101" t="s">
        <v>12</v>
      </c>
      <c r="B7" s="102"/>
      <c r="C7" s="210">
        <v>334</v>
      </c>
      <c r="D7" s="210"/>
      <c r="E7" s="210">
        <v>358</v>
      </c>
      <c r="F7" s="210"/>
      <c r="G7" s="210">
        <v>231</v>
      </c>
      <c r="H7" s="210"/>
      <c r="I7" s="149">
        <v>137</v>
      </c>
      <c r="J7" s="150"/>
      <c r="K7" s="149">
        <v>19</v>
      </c>
      <c r="L7" s="150"/>
      <c r="M7" s="52">
        <v>582</v>
      </c>
      <c r="N7" s="52">
        <v>30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244</v>
      </c>
      <c r="D8" s="210"/>
      <c r="E8" s="210">
        <v>209</v>
      </c>
      <c r="F8" s="210"/>
      <c r="G8" s="210">
        <v>0</v>
      </c>
      <c r="H8" s="210"/>
      <c r="I8" s="149">
        <v>94</v>
      </c>
      <c r="J8" s="150"/>
      <c r="K8" s="149">
        <v>0</v>
      </c>
      <c r="L8" s="150"/>
      <c r="M8" s="52">
        <v>213</v>
      </c>
      <c r="N8" s="52">
        <v>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472</v>
      </c>
      <c r="D9" s="210"/>
      <c r="E9" s="210">
        <v>92</v>
      </c>
      <c r="F9" s="210"/>
      <c r="G9" s="210">
        <v>47</v>
      </c>
      <c r="H9" s="210"/>
      <c r="I9" s="149">
        <v>219</v>
      </c>
      <c r="J9" s="150"/>
      <c r="K9" s="149">
        <v>0</v>
      </c>
      <c r="L9" s="150"/>
      <c r="M9" s="52">
        <v>254</v>
      </c>
      <c r="N9" s="52">
        <v>63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287</v>
      </c>
      <c r="D10" s="210"/>
      <c r="E10" s="210">
        <v>220</v>
      </c>
      <c r="F10" s="210"/>
      <c r="G10" s="210">
        <v>82</v>
      </c>
      <c r="H10" s="210"/>
      <c r="I10" s="149">
        <v>20</v>
      </c>
      <c r="J10" s="150"/>
      <c r="K10" s="149">
        <v>0</v>
      </c>
      <c r="L10" s="150"/>
      <c r="M10" s="52">
        <v>333</v>
      </c>
      <c r="N10" s="52">
        <v>70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380</v>
      </c>
      <c r="D11" s="209"/>
      <c r="E11" s="210">
        <v>175</v>
      </c>
      <c r="F11" s="210"/>
      <c r="G11" s="210">
        <v>13</v>
      </c>
      <c r="H11" s="210"/>
      <c r="I11" s="149">
        <v>98</v>
      </c>
      <c r="J11" s="150"/>
      <c r="K11" s="149">
        <v>0</v>
      </c>
      <c r="L11" s="150"/>
      <c r="M11" s="52">
        <v>162</v>
      </c>
      <c r="N11" s="52">
        <v>171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231</v>
      </c>
      <c r="D12" s="209"/>
      <c r="E12" s="210">
        <v>26</v>
      </c>
      <c r="F12" s="210"/>
      <c r="G12" s="210">
        <v>10</v>
      </c>
      <c r="H12" s="210"/>
      <c r="I12" s="149">
        <v>18</v>
      </c>
      <c r="J12" s="150"/>
      <c r="K12" s="149">
        <v>0</v>
      </c>
      <c r="L12" s="150"/>
      <c r="M12" s="52">
        <v>180</v>
      </c>
      <c r="N12" s="52">
        <v>74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275</v>
      </c>
      <c r="D13" s="150"/>
      <c r="E13" s="149">
        <v>126</v>
      </c>
      <c r="F13" s="150"/>
      <c r="G13" s="149">
        <v>0</v>
      </c>
      <c r="H13" s="150"/>
      <c r="I13" s="149">
        <v>121</v>
      </c>
      <c r="J13" s="150"/>
      <c r="K13" s="149">
        <v>0</v>
      </c>
      <c r="L13" s="150"/>
      <c r="M13" s="52">
        <v>80</v>
      </c>
      <c r="N13" s="52">
        <v>38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279</v>
      </c>
      <c r="D14" s="206"/>
      <c r="E14" s="205">
        <v>43</v>
      </c>
      <c r="F14" s="206"/>
      <c r="G14" s="205">
        <v>59</v>
      </c>
      <c r="H14" s="206"/>
      <c r="I14" s="149">
        <v>81</v>
      </c>
      <c r="J14" s="150"/>
      <c r="K14" s="205">
        <v>0</v>
      </c>
      <c r="L14" s="206"/>
      <c r="M14" s="59">
        <v>171</v>
      </c>
      <c r="N14" s="59">
        <v>27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728</v>
      </c>
      <c r="P15" s="52">
        <v>1719</v>
      </c>
      <c r="Q15" s="63">
        <v>1272</v>
      </c>
    </row>
    <row r="16" spans="1:18" ht="15" thickBot="1" x14ac:dyDescent="0.35">
      <c r="A16" s="199" t="s">
        <v>20</v>
      </c>
      <c r="B16" s="200"/>
      <c r="C16" s="201">
        <f>SUM(C5:D15)</f>
        <v>11418</v>
      </c>
      <c r="D16" s="202"/>
      <c r="E16" s="201">
        <f>SUM(E5:F15)</f>
        <v>1326</v>
      </c>
      <c r="F16" s="202"/>
      <c r="G16" s="201">
        <f>SUM(G5:H15)</f>
        <v>1484</v>
      </c>
      <c r="H16" s="202"/>
      <c r="I16" s="201">
        <f>SUM(I5:J15)</f>
        <v>863</v>
      </c>
      <c r="J16" s="202"/>
      <c r="K16" s="201">
        <f>SUM(K5:L15)</f>
        <v>19</v>
      </c>
      <c r="L16" s="202"/>
      <c r="M16" s="4">
        <f>SUM(M5:M15)</f>
        <v>10365</v>
      </c>
      <c r="N16" s="4">
        <f>SUM(N5:N15)</f>
        <v>2398</v>
      </c>
      <c r="O16" s="4">
        <f>SUM(O5:O15)</f>
        <v>1511</v>
      </c>
      <c r="P16" s="4">
        <f>SUM(P5:P15)</f>
        <v>15931</v>
      </c>
      <c r="Q16" s="33">
        <f>SUM(Q5:Q15)</f>
        <v>15081</v>
      </c>
    </row>
    <row r="17" spans="1:18" ht="15" thickBot="1" x14ac:dyDescent="0.35">
      <c r="A17" s="190" t="s">
        <v>21</v>
      </c>
      <c r="B17" s="191"/>
      <c r="C17" s="192">
        <v>7846</v>
      </c>
      <c r="D17" s="192"/>
      <c r="E17" s="193">
        <v>77</v>
      </c>
      <c r="F17" s="194"/>
      <c r="G17" s="195">
        <v>1042</v>
      </c>
      <c r="H17" s="196"/>
      <c r="I17" s="195">
        <v>75</v>
      </c>
      <c r="J17" s="196"/>
      <c r="K17" s="197">
        <v>0</v>
      </c>
      <c r="L17" s="198"/>
      <c r="M17" s="36">
        <v>8370</v>
      </c>
      <c r="N17" s="30">
        <v>1920</v>
      </c>
      <c r="O17" s="86">
        <v>701</v>
      </c>
      <c r="P17" s="37">
        <v>14177</v>
      </c>
      <c r="Q17" s="87">
        <v>13801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670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376</v>
      </c>
      <c r="D25" s="162"/>
      <c r="E25" s="185" t="s">
        <v>389</v>
      </c>
      <c r="F25" s="186"/>
      <c r="G25" s="161">
        <v>0</v>
      </c>
      <c r="H25" s="162"/>
      <c r="I25" s="161">
        <v>2</v>
      </c>
      <c r="J25" s="162"/>
      <c r="K25" s="70">
        <v>0</v>
      </c>
      <c r="L25" s="78">
        <v>21</v>
      </c>
      <c r="M25" s="78">
        <v>5</v>
      </c>
      <c r="N25"/>
      <c r="O25"/>
    </row>
    <row r="26" spans="1:18" x14ac:dyDescent="0.3">
      <c r="A26" s="101" t="s">
        <v>13</v>
      </c>
      <c r="B26" s="102"/>
      <c r="C26" s="149">
        <v>54</v>
      </c>
      <c r="D26" s="150"/>
      <c r="E26" s="165" t="s">
        <v>25</v>
      </c>
      <c r="F26" s="166"/>
      <c r="G26" s="149">
        <v>0</v>
      </c>
      <c r="H26" s="150"/>
      <c r="I26" s="149">
        <v>134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234</v>
      </c>
      <c r="D27" s="150"/>
      <c r="E27" s="165" t="s">
        <v>644</v>
      </c>
      <c r="F27" s="166"/>
      <c r="G27" s="149">
        <v>27</v>
      </c>
      <c r="H27" s="150"/>
      <c r="I27" s="149">
        <v>67</v>
      </c>
      <c r="J27" s="150"/>
      <c r="K27" s="52">
        <v>4</v>
      </c>
      <c r="L27" s="79">
        <v>19</v>
      </c>
      <c r="M27" s="79">
        <v>4</v>
      </c>
      <c r="N27"/>
      <c r="O27"/>
    </row>
    <row r="28" spans="1:18" x14ac:dyDescent="0.3">
      <c r="A28" s="101" t="s">
        <v>15</v>
      </c>
      <c r="B28" s="102"/>
      <c r="C28" s="165" t="s">
        <v>668</v>
      </c>
      <c r="D28" s="166"/>
      <c r="E28" s="165" t="s">
        <v>90</v>
      </c>
      <c r="F28" s="166"/>
      <c r="G28" s="149">
        <v>0</v>
      </c>
      <c r="H28" s="150"/>
      <c r="I28" s="149">
        <v>7</v>
      </c>
      <c r="J28" s="150"/>
      <c r="K28" s="52">
        <v>3</v>
      </c>
      <c r="L28" s="81">
        <v>0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3</v>
      </c>
      <c r="D30" s="153"/>
      <c r="E30" s="165" t="s">
        <v>116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9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131</v>
      </c>
      <c r="D31" s="184"/>
      <c r="E31" s="165" t="s">
        <v>25</v>
      </c>
      <c r="F31" s="166"/>
      <c r="G31" s="149">
        <v>0</v>
      </c>
      <c r="H31" s="150"/>
      <c r="I31" s="149">
        <v>3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670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15</v>
      </c>
      <c r="D38" s="162"/>
      <c r="E38" s="163" t="s">
        <v>642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24</v>
      </c>
      <c r="M38" s="78">
        <v>7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674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654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669</v>
      </c>
      <c r="F41" s="155"/>
      <c r="G41" s="149">
        <v>28</v>
      </c>
      <c r="H41" s="150"/>
      <c r="I41" s="149">
        <v>0</v>
      </c>
      <c r="J41" s="150"/>
      <c r="K41" s="52">
        <v>0</v>
      </c>
      <c r="L41" s="79">
        <v>1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662</v>
      </c>
      <c r="D42" s="153"/>
      <c r="E42" s="154" t="s">
        <v>603</v>
      </c>
      <c r="F42" s="155"/>
      <c r="G42" s="149">
        <v>0</v>
      </c>
      <c r="H42" s="150"/>
      <c r="I42" s="149" t="s">
        <v>631</v>
      </c>
      <c r="J42" s="150"/>
      <c r="K42" s="52" t="s">
        <v>475</v>
      </c>
      <c r="L42" s="79">
        <v>4</v>
      </c>
      <c r="M42" s="79">
        <v>0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675</v>
      </c>
      <c r="F43" s="150"/>
      <c r="G43" s="149">
        <v>0</v>
      </c>
      <c r="H43" s="150"/>
      <c r="I43" s="149">
        <v>2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673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2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639</v>
      </c>
      <c r="D49" s="146"/>
      <c r="E49" s="145" t="s">
        <v>649</v>
      </c>
      <c r="F49" s="146"/>
      <c r="G49" s="145" t="s">
        <v>660</v>
      </c>
      <c r="H49" s="146"/>
      <c r="I49" s="145" t="s">
        <v>670</v>
      </c>
      <c r="J49" s="146"/>
    </row>
    <row r="50" spans="1:11" x14ac:dyDescent="0.3">
      <c r="A50" s="120" t="s">
        <v>30</v>
      </c>
      <c r="B50" s="121"/>
      <c r="C50" s="136">
        <v>11525</v>
      </c>
      <c r="D50" s="137"/>
      <c r="E50" s="136">
        <v>11417</v>
      </c>
      <c r="F50" s="137"/>
      <c r="G50" s="136">
        <v>11310</v>
      </c>
      <c r="H50" s="137"/>
      <c r="I50" s="136">
        <v>11214</v>
      </c>
      <c r="J50" s="137"/>
    </row>
    <row r="51" spans="1:11" x14ac:dyDescent="0.3">
      <c r="A51" s="120" t="s">
        <v>31</v>
      </c>
      <c r="B51" s="121"/>
      <c r="C51" s="136">
        <v>10249</v>
      </c>
      <c r="D51" s="137"/>
      <c r="E51" s="136">
        <v>10278</v>
      </c>
      <c r="F51" s="137"/>
      <c r="G51" s="136">
        <v>10313</v>
      </c>
      <c r="H51" s="137"/>
      <c r="I51" s="136">
        <v>10347</v>
      </c>
      <c r="J51" s="137"/>
    </row>
    <row r="52" spans="1:11" x14ac:dyDescent="0.3">
      <c r="A52" s="120" t="s">
        <v>32</v>
      </c>
      <c r="B52" s="121"/>
      <c r="C52" s="136">
        <v>112211</v>
      </c>
      <c r="D52" s="137"/>
      <c r="E52" s="136">
        <v>112150</v>
      </c>
      <c r="F52" s="137"/>
      <c r="G52" s="136">
        <v>112068</v>
      </c>
      <c r="H52" s="137"/>
      <c r="I52" s="136">
        <v>112068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49556</v>
      </c>
      <c r="D54" s="137"/>
      <c r="E54" s="136">
        <v>49556</v>
      </c>
      <c r="F54" s="137"/>
      <c r="G54" s="136">
        <v>49508</v>
      </c>
      <c r="H54" s="137"/>
      <c r="I54" s="136">
        <v>49448</v>
      </c>
      <c r="J54" s="137"/>
    </row>
    <row r="55" spans="1:11" x14ac:dyDescent="0.3">
      <c r="A55" s="120" t="s">
        <v>53</v>
      </c>
      <c r="B55" s="121"/>
      <c r="C55" s="138">
        <v>4374</v>
      </c>
      <c r="D55" s="139"/>
      <c r="E55" s="138">
        <v>4379</v>
      </c>
      <c r="F55" s="139"/>
      <c r="G55" s="138">
        <v>4381</v>
      </c>
      <c r="H55" s="139"/>
      <c r="I55" s="138">
        <v>4377</v>
      </c>
      <c r="J55" s="139"/>
    </row>
    <row r="56" spans="1:11" x14ac:dyDescent="0.3">
      <c r="A56" s="120" t="s">
        <v>49</v>
      </c>
      <c r="B56" s="121"/>
      <c r="C56" s="136">
        <v>21301</v>
      </c>
      <c r="D56" s="137"/>
      <c r="E56" s="136">
        <v>21470</v>
      </c>
      <c r="F56" s="137"/>
      <c r="G56" s="136">
        <v>21630</v>
      </c>
      <c r="H56" s="137"/>
      <c r="I56" s="136">
        <v>21747</v>
      </c>
      <c r="J56" s="137"/>
      <c r="K56" s="51"/>
    </row>
    <row r="57" spans="1:11" x14ac:dyDescent="0.3">
      <c r="A57" s="120" t="s">
        <v>35</v>
      </c>
      <c r="B57" s="121"/>
      <c r="C57" s="138">
        <v>2864</v>
      </c>
      <c r="D57" s="139"/>
      <c r="E57" s="138">
        <v>2889</v>
      </c>
      <c r="F57" s="139"/>
      <c r="G57" s="138">
        <v>2971</v>
      </c>
      <c r="H57" s="139"/>
      <c r="I57" s="138">
        <v>3048</v>
      </c>
      <c r="J57" s="139"/>
    </row>
    <row r="58" spans="1:11" x14ac:dyDescent="0.3">
      <c r="A58" s="120" t="s">
        <v>36</v>
      </c>
      <c r="B58" s="121"/>
      <c r="C58" s="122">
        <f>SUM(C50:D57)</f>
        <v>212320</v>
      </c>
      <c r="D58" s="123"/>
      <c r="E58" s="122">
        <f>SUM(E50:F57)</f>
        <v>212379</v>
      </c>
      <c r="F58" s="123"/>
      <c r="G58" s="122">
        <f>SUM(G50:H57)</f>
        <v>212421</v>
      </c>
      <c r="H58" s="123"/>
      <c r="I58" s="122">
        <f>SUM(I50:J57)</f>
        <v>212489</v>
      </c>
      <c r="J58" s="123"/>
    </row>
    <row r="60" spans="1:11" x14ac:dyDescent="0.3">
      <c r="A60" s="124" t="s">
        <v>37</v>
      </c>
      <c r="B60" s="125"/>
      <c r="C60" s="130" t="s">
        <v>639</v>
      </c>
      <c r="D60" s="131"/>
      <c r="E60" s="130" t="s">
        <v>649</v>
      </c>
      <c r="F60" s="131"/>
      <c r="G60" s="130" t="s">
        <v>660</v>
      </c>
      <c r="H60" s="131"/>
      <c r="I60" s="130" t="s">
        <v>670</v>
      </c>
      <c r="J60" s="131"/>
    </row>
    <row r="61" spans="1:11" x14ac:dyDescent="0.3">
      <c r="A61" s="126"/>
      <c r="B61" s="127"/>
      <c r="C61" s="132">
        <v>139743</v>
      </c>
      <c r="D61" s="133"/>
      <c r="E61" s="132">
        <v>139809</v>
      </c>
      <c r="F61" s="133"/>
      <c r="G61" s="132">
        <v>139839</v>
      </c>
      <c r="H61" s="133"/>
      <c r="I61" s="132">
        <v>139869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548</v>
      </c>
      <c r="D66" s="115"/>
      <c r="E66" s="114" t="s">
        <v>577</v>
      </c>
      <c r="F66" s="115"/>
      <c r="G66" s="114" t="s">
        <v>628</v>
      </c>
      <c r="H66" s="115"/>
      <c r="I66" s="114" t="s">
        <v>671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30064</v>
      </c>
      <c r="D69" s="104"/>
      <c r="E69" s="103">
        <v>30398</v>
      </c>
      <c r="F69" s="104"/>
      <c r="G69" s="103">
        <v>30944</v>
      </c>
      <c r="H69" s="104"/>
      <c r="I69" s="103">
        <v>31898</v>
      </c>
      <c r="J69" s="104"/>
    </row>
    <row r="70" spans="1:10" x14ac:dyDescent="0.3">
      <c r="A70" s="101" t="s">
        <v>13</v>
      </c>
      <c r="B70" s="102"/>
      <c r="C70" s="103">
        <v>7077</v>
      </c>
      <c r="D70" s="104"/>
      <c r="E70" s="103">
        <v>7127</v>
      </c>
      <c r="F70" s="104"/>
      <c r="G70" s="103">
        <v>7193</v>
      </c>
      <c r="H70" s="104"/>
      <c r="I70" s="103">
        <v>7570</v>
      </c>
      <c r="J70" s="104"/>
    </row>
    <row r="71" spans="1:10" x14ac:dyDescent="0.3">
      <c r="A71" s="107" t="s">
        <v>14</v>
      </c>
      <c r="B71" s="108"/>
      <c r="C71" s="103">
        <v>6238</v>
      </c>
      <c r="D71" s="104"/>
      <c r="E71" s="103">
        <v>6283</v>
      </c>
      <c r="F71" s="104"/>
      <c r="G71" s="103">
        <v>6345</v>
      </c>
      <c r="H71" s="104"/>
      <c r="I71" s="103">
        <v>6438</v>
      </c>
      <c r="J71" s="104"/>
    </row>
    <row r="72" spans="1:10" x14ac:dyDescent="0.3">
      <c r="A72" s="107" t="s">
        <v>41</v>
      </c>
      <c r="B72" s="108"/>
      <c r="C72" s="103">
        <v>1453</v>
      </c>
      <c r="D72" s="104"/>
      <c r="E72" s="103">
        <v>1472</v>
      </c>
      <c r="F72" s="104"/>
      <c r="G72" s="103">
        <v>1519</v>
      </c>
      <c r="H72" s="104"/>
      <c r="I72" s="103">
        <v>1545</v>
      </c>
      <c r="J72" s="104"/>
    </row>
    <row r="73" spans="1:10" x14ac:dyDescent="0.3">
      <c r="A73" s="101" t="s">
        <v>15</v>
      </c>
      <c r="B73" s="102"/>
      <c r="C73" s="103">
        <v>4727</v>
      </c>
      <c r="D73" s="104"/>
      <c r="E73" s="103">
        <v>4792</v>
      </c>
      <c r="F73" s="104"/>
      <c r="G73" s="103">
        <v>4837</v>
      </c>
      <c r="H73" s="104"/>
      <c r="I73" s="103">
        <v>4907</v>
      </c>
      <c r="J73" s="104"/>
    </row>
    <row r="74" spans="1:10" x14ac:dyDescent="0.3">
      <c r="A74" s="107" t="s">
        <v>16</v>
      </c>
      <c r="B74" s="108"/>
      <c r="C74" s="103">
        <v>4881</v>
      </c>
      <c r="D74" s="104"/>
      <c r="E74" s="103">
        <v>4921</v>
      </c>
      <c r="F74" s="104"/>
      <c r="G74" s="103">
        <v>5008</v>
      </c>
      <c r="H74" s="104"/>
      <c r="I74" s="103">
        <v>5039</v>
      </c>
      <c r="J74" s="104"/>
    </row>
    <row r="75" spans="1:10" x14ac:dyDescent="0.3">
      <c r="A75" s="101" t="s">
        <v>17</v>
      </c>
      <c r="B75" s="102"/>
      <c r="C75" s="103">
        <v>7645</v>
      </c>
      <c r="D75" s="104"/>
      <c r="E75" s="103">
        <v>7806</v>
      </c>
      <c r="F75" s="104"/>
      <c r="G75" s="103">
        <v>7930</v>
      </c>
      <c r="H75" s="104"/>
      <c r="I75" s="103">
        <v>8036</v>
      </c>
      <c r="J75" s="104"/>
    </row>
    <row r="76" spans="1:10" x14ac:dyDescent="0.3">
      <c r="A76" s="107" t="s">
        <v>18</v>
      </c>
      <c r="B76" s="108"/>
      <c r="C76" s="103">
        <v>1602</v>
      </c>
      <c r="D76" s="104"/>
      <c r="E76" s="103">
        <v>1610</v>
      </c>
      <c r="F76" s="104"/>
      <c r="G76" s="103">
        <v>1634</v>
      </c>
      <c r="H76" s="104"/>
      <c r="I76" s="103">
        <v>1656</v>
      </c>
      <c r="J76" s="104"/>
    </row>
    <row r="77" spans="1:10" x14ac:dyDescent="0.3">
      <c r="A77" s="101" t="s">
        <v>19</v>
      </c>
      <c r="B77" s="102"/>
      <c r="C77" s="103">
        <v>5885</v>
      </c>
      <c r="D77" s="104"/>
      <c r="E77" s="103">
        <v>5920</v>
      </c>
      <c r="F77" s="104"/>
      <c r="G77" s="103">
        <v>6006</v>
      </c>
      <c r="H77" s="104"/>
      <c r="I77" s="103">
        <v>6113</v>
      </c>
      <c r="J77" s="104"/>
    </row>
    <row r="78" spans="1:10" x14ac:dyDescent="0.3">
      <c r="A78" s="105" t="s">
        <v>42</v>
      </c>
      <c r="B78" s="106"/>
      <c r="C78" s="103">
        <f>SUM(C69:C77)</f>
        <v>69572</v>
      </c>
      <c r="D78" s="104"/>
      <c r="E78" s="103">
        <f>SUM(E69:E77)</f>
        <v>70329</v>
      </c>
      <c r="F78" s="104"/>
      <c r="G78" s="103">
        <f>SUM(G69:G77)</f>
        <v>71416</v>
      </c>
      <c r="H78" s="104"/>
      <c r="I78" s="103">
        <f>SUM(I69:I77)</f>
        <v>73202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78"/>
  <sheetViews>
    <sheetView workbookViewId="0">
      <selection activeCell="R21" sqref="R21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676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192">
        <v>7806</v>
      </c>
      <c r="D5" s="192"/>
      <c r="E5" s="192">
        <v>52</v>
      </c>
      <c r="F5" s="192"/>
      <c r="G5" s="192">
        <v>1017</v>
      </c>
      <c r="H5" s="192"/>
      <c r="I5" s="195">
        <v>50</v>
      </c>
      <c r="J5" s="196"/>
      <c r="K5" s="216">
        <v>0</v>
      </c>
      <c r="L5" s="217"/>
      <c r="M5" s="56">
        <v>8370</v>
      </c>
      <c r="N5" s="53">
        <v>1920</v>
      </c>
      <c r="O5" s="88">
        <v>3380</v>
      </c>
      <c r="P5" s="53">
        <v>13667</v>
      </c>
      <c r="Q5" s="89">
        <v>13201</v>
      </c>
      <c r="R5" s="80"/>
    </row>
    <row r="6" spans="1:18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80"/>
    </row>
    <row r="7" spans="1:18" x14ac:dyDescent="0.3">
      <c r="A7" s="101" t="s">
        <v>12</v>
      </c>
      <c r="B7" s="102"/>
      <c r="C7" s="210">
        <v>302</v>
      </c>
      <c r="D7" s="210"/>
      <c r="E7" s="210">
        <v>354</v>
      </c>
      <c r="F7" s="210"/>
      <c r="G7" s="210">
        <v>188</v>
      </c>
      <c r="H7" s="210"/>
      <c r="I7" s="149">
        <v>121</v>
      </c>
      <c r="J7" s="150"/>
      <c r="K7" s="149">
        <v>18</v>
      </c>
      <c r="L7" s="150"/>
      <c r="M7" s="52">
        <v>526</v>
      </c>
      <c r="N7" s="52">
        <v>30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216</v>
      </c>
      <c r="D8" s="210"/>
      <c r="E8" s="210">
        <v>177</v>
      </c>
      <c r="F8" s="210"/>
      <c r="G8" s="210">
        <v>0</v>
      </c>
      <c r="H8" s="210"/>
      <c r="I8" s="149">
        <v>94</v>
      </c>
      <c r="J8" s="150"/>
      <c r="K8" s="149">
        <v>0</v>
      </c>
      <c r="L8" s="150"/>
      <c r="M8" s="52">
        <v>182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435</v>
      </c>
      <c r="D9" s="210"/>
      <c r="E9" s="210">
        <v>92</v>
      </c>
      <c r="F9" s="210"/>
      <c r="G9" s="210">
        <v>45</v>
      </c>
      <c r="H9" s="210"/>
      <c r="I9" s="149">
        <v>188</v>
      </c>
      <c r="J9" s="150"/>
      <c r="K9" s="149">
        <v>0</v>
      </c>
      <c r="L9" s="150"/>
      <c r="M9" s="52">
        <v>234</v>
      </c>
      <c r="N9" s="52">
        <v>63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260</v>
      </c>
      <c r="D10" s="210"/>
      <c r="E10" s="210">
        <v>190</v>
      </c>
      <c r="F10" s="210"/>
      <c r="G10" s="210">
        <v>78</v>
      </c>
      <c r="H10" s="210"/>
      <c r="I10" s="149">
        <v>20</v>
      </c>
      <c r="J10" s="150"/>
      <c r="K10" s="149">
        <v>0</v>
      </c>
      <c r="L10" s="150"/>
      <c r="M10" s="52">
        <v>310</v>
      </c>
      <c r="N10" s="52">
        <v>40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375</v>
      </c>
      <c r="D11" s="209"/>
      <c r="E11" s="210">
        <v>122</v>
      </c>
      <c r="F11" s="210"/>
      <c r="G11" s="210">
        <v>12</v>
      </c>
      <c r="H11" s="210"/>
      <c r="I11" s="149">
        <v>94</v>
      </c>
      <c r="J11" s="150"/>
      <c r="K11" s="149">
        <v>0</v>
      </c>
      <c r="L11" s="150"/>
      <c r="M11" s="52">
        <v>159</v>
      </c>
      <c r="N11" s="52">
        <v>167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211</v>
      </c>
      <c r="D12" s="209"/>
      <c r="E12" s="210">
        <v>41</v>
      </c>
      <c r="F12" s="210"/>
      <c r="G12" s="210">
        <v>33</v>
      </c>
      <c r="H12" s="210"/>
      <c r="I12" s="149">
        <v>38</v>
      </c>
      <c r="J12" s="150"/>
      <c r="K12" s="149">
        <v>0</v>
      </c>
      <c r="L12" s="150"/>
      <c r="M12" s="52">
        <v>160</v>
      </c>
      <c r="N12" s="52">
        <v>72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265</v>
      </c>
      <c r="D13" s="150"/>
      <c r="E13" s="149">
        <v>112</v>
      </c>
      <c r="F13" s="150"/>
      <c r="G13" s="149">
        <v>0</v>
      </c>
      <c r="H13" s="150"/>
      <c r="I13" s="149">
        <v>118</v>
      </c>
      <c r="J13" s="150"/>
      <c r="K13" s="149">
        <v>0</v>
      </c>
      <c r="L13" s="150"/>
      <c r="M13" s="52">
        <v>74</v>
      </c>
      <c r="N13" s="52">
        <v>36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303</v>
      </c>
      <c r="D14" s="206"/>
      <c r="E14" s="205">
        <v>53</v>
      </c>
      <c r="F14" s="206"/>
      <c r="G14" s="205">
        <v>57</v>
      </c>
      <c r="H14" s="206"/>
      <c r="I14" s="149">
        <v>60</v>
      </c>
      <c r="J14" s="150"/>
      <c r="K14" s="205">
        <v>0</v>
      </c>
      <c r="L14" s="206"/>
      <c r="M14" s="59">
        <v>142</v>
      </c>
      <c r="N14" s="59">
        <v>27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837</v>
      </c>
      <c r="P15" s="52">
        <v>2173</v>
      </c>
      <c r="Q15" s="63">
        <v>1755</v>
      </c>
    </row>
    <row r="16" spans="1:18" ht="15" thickBot="1" x14ac:dyDescent="0.35">
      <c r="A16" s="199" t="s">
        <v>20</v>
      </c>
      <c r="B16" s="200"/>
      <c r="C16" s="201">
        <f>SUM(C5:D15)</f>
        <v>11243</v>
      </c>
      <c r="D16" s="202"/>
      <c r="E16" s="201">
        <f>SUM(E5:F15)</f>
        <v>1193</v>
      </c>
      <c r="F16" s="202"/>
      <c r="G16" s="201">
        <f>SUM(G5:H15)</f>
        <v>1430</v>
      </c>
      <c r="H16" s="202"/>
      <c r="I16" s="201">
        <f>SUM(I5:J15)</f>
        <v>783</v>
      </c>
      <c r="J16" s="202"/>
      <c r="K16" s="201">
        <f>SUM(K5:L15)</f>
        <v>18</v>
      </c>
      <c r="L16" s="202"/>
      <c r="M16" s="4">
        <f>SUM(M5:M15)</f>
        <v>10157</v>
      </c>
      <c r="N16" s="4">
        <f>SUM(N5:N15)</f>
        <v>2370</v>
      </c>
      <c r="O16" s="4">
        <f>SUM(O5:O15)</f>
        <v>4299</v>
      </c>
      <c r="P16" s="4">
        <f>SUM(P5:P15)</f>
        <v>15875</v>
      </c>
      <c r="Q16" s="33">
        <f>SUM(Q5:Q15)</f>
        <v>14964</v>
      </c>
    </row>
    <row r="17" spans="1:18" ht="15" thickBot="1" x14ac:dyDescent="0.35">
      <c r="A17" s="190" t="s">
        <v>21</v>
      </c>
      <c r="B17" s="191"/>
      <c r="C17" s="192">
        <v>7806</v>
      </c>
      <c r="D17" s="192"/>
      <c r="E17" s="193">
        <v>52</v>
      </c>
      <c r="F17" s="194"/>
      <c r="G17" s="195">
        <v>817</v>
      </c>
      <c r="H17" s="196"/>
      <c r="I17" s="195">
        <v>50</v>
      </c>
      <c r="J17" s="196"/>
      <c r="K17" s="197">
        <v>0</v>
      </c>
      <c r="L17" s="198"/>
      <c r="M17" s="36">
        <v>8370</v>
      </c>
      <c r="N17" s="30">
        <v>1920</v>
      </c>
      <c r="O17" s="86">
        <v>3380</v>
      </c>
      <c r="P17" s="37">
        <v>13667</v>
      </c>
      <c r="Q17" s="87">
        <v>13201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676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389</v>
      </c>
      <c r="D25" s="162"/>
      <c r="E25" s="185" t="s">
        <v>591</v>
      </c>
      <c r="F25" s="186"/>
      <c r="G25" s="161">
        <v>0</v>
      </c>
      <c r="H25" s="162"/>
      <c r="I25" s="161">
        <v>2</v>
      </c>
      <c r="J25" s="162"/>
      <c r="K25" s="70">
        <v>0</v>
      </c>
      <c r="L25" s="78">
        <v>20</v>
      </c>
      <c r="M25" s="78">
        <v>4</v>
      </c>
      <c r="N25"/>
      <c r="O25"/>
    </row>
    <row r="26" spans="1:18" x14ac:dyDescent="0.3">
      <c r="A26" s="101" t="s">
        <v>13</v>
      </c>
      <c r="B26" s="102"/>
      <c r="C26" s="149">
        <v>55</v>
      </c>
      <c r="D26" s="150"/>
      <c r="E26" s="165" t="s">
        <v>25</v>
      </c>
      <c r="F26" s="166"/>
      <c r="G26" s="149">
        <v>0</v>
      </c>
      <c r="H26" s="150"/>
      <c r="I26" s="149">
        <v>135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228</v>
      </c>
      <c r="D27" s="150"/>
      <c r="E27" s="165" t="s">
        <v>644</v>
      </c>
      <c r="F27" s="166"/>
      <c r="G27" s="149">
        <v>27</v>
      </c>
      <c r="H27" s="150"/>
      <c r="I27" s="149">
        <v>67</v>
      </c>
      <c r="J27" s="150"/>
      <c r="K27" s="52">
        <v>4</v>
      </c>
      <c r="L27" s="79">
        <v>19</v>
      </c>
      <c r="M27" s="79">
        <v>4</v>
      </c>
      <c r="N27"/>
      <c r="O27"/>
    </row>
    <row r="28" spans="1:18" x14ac:dyDescent="0.3">
      <c r="A28" s="101" t="s">
        <v>15</v>
      </c>
      <c r="B28" s="102"/>
      <c r="C28" s="165" t="s">
        <v>668</v>
      </c>
      <c r="D28" s="166"/>
      <c r="E28" s="165" t="s">
        <v>90</v>
      </c>
      <c r="F28" s="166"/>
      <c r="G28" s="149">
        <v>0</v>
      </c>
      <c r="H28" s="150"/>
      <c r="I28" s="149">
        <v>1</v>
      </c>
      <c r="J28" s="150"/>
      <c r="K28" s="52">
        <v>3</v>
      </c>
      <c r="L28" s="81">
        <v>1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4</v>
      </c>
      <c r="D30" s="153"/>
      <c r="E30" s="165" t="s">
        <v>440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6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450</v>
      </c>
      <c r="D31" s="184"/>
      <c r="E31" s="165" t="s">
        <v>25</v>
      </c>
      <c r="F31" s="166"/>
      <c r="G31" s="149">
        <v>0</v>
      </c>
      <c r="H31" s="150"/>
      <c r="I31" s="149">
        <v>2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676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15</v>
      </c>
      <c r="D38" s="162"/>
      <c r="E38" s="163" t="s">
        <v>648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22</v>
      </c>
      <c r="M38" s="78">
        <v>5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681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679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669</v>
      </c>
      <c r="F41" s="155"/>
      <c r="G41" s="149">
        <v>28</v>
      </c>
      <c r="H41" s="150"/>
      <c r="I41" s="149">
        <v>0</v>
      </c>
      <c r="J41" s="150"/>
      <c r="K41" s="52">
        <v>0</v>
      </c>
      <c r="L41" s="79">
        <v>1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662</v>
      </c>
      <c r="D42" s="153"/>
      <c r="E42" s="154" t="s">
        <v>678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0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680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677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649</v>
      </c>
      <c r="D49" s="146"/>
      <c r="E49" s="145" t="s">
        <v>660</v>
      </c>
      <c r="F49" s="146"/>
      <c r="G49" s="145" t="s">
        <v>670</v>
      </c>
      <c r="H49" s="146"/>
      <c r="I49" s="145" t="s">
        <v>676</v>
      </c>
      <c r="J49" s="146"/>
    </row>
    <row r="50" spans="1:11" x14ac:dyDescent="0.3">
      <c r="A50" s="120" t="s">
        <v>30</v>
      </c>
      <c r="B50" s="121"/>
      <c r="C50" s="136">
        <v>11417</v>
      </c>
      <c r="D50" s="137"/>
      <c r="E50" s="136">
        <v>11310</v>
      </c>
      <c r="F50" s="137"/>
      <c r="G50" s="136">
        <v>11214</v>
      </c>
      <c r="H50" s="137"/>
      <c r="I50" s="136">
        <v>11128</v>
      </c>
      <c r="J50" s="137"/>
    </row>
    <row r="51" spans="1:11" x14ac:dyDescent="0.3">
      <c r="A51" s="120" t="s">
        <v>31</v>
      </c>
      <c r="B51" s="121"/>
      <c r="C51" s="136">
        <v>10278</v>
      </c>
      <c r="D51" s="137"/>
      <c r="E51" s="136">
        <v>10313</v>
      </c>
      <c r="F51" s="137"/>
      <c r="G51" s="136">
        <v>10347</v>
      </c>
      <c r="H51" s="137"/>
      <c r="I51" s="136">
        <v>10430</v>
      </c>
      <c r="J51" s="137"/>
    </row>
    <row r="52" spans="1:11" x14ac:dyDescent="0.3">
      <c r="A52" s="120" t="s">
        <v>32</v>
      </c>
      <c r="B52" s="121"/>
      <c r="C52" s="136">
        <v>112150</v>
      </c>
      <c r="D52" s="137"/>
      <c r="E52" s="136">
        <v>112068</v>
      </c>
      <c r="F52" s="137"/>
      <c r="G52" s="136">
        <v>112068</v>
      </c>
      <c r="H52" s="137"/>
      <c r="I52" s="136">
        <v>111906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49556</v>
      </c>
      <c r="D54" s="137"/>
      <c r="E54" s="136">
        <v>49508</v>
      </c>
      <c r="F54" s="137"/>
      <c r="G54" s="136">
        <v>49448</v>
      </c>
      <c r="H54" s="137"/>
      <c r="I54" s="136">
        <v>49390</v>
      </c>
      <c r="J54" s="137"/>
    </row>
    <row r="55" spans="1:11" x14ac:dyDescent="0.3">
      <c r="A55" s="120" t="s">
        <v>53</v>
      </c>
      <c r="B55" s="121"/>
      <c r="C55" s="138">
        <v>4379</v>
      </c>
      <c r="D55" s="139"/>
      <c r="E55" s="138">
        <v>4381</v>
      </c>
      <c r="F55" s="139"/>
      <c r="G55" s="138">
        <v>4377</v>
      </c>
      <c r="H55" s="139"/>
      <c r="I55" s="138">
        <v>4368</v>
      </c>
      <c r="J55" s="139"/>
    </row>
    <row r="56" spans="1:11" x14ac:dyDescent="0.3">
      <c r="A56" s="120" t="s">
        <v>49</v>
      </c>
      <c r="B56" s="121"/>
      <c r="C56" s="136">
        <v>21470</v>
      </c>
      <c r="D56" s="137"/>
      <c r="E56" s="136">
        <v>21630</v>
      </c>
      <c r="F56" s="137"/>
      <c r="G56" s="136">
        <v>21747</v>
      </c>
      <c r="H56" s="137"/>
      <c r="I56" s="136">
        <v>21819</v>
      </c>
      <c r="J56" s="137"/>
      <c r="K56" s="51"/>
    </row>
    <row r="57" spans="1:11" x14ac:dyDescent="0.3">
      <c r="A57" s="120" t="s">
        <v>35</v>
      </c>
      <c r="B57" s="121"/>
      <c r="C57" s="138">
        <v>2889</v>
      </c>
      <c r="D57" s="139"/>
      <c r="E57" s="138">
        <v>2971</v>
      </c>
      <c r="F57" s="139"/>
      <c r="G57" s="138">
        <v>3048</v>
      </c>
      <c r="H57" s="139"/>
      <c r="I57" s="138">
        <v>3118</v>
      </c>
      <c r="J57" s="139"/>
    </row>
    <row r="58" spans="1:11" x14ac:dyDescent="0.3">
      <c r="A58" s="120" t="s">
        <v>36</v>
      </c>
      <c r="B58" s="121"/>
      <c r="C58" s="122">
        <f>SUM(C50:D57)</f>
        <v>212379</v>
      </c>
      <c r="D58" s="123"/>
      <c r="E58" s="122">
        <f>SUM(E50:F57)</f>
        <v>212421</v>
      </c>
      <c r="F58" s="123"/>
      <c r="G58" s="122">
        <f>SUM(G50:H57)</f>
        <v>212489</v>
      </c>
      <c r="H58" s="123"/>
      <c r="I58" s="122">
        <f>SUM(I50:J57)</f>
        <v>212399</v>
      </c>
      <c r="J58" s="123"/>
    </row>
    <row r="60" spans="1:11" x14ac:dyDescent="0.3">
      <c r="A60" s="124" t="s">
        <v>37</v>
      </c>
      <c r="B60" s="125"/>
      <c r="C60" s="130" t="s">
        <v>649</v>
      </c>
      <c r="D60" s="131"/>
      <c r="E60" s="130" t="s">
        <v>660</v>
      </c>
      <c r="F60" s="131"/>
      <c r="G60" s="130" t="s">
        <v>670</v>
      </c>
      <c r="H60" s="131"/>
      <c r="I60" s="130" t="s">
        <v>676</v>
      </c>
      <c r="J60" s="131"/>
    </row>
    <row r="61" spans="1:11" x14ac:dyDescent="0.3">
      <c r="A61" s="126"/>
      <c r="B61" s="127"/>
      <c r="C61" s="132">
        <v>139809</v>
      </c>
      <c r="D61" s="133"/>
      <c r="E61" s="132">
        <v>139839</v>
      </c>
      <c r="F61" s="133"/>
      <c r="G61" s="132">
        <v>139869</v>
      </c>
      <c r="H61" s="133"/>
      <c r="I61" s="132">
        <v>139824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548</v>
      </c>
      <c r="D66" s="115"/>
      <c r="E66" s="114" t="s">
        <v>577</v>
      </c>
      <c r="F66" s="115"/>
      <c r="G66" s="114" t="s">
        <v>628</v>
      </c>
      <c r="H66" s="115"/>
      <c r="I66" s="114" t="s">
        <v>671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30064</v>
      </c>
      <c r="D69" s="104"/>
      <c r="E69" s="103">
        <v>30398</v>
      </c>
      <c r="F69" s="104"/>
      <c r="G69" s="103">
        <v>30944</v>
      </c>
      <c r="H69" s="104"/>
      <c r="I69" s="103">
        <v>31898</v>
      </c>
      <c r="J69" s="104"/>
    </row>
    <row r="70" spans="1:10" x14ac:dyDescent="0.3">
      <c r="A70" s="101" t="s">
        <v>13</v>
      </c>
      <c r="B70" s="102"/>
      <c r="C70" s="103">
        <v>7077</v>
      </c>
      <c r="D70" s="104"/>
      <c r="E70" s="103">
        <v>7127</v>
      </c>
      <c r="F70" s="104"/>
      <c r="G70" s="103">
        <v>7193</v>
      </c>
      <c r="H70" s="104"/>
      <c r="I70" s="103">
        <v>7570</v>
      </c>
      <c r="J70" s="104"/>
    </row>
    <row r="71" spans="1:10" x14ac:dyDescent="0.3">
      <c r="A71" s="107" t="s">
        <v>14</v>
      </c>
      <c r="B71" s="108"/>
      <c r="C71" s="103">
        <v>6238</v>
      </c>
      <c r="D71" s="104"/>
      <c r="E71" s="103">
        <v>6283</v>
      </c>
      <c r="F71" s="104"/>
      <c r="G71" s="103">
        <v>6345</v>
      </c>
      <c r="H71" s="104"/>
      <c r="I71" s="103">
        <v>6438</v>
      </c>
      <c r="J71" s="104"/>
    </row>
    <row r="72" spans="1:10" x14ac:dyDescent="0.3">
      <c r="A72" s="107" t="s">
        <v>41</v>
      </c>
      <c r="B72" s="108"/>
      <c r="C72" s="103">
        <v>1453</v>
      </c>
      <c r="D72" s="104"/>
      <c r="E72" s="103">
        <v>1472</v>
      </c>
      <c r="F72" s="104"/>
      <c r="G72" s="103">
        <v>1519</v>
      </c>
      <c r="H72" s="104"/>
      <c r="I72" s="103">
        <v>1545</v>
      </c>
      <c r="J72" s="104"/>
    </row>
    <row r="73" spans="1:10" x14ac:dyDescent="0.3">
      <c r="A73" s="101" t="s">
        <v>15</v>
      </c>
      <c r="B73" s="102"/>
      <c r="C73" s="103">
        <v>4727</v>
      </c>
      <c r="D73" s="104"/>
      <c r="E73" s="103">
        <v>4792</v>
      </c>
      <c r="F73" s="104"/>
      <c r="G73" s="103">
        <v>4837</v>
      </c>
      <c r="H73" s="104"/>
      <c r="I73" s="103">
        <v>4907</v>
      </c>
      <c r="J73" s="104"/>
    </row>
    <row r="74" spans="1:10" x14ac:dyDescent="0.3">
      <c r="A74" s="107" t="s">
        <v>16</v>
      </c>
      <c r="B74" s="108"/>
      <c r="C74" s="103">
        <v>4881</v>
      </c>
      <c r="D74" s="104"/>
      <c r="E74" s="103">
        <v>4921</v>
      </c>
      <c r="F74" s="104"/>
      <c r="G74" s="103">
        <v>5008</v>
      </c>
      <c r="H74" s="104"/>
      <c r="I74" s="103">
        <v>5039</v>
      </c>
      <c r="J74" s="104"/>
    </row>
    <row r="75" spans="1:10" x14ac:dyDescent="0.3">
      <c r="A75" s="101" t="s">
        <v>17</v>
      </c>
      <c r="B75" s="102"/>
      <c r="C75" s="103">
        <v>7645</v>
      </c>
      <c r="D75" s="104"/>
      <c r="E75" s="103">
        <v>7806</v>
      </c>
      <c r="F75" s="104"/>
      <c r="G75" s="103">
        <v>7930</v>
      </c>
      <c r="H75" s="104"/>
      <c r="I75" s="103">
        <v>8036</v>
      </c>
      <c r="J75" s="104"/>
    </row>
    <row r="76" spans="1:10" x14ac:dyDescent="0.3">
      <c r="A76" s="107" t="s">
        <v>18</v>
      </c>
      <c r="B76" s="108"/>
      <c r="C76" s="103">
        <v>1602</v>
      </c>
      <c r="D76" s="104"/>
      <c r="E76" s="103">
        <v>1610</v>
      </c>
      <c r="F76" s="104"/>
      <c r="G76" s="103">
        <v>1634</v>
      </c>
      <c r="H76" s="104"/>
      <c r="I76" s="103">
        <v>1656</v>
      </c>
      <c r="J76" s="104"/>
    </row>
    <row r="77" spans="1:10" x14ac:dyDescent="0.3">
      <c r="A77" s="101" t="s">
        <v>19</v>
      </c>
      <c r="B77" s="102"/>
      <c r="C77" s="103">
        <v>5885</v>
      </c>
      <c r="D77" s="104"/>
      <c r="E77" s="103">
        <v>5920</v>
      </c>
      <c r="F77" s="104"/>
      <c r="G77" s="103">
        <v>6006</v>
      </c>
      <c r="H77" s="104"/>
      <c r="I77" s="103">
        <v>6113</v>
      </c>
      <c r="J77" s="104"/>
    </row>
    <row r="78" spans="1:10" x14ac:dyDescent="0.3">
      <c r="A78" s="105" t="s">
        <v>42</v>
      </c>
      <c r="B78" s="106"/>
      <c r="C78" s="103">
        <f>SUM(C69:C77)</f>
        <v>69572</v>
      </c>
      <c r="D78" s="104"/>
      <c r="E78" s="103">
        <f>SUM(E69:E77)</f>
        <v>70329</v>
      </c>
      <c r="F78" s="104"/>
      <c r="G78" s="103">
        <f>SUM(G69:G77)</f>
        <v>71416</v>
      </c>
      <c r="H78" s="104"/>
      <c r="I78" s="103">
        <f>SUM(I69:I77)</f>
        <v>73202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R78"/>
  <sheetViews>
    <sheetView workbookViewId="0">
      <selection activeCell="Q23" sqref="Q23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682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5">
        <v>7706</v>
      </c>
      <c r="D5" s="215"/>
      <c r="E5" s="215">
        <v>40</v>
      </c>
      <c r="F5" s="215"/>
      <c r="G5" s="215">
        <v>781</v>
      </c>
      <c r="H5" s="215"/>
      <c r="I5" s="213">
        <v>38</v>
      </c>
      <c r="J5" s="214"/>
      <c r="K5" s="216">
        <v>0</v>
      </c>
      <c r="L5" s="217"/>
      <c r="M5" s="56">
        <v>8270</v>
      </c>
      <c r="N5" s="53">
        <v>1820</v>
      </c>
      <c r="O5" s="88">
        <v>2172</v>
      </c>
      <c r="P5" s="53">
        <v>13442</v>
      </c>
      <c r="Q5" s="89">
        <v>12826</v>
      </c>
      <c r="R5" s="80"/>
    </row>
    <row r="6" spans="1:18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80"/>
    </row>
    <row r="7" spans="1:18" x14ac:dyDescent="0.3">
      <c r="A7" s="101" t="s">
        <v>12</v>
      </c>
      <c r="B7" s="102"/>
      <c r="C7" s="210">
        <v>244</v>
      </c>
      <c r="D7" s="210"/>
      <c r="E7" s="210">
        <v>375</v>
      </c>
      <c r="F7" s="210"/>
      <c r="G7" s="210">
        <v>237</v>
      </c>
      <c r="H7" s="210"/>
      <c r="I7" s="149">
        <v>113</v>
      </c>
      <c r="J7" s="150"/>
      <c r="K7" s="149">
        <v>16</v>
      </c>
      <c r="L7" s="150"/>
      <c r="M7" s="52">
        <v>421</v>
      </c>
      <c r="N7" s="52">
        <v>29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155</v>
      </c>
      <c r="D8" s="210"/>
      <c r="E8" s="210">
        <v>131</v>
      </c>
      <c r="F8" s="210"/>
      <c r="G8" s="210">
        <v>0</v>
      </c>
      <c r="H8" s="210"/>
      <c r="I8" s="149">
        <v>92</v>
      </c>
      <c r="J8" s="150"/>
      <c r="K8" s="149">
        <v>0</v>
      </c>
      <c r="L8" s="150"/>
      <c r="M8" s="52">
        <v>172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329</v>
      </c>
      <c r="D9" s="210"/>
      <c r="E9" s="210">
        <v>90</v>
      </c>
      <c r="F9" s="210"/>
      <c r="G9" s="210">
        <v>43</v>
      </c>
      <c r="H9" s="210"/>
      <c r="I9" s="149">
        <v>158</v>
      </c>
      <c r="J9" s="150"/>
      <c r="K9" s="149">
        <v>0</v>
      </c>
      <c r="L9" s="150"/>
      <c r="M9" s="52">
        <v>222</v>
      </c>
      <c r="N9" s="52">
        <v>62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330</v>
      </c>
      <c r="D10" s="210"/>
      <c r="E10" s="210">
        <v>162</v>
      </c>
      <c r="F10" s="210"/>
      <c r="G10" s="210">
        <v>115</v>
      </c>
      <c r="H10" s="210"/>
      <c r="I10" s="149">
        <v>30</v>
      </c>
      <c r="J10" s="150"/>
      <c r="K10" s="149">
        <v>0</v>
      </c>
      <c r="L10" s="150"/>
      <c r="M10" s="52">
        <v>302</v>
      </c>
      <c r="N10" s="52">
        <v>110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370</v>
      </c>
      <c r="D11" s="209"/>
      <c r="E11" s="210">
        <v>92</v>
      </c>
      <c r="F11" s="210"/>
      <c r="G11" s="210">
        <v>3</v>
      </c>
      <c r="H11" s="210"/>
      <c r="I11" s="149">
        <v>91</v>
      </c>
      <c r="J11" s="150"/>
      <c r="K11" s="149">
        <v>0</v>
      </c>
      <c r="L11" s="150"/>
      <c r="M11" s="52">
        <v>151</v>
      </c>
      <c r="N11" s="52">
        <v>163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190</v>
      </c>
      <c r="D12" s="209"/>
      <c r="E12" s="210">
        <v>33</v>
      </c>
      <c r="F12" s="210"/>
      <c r="G12" s="210">
        <v>31</v>
      </c>
      <c r="H12" s="210"/>
      <c r="I12" s="149">
        <v>31</v>
      </c>
      <c r="J12" s="150"/>
      <c r="K12" s="149">
        <v>0</v>
      </c>
      <c r="L12" s="150"/>
      <c r="M12" s="52">
        <v>142</v>
      </c>
      <c r="N12" s="52">
        <v>69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252</v>
      </c>
      <c r="D13" s="150"/>
      <c r="E13" s="149">
        <v>98</v>
      </c>
      <c r="F13" s="150"/>
      <c r="G13" s="149">
        <v>0</v>
      </c>
      <c r="H13" s="150"/>
      <c r="I13" s="149">
        <v>116</v>
      </c>
      <c r="J13" s="150"/>
      <c r="K13" s="149">
        <v>0</v>
      </c>
      <c r="L13" s="150"/>
      <c r="M13" s="52">
        <v>70</v>
      </c>
      <c r="N13" s="52">
        <v>36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278</v>
      </c>
      <c r="D14" s="206"/>
      <c r="E14" s="205">
        <v>53</v>
      </c>
      <c r="F14" s="206"/>
      <c r="G14" s="205">
        <v>56</v>
      </c>
      <c r="H14" s="206"/>
      <c r="I14" s="149">
        <v>48</v>
      </c>
      <c r="J14" s="150"/>
      <c r="K14" s="205">
        <v>0</v>
      </c>
      <c r="L14" s="206"/>
      <c r="M14" s="59">
        <v>119</v>
      </c>
      <c r="N14" s="59">
        <v>27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2122</v>
      </c>
      <c r="P15" s="52">
        <v>2236</v>
      </c>
      <c r="Q15" s="63">
        <v>1920</v>
      </c>
    </row>
    <row r="16" spans="1:18" ht="15" thickBot="1" x14ac:dyDescent="0.35">
      <c r="A16" s="199" t="s">
        <v>20</v>
      </c>
      <c r="B16" s="200"/>
      <c r="C16" s="201">
        <f>SUM(C5:D15)</f>
        <v>10924</v>
      </c>
      <c r="D16" s="202"/>
      <c r="E16" s="201">
        <f>SUM(E5:F15)</f>
        <v>1074</v>
      </c>
      <c r="F16" s="202"/>
      <c r="G16" s="201">
        <f>SUM(G5:H15)</f>
        <v>1266</v>
      </c>
      <c r="H16" s="202"/>
      <c r="I16" s="201">
        <f>SUM(I5:J15)</f>
        <v>717</v>
      </c>
      <c r="J16" s="202"/>
      <c r="K16" s="201">
        <f>SUM(K5:L15)</f>
        <v>16</v>
      </c>
      <c r="L16" s="202"/>
      <c r="M16" s="4">
        <f>SUM(M5:M15)</f>
        <v>9869</v>
      </c>
      <c r="N16" s="4">
        <f>SUM(N5:N15)</f>
        <v>2331</v>
      </c>
      <c r="O16" s="4">
        <f>SUM(O5:O15)</f>
        <v>4376</v>
      </c>
      <c r="P16" s="4">
        <f>SUM(P5:P15)</f>
        <v>15713</v>
      </c>
      <c r="Q16" s="33">
        <f>SUM(Q5:Q15)</f>
        <v>14754</v>
      </c>
    </row>
    <row r="17" spans="1:18" ht="15" thickBot="1" x14ac:dyDescent="0.35">
      <c r="A17" s="190" t="s">
        <v>21</v>
      </c>
      <c r="B17" s="191"/>
      <c r="C17" s="192">
        <v>7706</v>
      </c>
      <c r="D17" s="192"/>
      <c r="E17" s="193">
        <v>40</v>
      </c>
      <c r="F17" s="194"/>
      <c r="G17" s="195">
        <v>781</v>
      </c>
      <c r="H17" s="196"/>
      <c r="I17" s="195">
        <v>38</v>
      </c>
      <c r="J17" s="196"/>
      <c r="K17" s="197">
        <v>0</v>
      </c>
      <c r="L17" s="198"/>
      <c r="M17" s="36">
        <v>8270</v>
      </c>
      <c r="N17" s="30">
        <v>1820</v>
      </c>
      <c r="O17" s="86">
        <v>2172</v>
      </c>
      <c r="P17" s="37">
        <v>13442</v>
      </c>
      <c r="Q17" s="87">
        <v>12826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682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392</v>
      </c>
      <c r="D25" s="162"/>
      <c r="E25" s="185" t="s">
        <v>591</v>
      </c>
      <c r="F25" s="186"/>
      <c r="G25" s="161">
        <v>0</v>
      </c>
      <c r="H25" s="162"/>
      <c r="I25" s="161">
        <v>5</v>
      </c>
      <c r="J25" s="162"/>
      <c r="K25" s="70">
        <v>0</v>
      </c>
      <c r="L25" s="78">
        <v>18</v>
      </c>
      <c r="M25" s="78">
        <v>3</v>
      </c>
      <c r="N25"/>
      <c r="O25"/>
    </row>
    <row r="26" spans="1:18" x14ac:dyDescent="0.3">
      <c r="A26" s="101" t="s">
        <v>13</v>
      </c>
      <c r="B26" s="102"/>
      <c r="C26" s="149">
        <v>46</v>
      </c>
      <c r="D26" s="150"/>
      <c r="E26" s="165" t="s">
        <v>25</v>
      </c>
      <c r="F26" s="166"/>
      <c r="G26" s="149">
        <v>0</v>
      </c>
      <c r="H26" s="150"/>
      <c r="I26" s="149">
        <v>144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225</v>
      </c>
      <c r="D27" s="150"/>
      <c r="E27" s="165" t="s">
        <v>684</v>
      </c>
      <c r="F27" s="166"/>
      <c r="G27" s="149">
        <v>28</v>
      </c>
      <c r="H27" s="150"/>
      <c r="I27" s="149">
        <v>70</v>
      </c>
      <c r="J27" s="150"/>
      <c r="K27" s="52">
        <v>4</v>
      </c>
      <c r="L27" s="79">
        <v>18</v>
      </c>
      <c r="M27" s="79">
        <v>4</v>
      </c>
      <c r="N27"/>
      <c r="O27"/>
    </row>
    <row r="28" spans="1:18" x14ac:dyDescent="0.3">
      <c r="A28" s="101" t="s">
        <v>15</v>
      </c>
      <c r="B28" s="102"/>
      <c r="C28" s="165" t="s">
        <v>688</v>
      </c>
      <c r="D28" s="166"/>
      <c r="E28" s="165" t="s">
        <v>90</v>
      </c>
      <c r="F28" s="166"/>
      <c r="G28" s="149">
        <v>0</v>
      </c>
      <c r="H28" s="150"/>
      <c r="I28" s="149">
        <v>3</v>
      </c>
      <c r="J28" s="150"/>
      <c r="K28" s="52">
        <v>3</v>
      </c>
      <c r="L28" s="81">
        <v>5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536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4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1</v>
      </c>
      <c r="D30" s="153"/>
      <c r="E30" s="165" t="s">
        <v>450</v>
      </c>
      <c r="F30" s="166"/>
      <c r="G30" s="149">
        <v>0</v>
      </c>
      <c r="H30" s="150"/>
      <c r="I30" s="149">
        <v>4</v>
      </c>
      <c r="J30" s="150"/>
      <c r="K30" s="52">
        <v>0</v>
      </c>
      <c r="L30" s="79">
        <v>2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106</v>
      </c>
      <c r="D31" s="184"/>
      <c r="E31" s="165" t="s">
        <v>25</v>
      </c>
      <c r="F31" s="166"/>
      <c r="G31" s="149">
        <v>0</v>
      </c>
      <c r="H31" s="150"/>
      <c r="I31" s="149">
        <v>4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682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13</v>
      </c>
      <c r="D38" s="162"/>
      <c r="E38" s="163" t="s">
        <v>642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1</v>
      </c>
      <c r="M38" s="78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687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589</v>
      </c>
      <c r="D40" s="150"/>
      <c r="E40" s="154" t="s">
        <v>685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5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669</v>
      </c>
      <c r="F41" s="155"/>
      <c r="G41" s="149">
        <v>28</v>
      </c>
      <c r="H41" s="150"/>
      <c r="I41" s="149">
        <v>0</v>
      </c>
      <c r="J41" s="150"/>
      <c r="K41" s="52">
        <v>0</v>
      </c>
      <c r="L41" s="79">
        <v>2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662</v>
      </c>
      <c r="D42" s="153"/>
      <c r="E42" s="154" t="s">
        <v>678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0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686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683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660</v>
      </c>
      <c r="D49" s="146"/>
      <c r="E49" s="145" t="s">
        <v>670</v>
      </c>
      <c r="F49" s="146"/>
      <c r="G49" s="145" t="s">
        <v>676</v>
      </c>
      <c r="H49" s="146"/>
      <c r="I49" s="145" t="s">
        <v>682</v>
      </c>
      <c r="J49" s="146"/>
    </row>
    <row r="50" spans="1:11" x14ac:dyDescent="0.3">
      <c r="A50" s="120" t="s">
        <v>30</v>
      </c>
      <c r="B50" s="121"/>
      <c r="C50" s="136">
        <v>11310</v>
      </c>
      <c r="D50" s="137"/>
      <c r="E50" s="136">
        <v>11214</v>
      </c>
      <c r="F50" s="137"/>
      <c r="G50" s="136">
        <v>11128</v>
      </c>
      <c r="H50" s="137"/>
      <c r="I50" s="136">
        <v>11049</v>
      </c>
      <c r="J50" s="137"/>
    </row>
    <row r="51" spans="1:11" x14ac:dyDescent="0.3">
      <c r="A51" s="120" t="s">
        <v>31</v>
      </c>
      <c r="B51" s="121"/>
      <c r="C51" s="136">
        <v>10313</v>
      </c>
      <c r="D51" s="137"/>
      <c r="E51" s="136">
        <v>10347</v>
      </c>
      <c r="F51" s="137"/>
      <c r="G51" s="136">
        <v>10430</v>
      </c>
      <c r="H51" s="137"/>
      <c r="I51" s="136">
        <v>10529</v>
      </c>
      <c r="J51" s="137"/>
    </row>
    <row r="52" spans="1:11" x14ac:dyDescent="0.3">
      <c r="A52" s="120" t="s">
        <v>32</v>
      </c>
      <c r="B52" s="121"/>
      <c r="C52" s="136">
        <v>112068</v>
      </c>
      <c r="D52" s="137"/>
      <c r="E52" s="136">
        <v>112068</v>
      </c>
      <c r="F52" s="137"/>
      <c r="G52" s="136">
        <v>111906</v>
      </c>
      <c r="H52" s="137"/>
      <c r="I52" s="136">
        <v>111839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49508</v>
      </c>
      <c r="D54" s="137"/>
      <c r="E54" s="136">
        <v>49448</v>
      </c>
      <c r="F54" s="137"/>
      <c r="G54" s="136">
        <v>49390</v>
      </c>
      <c r="H54" s="137"/>
      <c r="I54" s="136">
        <v>49373</v>
      </c>
      <c r="J54" s="137"/>
    </row>
    <row r="55" spans="1:11" x14ac:dyDescent="0.3">
      <c r="A55" s="120" t="s">
        <v>53</v>
      </c>
      <c r="B55" s="121"/>
      <c r="C55" s="138">
        <v>4381</v>
      </c>
      <c r="D55" s="139"/>
      <c r="E55" s="138">
        <v>4377</v>
      </c>
      <c r="F55" s="139"/>
      <c r="G55" s="138">
        <v>4368</v>
      </c>
      <c r="H55" s="139"/>
      <c r="I55" s="138">
        <v>4371</v>
      </c>
      <c r="J55" s="139"/>
    </row>
    <row r="56" spans="1:11" x14ac:dyDescent="0.3">
      <c r="A56" s="120" t="s">
        <v>49</v>
      </c>
      <c r="B56" s="121"/>
      <c r="C56" s="136">
        <v>21630</v>
      </c>
      <c r="D56" s="137"/>
      <c r="E56" s="136">
        <v>21747</v>
      </c>
      <c r="F56" s="137"/>
      <c r="G56" s="136">
        <v>21819</v>
      </c>
      <c r="H56" s="137"/>
      <c r="I56" s="136">
        <v>21916</v>
      </c>
      <c r="J56" s="137"/>
      <c r="K56" s="51"/>
    </row>
    <row r="57" spans="1:11" x14ac:dyDescent="0.3">
      <c r="A57" s="120" t="s">
        <v>35</v>
      </c>
      <c r="B57" s="121"/>
      <c r="C57" s="138">
        <v>2971</v>
      </c>
      <c r="D57" s="139"/>
      <c r="E57" s="138">
        <v>3048</v>
      </c>
      <c r="F57" s="139"/>
      <c r="G57" s="138">
        <v>3118</v>
      </c>
      <c r="H57" s="139"/>
      <c r="I57" s="138">
        <v>3185</v>
      </c>
      <c r="J57" s="139"/>
    </row>
    <row r="58" spans="1:11" x14ac:dyDescent="0.3">
      <c r="A58" s="120" t="s">
        <v>36</v>
      </c>
      <c r="B58" s="121"/>
      <c r="C58" s="122">
        <f>SUM(C50:D57)</f>
        <v>212421</v>
      </c>
      <c r="D58" s="123"/>
      <c r="E58" s="122">
        <f>SUM(E50:F57)</f>
        <v>212489</v>
      </c>
      <c r="F58" s="123"/>
      <c r="G58" s="122">
        <f>SUM(G50:H57)</f>
        <v>212399</v>
      </c>
      <c r="H58" s="123"/>
      <c r="I58" s="122">
        <f>SUM(I50:J57)</f>
        <v>212502</v>
      </c>
      <c r="J58" s="123"/>
    </row>
    <row r="60" spans="1:11" x14ac:dyDescent="0.3">
      <c r="A60" s="124" t="s">
        <v>37</v>
      </c>
      <c r="B60" s="125"/>
      <c r="C60" s="130" t="s">
        <v>660</v>
      </c>
      <c r="D60" s="131"/>
      <c r="E60" s="130" t="s">
        <v>670</v>
      </c>
      <c r="F60" s="131"/>
      <c r="G60" s="130" t="s">
        <v>676</v>
      </c>
      <c r="H60" s="131"/>
      <c r="I60" s="130" t="s">
        <v>682</v>
      </c>
      <c r="J60" s="131"/>
    </row>
    <row r="61" spans="1:11" x14ac:dyDescent="0.3">
      <c r="A61" s="126"/>
      <c r="B61" s="127"/>
      <c r="C61" s="132">
        <v>139839</v>
      </c>
      <c r="D61" s="133"/>
      <c r="E61" s="132">
        <v>139869</v>
      </c>
      <c r="F61" s="133"/>
      <c r="G61" s="132">
        <v>139824</v>
      </c>
      <c r="H61" s="133"/>
      <c r="I61" s="132">
        <v>139907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548</v>
      </c>
      <c r="D66" s="115"/>
      <c r="E66" s="114" t="s">
        <v>577</v>
      </c>
      <c r="F66" s="115"/>
      <c r="G66" s="114" t="s">
        <v>628</v>
      </c>
      <c r="H66" s="115"/>
      <c r="I66" s="114" t="s">
        <v>671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30064</v>
      </c>
      <c r="D69" s="104"/>
      <c r="E69" s="103">
        <v>30398</v>
      </c>
      <c r="F69" s="104"/>
      <c r="G69" s="103">
        <v>30944</v>
      </c>
      <c r="H69" s="104"/>
      <c r="I69" s="103">
        <v>31898</v>
      </c>
      <c r="J69" s="104"/>
    </row>
    <row r="70" spans="1:10" x14ac:dyDescent="0.3">
      <c r="A70" s="101" t="s">
        <v>13</v>
      </c>
      <c r="B70" s="102"/>
      <c r="C70" s="103">
        <v>7077</v>
      </c>
      <c r="D70" s="104"/>
      <c r="E70" s="103">
        <v>7127</v>
      </c>
      <c r="F70" s="104"/>
      <c r="G70" s="103">
        <v>7193</v>
      </c>
      <c r="H70" s="104"/>
      <c r="I70" s="103">
        <v>7570</v>
      </c>
      <c r="J70" s="104"/>
    </row>
    <row r="71" spans="1:10" x14ac:dyDescent="0.3">
      <c r="A71" s="107" t="s">
        <v>14</v>
      </c>
      <c r="B71" s="108"/>
      <c r="C71" s="103">
        <v>6238</v>
      </c>
      <c r="D71" s="104"/>
      <c r="E71" s="103">
        <v>6283</v>
      </c>
      <c r="F71" s="104"/>
      <c r="G71" s="103">
        <v>6345</v>
      </c>
      <c r="H71" s="104"/>
      <c r="I71" s="103">
        <v>6438</v>
      </c>
      <c r="J71" s="104"/>
    </row>
    <row r="72" spans="1:10" x14ac:dyDescent="0.3">
      <c r="A72" s="107" t="s">
        <v>41</v>
      </c>
      <c r="B72" s="108"/>
      <c r="C72" s="103">
        <v>1453</v>
      </c>
      <c r="D72" s="104"/>
      <c r="E72" s="103">
        <v>1472</v>
      </c>
      <c r="F72" s="104"/>
      <c r="G72" s="103">
        <v>1519</v>
      </c>
      <c r="H72" s="104"/>
      <c r="I72" s="103">
        <v>1545</v>
      </c>
      <c r="J72" s="104"/>
    </row>
    <row r="73" spans="1:10" x14ac:dyDescent="0.3">
      <c r="A73" s="101" t="s">
        <v>15</v>
      </c>
      <c r="B73" s="102"/>
      <c r="C73" s="103">
        <v>4727</v>
      </c>
      <c r="D73" s="104"/>
      <c r="E73" s="103">
        <v>4792</v>
      </c>
      <c r="F73" s="104"/>
      <c r="G73" s="103">
        <v>4837</v>
      </c>
      <c r="H73" s="104"/>
      <c r="I73" s="103">
        <v>4907</v>
      </c>
      <c r="J73" s="104"/>
    </row>
    <row r="74" spans="1:10" x14ac:dyDescent="0.3">
      <c r="A74" s="107" t="s">
        <v>16</v>
      </c>
      <c r="B74" s="108"/>
      <c r="C74" s="103">
        <v>4881</v>
      </c>
      <c r="D74" s="104"/>
      <c r="E74" s="103">
        <v>4921</v>
      </c>
      <c r="F74" s="104"/>
      <c r="G74" s="103">
        <v>5008</v>
      </c>
      <c r="H74" s="104"/>
      <c r="I74" s="103">
        <v>5039</v>
      </c>
      <c r="J74" s="104"/>
    </row>
    <row r="75" spans="1:10" x14ac:dyDescent="0.3">
      <c r="A75" s="101" t="s">
        <v>17</v>
      </c>
      <c r="B75" s="102"/>
      <c r="C75" s="103">
        <v>7645</v>
      </c>
      <c r="D75" s="104"/>
      <c r="E75" s="103">
        <v>7806</v>
      </c>
      <c r="F75" s="104"/>
      <c r="G75" s="103">
        <v>7930</v>
      </c>
      <c r="H75" s="104"/>
      <c r="I75" s="103">
        <v>8036</v>
      </c>
      <c r="J75" s="104"/>
    </row>
    <row r="76" spans="1:10" x14ac:dyDescent="0.3">
      <c r="A76" s="107" t="s">
        <v>18</v>
      </c>
      <c r="B76" s="108"/>
      <c r="C76" s="103">
        <v>1602</v>
      </c>
      <c r="D76" s="104"/>
      <c r="E76" s="103">
        <v>1610</v>
      </c>
      <c r="F76" s="104"/>
      <c r="G76" s="103">
        <v>1634</v>
      </c>
      <c r="H76" s="104"/>
      <c r="I76" s="103">
        <v>1656</v>
      </c>
      <c r="J76" s="104"/>
    </row>
    <row r="77" spans="1:10" x14ac:dyDescent="0.3">
      <c r="A77" s="101" t="s">
        <v>19</v>
      </c>
      <c r="B77" s="102"/>
      <c r="C77" s="103">
        <v>5885</v>
      </c>
      <c r="D77" s="104"/>
      <c r="E77" s="103">
        <v>5920</v>
      </c>
      <c r="F77" s="104"/>
      <c r="G77" s="103">
        <v>6006</v>
      </c>
      <c r="H77" s="104"/>
      <c r="I77" s="103">
        <v>6113</v>
      </c>
      <c r="J77" s="104"/>
    </row>
    <row r="78" spans="1:10" x14ac:dyDescent="0.3">
      <c r="A78" s="105" t="s">
        <v>42</v>
      </c>
      <c r="B78" s="106"/>
      <c r="C78" s="103">
        <f>SUM(C69:C77)</f>
        <v>69572</v>
      </c>
      <c r="D78" s="104"/>
      <c r="E78" s="103">
        <f>SUM(E69:E77)</f>
        <v>70329</v>
      </c>
      <c r="F78" s="104"/>
      <c r="G78" s="103">
        <f>SUM(G69:G77)</f>
        <v>71416</v>
      </c>
      <c r="H78" s="104"/>
      <c r="I78" s="103">
        <f>SUM(I69:I77)</f>
        <v>73202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R78"/>
  <sheetViews>
    <sheetView workbookViewId="0">
      <selection activeCell="N28" sqref="N28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689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5">
        <v>7206</v>
      </c>
      <c r="D5" s="215"/>
      <c r="E5" s="215">
        <v>40</v>
      </c>
      <c r="F5" s="215"/>
      <c r="G5" s="215">
        <v>661</v>
      </c>
      <c r="H5" s="215"/>
      <c r="I5" s="213">
        <v>38</v>
      </c>
      <c r="J5" s="214"/>
      <c r="K5" s="216">
        <v>0</v>
      </c>
      <c r="L5" s="217"/>
      <c r="M5" s="56">
        <v>7910</v>
      </c>
      <c r="N5" s="53">
        <v>1820</v>
      </c>
      <c r="O5" s="88">
        <v>2092</v>
      </c>
      <c r="P5" s="53">
        <v>13402</v>
      </c>
      <c r="Q5" s="89">
        <v>12786</v>
      </c>
      <c r="R5" s="80"/>
    </row>
    <row r="6" spans="1:18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80"/>
    </row>
    <row r="7" spans="1:18" x14ac:dyDescent="0.3">
      <c r="A7" s="101" t="s">
        <v>12</v>
      </c>
      <c r="B7" s="102"/>
      <c r="C7" s="210">
        <v>291</v>
      </c>
      <c r="D7" s="210"/>
      <c r="E7" s="210">
        <v>355</v>
      </c>
      <c r="F7" s="210"/>
      <c r="G7" s="210">
        <v>206</v>
      </c>
      <c r="H7" s="210"/>
      <c r="I7" s="149">
        <v>93</v>
      </c>
      <c r="J7" s="150"/>
      <c r="K7" s="149">
        <v>16</v>
      </c>
      <c r="L7" s="150"/>
      <c r="M7" s="52">
        <v>541</v>
      </c>
      <c r="N7" s="52">
        <v>29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458</v>
      </c>
      <c r="D8" s="210"/>
      <c r="E8" s="210">
        <v>121</v>
      </c>
      <c r="F8" s="210"/>
      <c r="G8" s="210">
        <v>60</v>
      </c>
      <c r="H8" s="210"/>
      <c r="I8" s="149">
        <v>88</v>
      </c>
      <c r="J8" s="150"/>
      <c r="K8" s="149">
        <v>0</v>
      </c>
      <c r="L8" s="150"/>
      <c r="M8" s="52">
        <v>133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332</v>
      </c>
      <c r="D9" s="210"/>
      <c r="E9" s="210">
        <v>86</v>
      </c>
      <c r="F9" s="210"/>
      <c r="G9" s="210">
        <v>36</v>
      </c>
      <c r="H9" s="210"/>
      <c r="I9" s="149">
        <v>139</v>
      </c>
      <c r="J9" s="150"/>
      <c r="K9" s="149">
        <v>0</v>
      </c>
      <c r="L9" s="150"/>
      <c r="M9" s="52">
        <v>204</v>
      </c>
      <c r="N9" s="52">
        <v>59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304</v>
      </c>
      <c r="D10" s="210"/>
      <c r="E10" s="210">
        <v>135</v>
      </c>
      <c r="F10" s="210"/>
      <c r="G10" s="210">
        <v>90</v>
      </c>
      <c r="H10" s="210"/>
      <c r="I10" s="149">
        <v>40</v>
      </c>
      <c r="J10" s="150"/>
      <c r="K10" s="149">
        <v>0</v>
      </c>
      <c r="L10" s="150"/>
      <c r="M10" s="52">
        <v>289</v>
      </c>
      <c r="N10" s="52">
        <v>75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470</v>
      </c>
      <c r="D11" s="209"/>
      <c r="E11" s="210">
        <v>81</v>
      </c>
      <c r="F11" s="210"/>
      <c r="G11" s="210">
        <v>62</v>
      </c>
      <c r="H11" s="210"/>
      <c r="I11" s="149">
        <v>87</v>
      </c>
      <c r="J11" s="150"/>
      <c r="K11" s="149">
        <v>0</v>
      </c>
      <c r="L11" s="150"/>
      <c r="M11" s="52">
        <v>149</v>
      </c>
      <c r="N11" s="52">
        <v>157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170</v>
      </c>
      <c r="D12" s="209"/>
      <c r="E12" s="210">
        <v>24</v>
      </c>
      <c r="F12" s="210"/>
      <c r="G12" s="210">
        <v>22</v>
      </c>
      <c r="H12" s="210"/>
      <c r="I12" s="149">
        <v>21</v>
      </c>
      <c r="J12" s="150"/>
      <c r="K12" s="149">
        <v>0</v>
      </c>
      <c r="L12" s="150"/>
      <c r="M12" s="52">
        <v>118</v>
      </c>
      <c r="N12" s="52">
        <v>67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235</v>
      </c>
      <c r="D13" s="150"/>
      <c r="E13" s="149">
        <v>88</v>
      </c>
      <c r="F13" s="150"/>
      <c r="G13" s="149">
        <v>0</v>
      </c>
      <c r="H13" s="150"/>
      <c r="I13" s="149">
        <v>113</v>
      </c>
      <c r="J13" s="150"/>
      <c r="K13" s="149">
        <v>0</v>
      </c>
      <c r="L13" s="150"/>
      <c r="M13" s="52">
        <v>65</v>
      </c>
      <c r="N13" s="52">
        <v>36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259</v>
      </c>
      <c r="D14" s="206"/>
      <c r="E14" s="205">
        <v>51</v>
      </c>
      <c r="F14" s="206"/>
      <c r="G14" s="205">
        <v>48</v>
      </c>
      <c r="H14" s="206"/>
      <c r="I14" s="149">
        <v>43</v>
      </c>
      <c r="J14" s="150"/>
      <c r="K14" s="205">
        <v>0</v>
      </c>
      <c r="L14" s="206"/>
      <c r="M14" s="59">
        <v>261</v>
      </c>
      <c r="N14" s="59">
        <v>27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1888</v>
      </c>
      <c r="P15" s="52">
        <v>2024</v>
      </c>
      <c r="Q15" s="63">
        <v>1725</v>
      </c>
    </row>
    <row r="16" spans="1:18" ht="15" thickBot="1" x14ac:dyDescent="0.35">
      <c r="A16" s="199" t="s">
        <v>20</v>
      </c>
      <c r="B16" s="200"/>
      <c r="C16" s="201">
        <f>SUM(C5:D15)</f>
        <v>10795</v>
      </c>
      <c r="D16" s="202"/>
      <c r="E16" s="201">
        <f>SUM(E5:F15)</f>
        <v>981</v>
      </c>
      <c r="F16" s="202"/>
      <c r="G16" s="201">
        <f>SUM(G5:H15)</f>
        <v>1185</v>
      </c>
      <c r="H16" s="202"/>
      <c r="I16" s="201">
        <f>SUM(I5:J15)</f>
        <v>662</v>
      </c>
      <c r="J16" s="202"/>
      <c r="K16" s="201">
        <f>SUM(K5:L15)</f>
        <v>16</v>
      </c>
      <c r="L16" s="202"/>
      <c r="M16" s="4">
        <f>SUM(M5:M15)</f>
        <v>9670</v>
      </c>
      <c r="N16" s="4">
        <f>SUM(N5:N15)</f>
        <v>2285</v>
      </c>
      <c r="O16" s="4">
        <f>SUM(O5:O15)</f>
        <v>4062</v>
      </c>
      <c r="P16" s="4">
        <f>SUM(P5:P15)</f>
        <v>15461</v>
      </c>
      <c r="Q16" s="33">
        <f>SUM(Q5:Q15)</f>
        <v>14519</v>
      </c>
    </row>
    <row r="17" spans="1:18" ht="15" thickBot="1" x14ac:dyDescent="0.35">
      <c r="A17" s="190" t="s">
        <v>21</v>
      </c>
      <c r="B17" s="191"/>
      <c r="C17" s="192">
        <v>7206</v>
      </c>
      <c r="D17" s="192"/>
      <c r="E17" s="193">
        <v>40</v>
      </c>
      <c r="F17" s="194"/>
      <c r="G17" s="195">
        <v>553</v>
      </c>
      <c r="H17" s="196"/>
      <c r="I17" s="195">
        <v>38</v>
      </c>
      <c r="J17" s="196"/>
      <c r="K17" s="197">
        <v>0</v>
      </c>
      <c r="L17" s="198"/>
      <c r="M17" s="36">
        <v>7910</v>
      </c>
      <c r="N17" s="30">
        <v>1820</v>
      </c>
      <c r="O17" s="86">
        <v>2092</v>
      </c>
      <c r="P17" s="37">
        <v>13402</v>
      </c>
      <c r="Q17" s="87">
        <v>12786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689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9</v>
      </c>
      <c r="D25" s="162"/>
      <c r="E25" s="185" t="s">
        <v>696</v>
      </c>
      <c r="F25" s="186"/>
      <c r="G25" s="161">
        <v>0</v>
      </c>
      <c r="H25" s="162"/>
      <c r="I25" s="161">
        <v>2</v>
      </c>
      <c r="J25" s="162"/>
      <c r="K25" s="70">
        <v>0</v>
      </c>
      <c r="L25" s="78">
        <v>0</v>
      </c>
      <c r="M25" s="78">
        <v>0</v>
      </c>
      <c r="N25"/>
      <c r="O25"/>
    </row>
    <row r="26" spans="1:18" x14ac:dyDescent="0.3">
      <c r="A26" s="101" t="s">
        <v>13</v>
      </c>
      <c r="B26" s="102"/>
      <c r="C26" s="149">
        <v>47</v>
      </c>
      <c r="D26" s="150"/>
      <c r="E26" s="165" t="s">
        <v>25</v>
      </c>
      <c r="F26" s="166"/>
      <c r="G26" s="149">
        <v>0</v>
      </c>
      <c r="H26" s="150"/>
      <c r="I26" s="149">
        <v>130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225</v>
      </c>
      <c r="D27" s="150"/>
      <c r="E27" s="165" t="s">
        <v>684</v>
      </c>
      <c r="F27" s="166"/>
      <c r="G27" s="149">
        <v>28</v>
      </c>
      <c r="H27" s="150"/>
      <c r="I27" s="149">
        <v>71</v>
      </c>
      <c r="J27" s="150"/>
      <c r="K27" s="52">
        <v>4</v>
      </c>
      <c r="L27" s="79">
        <v>19</v>
      </c>
      <c r="M27" s="79">
        <v>4</v>
      </c>
      <c r="N27"/>
      <c r="O27"/>
    </row>
    <row r="28" spans="1:18" x14ac:dyDescent="0.3">
      <c r="A28" s="101" t="s">
        <v>15</v>
      </c>
      <c r="B28" s="102"/>
      <c r="C28" s="165" t="s">
        <v>668</v>
      </c>
      <c r="D28" s="166"/>
      <c r="E28" s="165" t="s">
        <v>90</v>
      </c>
      <c r="F28" s="166"/>
      <c r="G28" s="149">
        <v>0</v>
      </c>
      <c r="H28" s="150"/>
      <c r="I28" s="149">
        <v>3</v>
      </c>
      <c r="J28" s="150"/>
      <c r="K28" s="52">
        <v>3</v>
      </c>
      <c r="L28" s="81">
        <v>2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690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3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1</v>
      </c>
      <c r="D30" s="153"/>
      <c r="E30" s="165" t="s">
        <v>116</v>
      </c>
      <c r="F30" s="166"/>
      <c r="G30" s="149">
        <v>0</v>
      </c>
      <c r="H30" s="150"/>
      <c r="I30" s="149">
        <v>2</v>
      </c>
      <c r="J30" s="150"/>
      <c r="K30" s="52">
        <v>0</v>
      </c>
      <c r="L30" s="79">
        <v>3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661</v>
      </c>
      <c r="D31" s="184"/>
      <c r="E31" s="165" t="s">
        <v>25</v>
      </c>
      <c r="F31" s="166"/>
      <c r="G31" s="149">
        <v>0</v>
      </c>
      <c r="H31" s="150"/>
      <c r="I31" s="149">
        <v>3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689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10</v>
      </c>
      <c r="D38" s="162"/>
      <c r="E38" s="163" t="s">
        <v>642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</v>
      </c>
      <c r="M38" s="78">
        <v>0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694</v>
      </c>
      <c r="F39" s="155"/>
      <c r="G39" s="149">
        <v>7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679</v>
      </c>
      <c r="F40" s="155"/>
      <c r="G40" s="149">
        <v>34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695</v>
      </c>
      <c r="F41" s="155"/>
      <c r="G41" s="149">
        <v>28</v>
      </c>
      <c r="H41" s="150"/>
      <c r="I41" s="149">
        <v>0</v>
      </c>
      <c r="J41" s="150"/>
      <c r="K41" s="52">
        <v>0</v>
      </c>
      <c r="L41" s="79">
        <v>4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662</v>
      </c>
      <c r="D42" s="153"/>
      <c r="E42" s="154" t="s">
        <v>691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693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692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670</v>
      </c>
      <c r="D49" s="146"/>
      <c r="E49" s="145" t="s">
        <v>676</v>
      </c>
      <c r="F49" s="146"/>
      <c r="G49" s="145" t="s">
        <v>682</v>
      </c>
      <c r="H49" s="146"/>
      <c r="I49" s="145" t="s">
        <v>689</v>
      </c>
      <c r="J49" s="146"/>
    </row>
    <row r="50" spans="1:11" x14ac:dyDescent="0.3">
      <c r="A50" s="120" t="s">
        <v>30</v>
      </c>
      <c r="B50" s="121"/>
      <c r="C50" s="136">
        <v>11214</v>
      </c>
      <c r="D50" s="137"/>
      <c r="E50" s="136">
        <v>11128</v>
      </c>
      <c r="F50" s="137"/>
      <c r="G50" s="136">
        <v>11049</v>
      </c>
      <c r="H50" s="137"/>
      <c r="I50" s="136">
        <v>10986</v>
      </c>
      <c r="J50" s="137"/>
    </row>
    <row r="51" spans="1:11" x14ac:dyDescent="0.3">
      <c r="A51" s="120" t="s">
        <v>31</v>
      </c>
      <c r="B51" s="121"/>
      <c r="C51" s="136">
        <v>10347</v>
      </c>
      <c r="D51" s="137"/>
      <c r="E51" s="136">
        <v>10430</v>
      </c>
      <c r="F51" s="137"/>
      <c r="G51" s="136">
        <v>10529</v>
      </c>
      <c r="H51" s="137"/>
      <c r="I51" s="136">
        <v>10600</v>
      </c>
      <c r="J51" s="137"/>
    </row>
    <row r="52" spans="1:11" x14ac:dyDescent="0.3">
      <c r="A52" s="120" t="s">
        <v>32</v>
      </c>
      <c r="B52" s="121"/>
      <c r="C52" s="136">
        <v>112068</v>
      </c>
      <c r="D52" s="137"/>
      <c r="E52" s="136">
        <v>111906</v>
      </c>
      <c r="F52" s="137"/>
      <c r="G52" s="136">
        <v>111839</v>
      </c>
      <c r="H52" s="137"/>
      <c r="I52" s="136">
        <v>111982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49448</v>
      </c>
      <c r="D54" s="137"/>
      <c r="E54" s="136">
        <v>49390</v>
      </c>
      <c r="F54" s="137"/>
      <c r="G54" s="136">
        <v>49373</v>
      </c>
      <c r="H54" s="137"/>
      <c r="I54" s="136">
        <v>49432</v>
      </c>
      <c r="J54" s="137"/>
    </row>
    <row r="55" spans="1:11" x14ac:dyDescent="0.3">
      <c r="A55" s="120" t="s">
        <v>53</v>
      </c>
      <c r="B55" s="121"/>
      <c r="C55" s="138">
        <v>4377</v>
      </c>
      <c r="D55" s="139"/>
      <c r="E55" s="138">
        <v>4368</v>
      </c>
      <c r="F55" s="139"/>
      <c r="G55" s="138">
        <v>4371</v>
      </c>
      <c r="H55" s="139"/>
      <c r="I55" s="138">
        <v>4364</v>
      </c>
      <c r="J55" s="139"/>
    </row>
    <row r="56" spans="1:11" x14ac:dyDescent="0.3">
      <c r="A56" s="120" t="s">
        <v>49</v>
      </c>
      <c r="B56" s="121"/>
      <c r="C56" s="136">
        <v>21747</v>
      </c>
      <c r="D56" s="137"/>
      <c r="E56" s="136">
        <v>21819</v>
      </c>
      <c r="F56" s="137"/>
      <c r="G56" s="136">
        <v>21916</v>
      </c>
      <c r="H56" s="137"/>
      <c r="I56" s="136">
        <v>22031</v>
      </c>
      <c r="J56" s="137"/>
      <c r="K56" s="51"/>
    </row>
    <row r="57" spans="1:11" x14ac:dyDescent="0.3">
      <c r="A57" s="120" t="s">
        <v>35</v>
      </c>
      <c r="B57" s="121"/>
      <c r="C57" s="138">
        <v>3048</v>
      </c>
      <c r="D57" s="139"/>
      <c r="E57" s="138">
        <v>3118</v>
      </c>
      <c r="F57" s="139"/>
      <c r="G57" s="138">
        <v>3185</v>
      </c>
      <c r="H57" s="139"/>
      <c r="I57" s="138">
        <v>3292</v>
      </c>
      <c r="J57" s="139"/>
    </row>
    <row r="58" spans="1:11" x14ac:dyDescent="0.3">
      <c r="A58" s="120" t="s">
        <v>36</v>
      </c>
      <c r="B58" s="121"/>
      <c r="C58" s="122">
        <f>SUM(C50:D57)</f>
        <v>212489</v>
      </c>
      <c r="D58" s="123"/>
      <c r="E58" s="122">
        <f>SUM(E50:F57)</f>
        <v>212399</v>
      </c>
      <c r="F58" s="123"/>
      <c r="G58" s="122">
        <f>SUM(G50:H57)</f>
        <v>212502</v>
      </c>
      <c r="H58" s="123"/>
      <c r="I58" s="122">
        <f>SUM(I50:J57)</f>
        <v>212927</v>
      </c>
      <c r="J58" s="123"/>
    </row>
    <row r="60" spans="1:11" x14ac:dyDescent="0.3">
      <c r="A60" s="124" t="s">
        <v>37</v>
      </c>
      <c r="B60" s="125"/>
      <c r="C60" s="130" t="s">
        <v>670</v>
      </c>
      <c r="D60" s="131"/>
      <c r="E60" s="130" t="s">
        <v>676</v>
      </c>
      <c r="F60" s="131"/>
      <c r="G60" s="130" t="s">
        <v>682</v>
      </c>
      <c r="H60" s="131"/>
      <c r="I60" s="130" t="s">
        <v>689</v>
      </c>
      <c r="J60" s="131"/>
    </row>
    <row r="61" spans="1:11" x14ac:dyDescent="0.3">
      <c r="A61" s="126"/>
      <c r="B61" s="127"/>
      <c r="C61" s="132">
        <v>139869</v>
      </c>
      <c r="D61" s="133"/>
      <c r="E61" s="132">
        <v>139824</v>
      </c>
      <c r="F61" s="133"/>
      <c r="G61" s="132">
        <v>139907</v>
      </c>
      <c r="H61" s="133"/>
      <c r="I61" s="132">
        <v>140050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548</v>
      </c>
      <c r="D66" s="115"/>
      <c r="E66" s="114" t="s">
        <v>577</v>
      </c>
      <c r="F66" s="115"/>
      <c r="G66" s="114" t="s">
        <v>628</v>
      </c>
      <c r="H66" s="115"/>
      <c r="I66" s="114" t="s">
        <v>671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30064</v>
      </c>
      <c r="D69" s="104"/>
      <c r="E69" s="103">
        <v>30398</v>
      </c>
      <c r="F69" s="104"/>
      <c r="G69" s="103">
        <v>30944</v>
      </c>
      <c r="H69" s="104"/>
      <c r="I69" s="103">
        <v>31898</v>
      </c>
      <c r="J69" s="104"/>
    </row>
    <row r="70" spans="1:10" x14ac:dyDescent="0.3">
      <c r="A70" s="101" t="s">
        <v>13</v>
      </c>
      <c r="B70" s="102"/>
      <c r="C70" s="103">
        <v>7077</v>
      </c>
      <c r="D70" s="104"/>
      <c r="E70" s="103">
        <v>7127</v>
      </c>
      <c r="F70" s="104"/>
      <c r="G70" s="103">
        <v>7193</v>
      </c>
      <c r="H70" s="104"/>
      <c r="I70" s="103">
        <v>7570</v>
      </c>
      <c r="J70" s="104"/>
    </row>
    <row r="71" spans="1:10" x14ac:dyDescent="0.3">
      <c r="A71" s="107" t="s">
        <v>14</v>
      </c>
      <c r="B71" s="108"/>
      <c r="C71" s="103">
        <v>6238</v>
      </c>
      <c r="D71" s="104"/>
      <c r="E71" s="103">
        <v>6283</v>
      </c>
      <c r="F71" s="104"/>
      <c r="G71" s="103">
        <v>6345</v>
      </c>
      <c r="H71" s="104"/>
      <c r="I71" s="103">
        <v>6438</v>
      </c>
      <c r="J71" s="104"/>
    </row>
    <row r="72" spans="1:10" x14ac:dyDescent="0.3">
      <c r="A72" s="107" t="s">
        <v>41</v>
      </c>
      <c r="B72" s="108"/>
      <c r="C72" s="103">
        <v>1453</v>
      </c>
      <c r="D72" s="104"/>
      <c r="E72" s="103">
        <v>1472</v>
      </c>
      <c r="F72" s="104"/>
      <c r="G72" s="103">
        <v>1519</v>
      </c>
      <c r="H72" s="104"/>
      <c r="I72" s="103">
        <v>1545</v>
      </c>
      <c r="J72" s="104"/>
    </row>
    <row r="73" spans="1:10" x14ac:dyDescent="0.3">
      <c r="A73" s="101" t="s">
        <v>15</v>
      </c>
      <c r="B73" s="102"/>
      <c r="C73" s="103">
        <v>4727</v>
      </c>
      <c r="D73" s="104"/>
      <c r="E73" s="103">
        <v>4792</v>
      </c>
      <c r="F73" s="104"/>
      <c r="G73" s="103">
        <v>4837</v>
      </c>
      <c r="H73" s="104"/>
      <c r="I73" s="103">
        <v>4907</v>
      </c>
      <c r="J73" s="104"/>
    </row>
    <row r="74" spans="1:10" x14ac:dyDescent="0.3">
      <c r="A74" s="107" t="s">
        <v>16</v>
      </c>
      <c r="B74" s="108"/>
      <c r="C74" s="103">
        <v>4881</v>
      </c>
      <c r="D74" s="104"/>
      <c r="E74" s="103">
        <v>4921</v>
      </c>
      <c r="F74" s="104"/>
      <c r="G74" s="103">
        <v>5008</v>
      </c>
      <c r="H74" s="104"/>
      <c r="I74" s="103">
        <v>5039</v>
      </c>
      <c r="J74" s="104"/>
    </row>
    <row r="75" spans="1:10" x14ac:dyDescent="0.3">
      <c r="A75" s="101" t="s">
        <v>17</v>
      </c>
      <c r="B75" s="102"/>
      <c r="C75" s="103">
        <v>7645</v>
      </c>
      <c r="D75" s="104"/>
      <c r="E75" s="103">
        <v>7806</v>
      </c>
      <c r="F75" s="104"/>
      <c r="G75" s="103">
        <v>7930</v>
      </c>
      <c r="H75" s="104"/>
      <c r="I75" s="103">
        <v>8036</v>
      </c>
      <c r="J75" s="104"/>
    </row>
    <row r="76" spans="1:10" x14ac:dyDescent="0.3">
      <c r="A76" s="107" t="s">
        <v>18</v>
      </c>
      <c r="B76" s="108"/>
      <c r="C76" s="103">
        <v>1602</v>
      </c>
      <c r="D76" s="104"/>
      <c r="E76" s="103">
        <v>1610</v>
      </c>
      <c r="F76" s="104"/>
      <c r="G76" s="103">
        <v>1634</v>
      </c>
      <c r="H76" s="104"/>
      <c r="I76" s="103">
        <v>1656</v>
      </c>
      <c r="J76" s="104"/>
    </row>
    <row r="77" spans="1:10" x14ac:dyDescent="0.3">
      <c r="A77" s="101" t="s">
        <v>19</v>
      </c>
      <c r="B77" s="102"/>
      <c r="C77" s="103">
        <v>5885</v>
      </c>
      <c r="D77" s="104"/>
      <c r="E77" s="103">
        <v>5920</v>
      </c>
      <c r="F77" s="104"/>
      <c r="G77" s="103">
        <v>6006</v>
      </c>
      <c r="H77" s="104"/>
      <c r="I77" s="103">
        <v>6113</v>
      </c>
      <c r="J77" s="104"/>
    </row>
    <row r="78" spans="1:10" x14ac:dyDescent="0.3">
      <c r="A78" s="105" t="s">
        <v>42</v>
      </c>
      <c r="B78" s="106"/>
      <c r="C78" s="103">
        <f>SUM(C69:C77)</f>
        <v>69572</v>
      </c>
      <c r="D78" s="104"/>
      <c r="E78" s="103">
        <f>SUM(E69:E77)</f>
        <v>70329</v>
      </c>
      <c r="F78" s="104"/>
      <c r="G78" s="103">
        <f>SUM(G69:G77)</f>
        <v>71416</v>
      </c>
      <c r="H78" s="104"/>
      <c r="I78" s="103">
        <f>SUM(I69:I77)</f>
        <v>73202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R78"/>
  <sheetViews>
    <sheetView topLeftCell="A82" workbookViewId="0">
      <selection activeCell="A89" sqref="A89:Q101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438" t="s">
        <v>6</v>
      </c>
      <c r="P2" s="436" t="s">
        <v>7</v>
      </c>
      <c r="Q2" s="436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156"/>
      <c r="N3" s="156"/>
      <c r="O3" s="438"/>
      <c r="P3" s="437"/>
      <c r="Q3" s="437"/>
    </row>
    <row r="4" spans="1:18" x14ac:dyDescent="0.3">
      <c r="A4" s="105" t="s">
        <v>9</v>
      </c>
      <c r="B4" s="106"/>
      <c r="C4" s="221" t="s">
        <v>697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3">
        <v>6756</v>
      </c>
      <c r="D5" s="214"/>
      <c r="E5" s="213">
        <v>40</v>
      </c>
      <c r="F5" s="214"/>
      <c r="G5" s="213">
        <v>500</v>
      </c>
      <c r="H5" s="214"/>
      <c r="I5" s="213">
        <v>0</v>
      </c>
      <c r="J5" s="214"/>
      <c r="K5" s="216">
        <v>0</v>
      </c>
      <c r="L5" s="217"/>
      <c r="M5" s="56">
        <v>7910</v>
      </c>
      <c r="N5" s="53">
        <v>1810</v>
      </c>
      <c r="O5" s="88">
        <v>1962</v>
      </c>
      <c r="P5" s="53">
        <v>13282</v>
      </c>
      <c r="Q5" s="89">
        <v>12776</v>
      </c>
      <c r="R5" s="80"/>
    </row>
    <row r="6" spans="1:18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80"/>
    </row>
    <row r="7" spans="1:18" x14ac:dyDescent="0.3">
      <c r="A7" s="101" t="s">
        <v>12</v>
      </c>
      <c r="B7" s="102"/>
      <c r="C7" s="149">
        <v>301</v>
      </c>
      <c r="D7" s="150"/>
      <c r="E7" s="149">
        <v>256</v>
      </c>
      <c r="F7" s="150"/>
      <c r="G7" s="149">
        <v>268</v>
      </c>
      <c r="H7" s="150"/>
      <c r="I7" s="149">
        <v>86</v>
      </c>
      <c r="J7" s="150"/>
      <c r="K7" s="149">
        <v>13</v>
      </c>
      <c r="L7" s="150"/>
      <c r="M7" s="52">
        <v>465</v>
      </c>
      <c r="N7" s="52">
        <v>36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149">
        <v>415</v>
      </c>
      <c r="D8" s="150"/>
      <c r="E8" s="149">
        <v>148</v>
      </c>
      <c r="F8" s="150"/>
      <c r="G8" s="149">
        <v>0</v>
      </c>
      <c r="H8" s="150"/>
      <c r="I8" s="149">
        <v>79</v>
      </c>
      <c r="J8" s="150"/>
      <c r="K8" s="149">
        <v>0</v>
      </c>
      <c r="L8" s="150"/>
      <c r="M8" s="52">
        <v>109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149">
        <v>488</v>
      </c>
      <c r="D9" s="150"/>
      <c r="E9" s="149">
        <v>69</v>
      </c>
      <c r="F9" s="150"/>
      <c r="G9" s="149">
        <v>70</v>
      </c>
      <c r="H9" s="150"/>
      <c r="I9" s="149">
        <v>143</v>
      </c>
      <c r="J9" s="150"/>
      <c r="K9" s="149">
        <v>0</v>
      </c>
      <c r="L9" s="150"/>
      <c r="M9" s="52">
        <v>175</v>
      </c>
      <c r="N9" s="52">
        <v>59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149">
        <v>291</v>
      </c>
      <c r="D10" s="150"/>
      <c r="E10" s="149">
        <v>129</v>
      </c>
      <c r="F10" s="150"/>
      <c r="G10" s="149">
        <v>80</v>
      </c>
      <c r="H10" s="150"/>
      <c r="I10" s="149">
        <v>30</v>
      </c>
      <c r="J10" s="150"/>
      <c r="K10" s="149">
        <v>0</v>
      </c>
      <c r="L10" s="150"/>
      <c r="M10" s="52">
        <v>270</v>
      </c>
      <c r="N10" s="52">
        <v>67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152">
        <v>420</v>
      </c>
      <c r="D11" s="153"/>
      <c r="E11" s="149">
        <v>70</v>
      </c>
      <c r="F11" s="150"/>
      <c r="G11" s="149">
        <v>50</v>
      </c>
      <c r="H11" s="150"/>
      <c r="I11" s="149">
        <v>85</v>
      </c>
      <c r="J11" s="150"/>
      <c r="K11" s="149">
        <v>0</v>
      </c>
      <c r="L11" s="150"/>
      <c r="M11" s="52">
        <v>143</v>
      </c>
      <c r="N11" s="52">
        <v>150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152">
        <v>175</v>
      </c>
      <c r="D12" s="153"/>
      <c r="E12" s="149">
        <v>33</v>
      </c>
      <c r="F12" s="150"/>
      <c r="G12" s="149">
        <v>30</v>
      </c>
      <c r="H12" s="150"/>
      <c r="I12" s="149">
        <v>71</v>
      </c>
      <c r="J12" s="150"/>
      <c r="K12" s="149">
        <v>0</v>
      </c>
      <c r="L12" s="150"/>
      <c r="M12" s="52">
        <v>121</v>
      </c>
      <c r="N12" s="52">
        <v>69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204</v>
      </c>
      <c r="D13" s="150"/>
      <c r="E13" s="149">
        <v>69</v>
      </c>
      <c r="F13" s="150"/>
      <c r="G13" s="149">
        <v>0</v>
      </c>
      <c r="H13" s="150"/>
      <c r="I13" s="149">
        <v>113</v>
      </c>
      <c r="J13" s="150"/>
      <c r="K13" s="149">
        <v>0</v>
      </c>
      <c r="L13" s="150"/>
      <c r="M13" s="52">
        <v>59</v>
      </c>
      <c r="N13" s="52">
        <v>36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149">
        <v>215</v>
      </c>
      <c r="D14" s="150"/>
      <c r="E14" s="149">
        <v>43</v>
      </c>
      <c r="F14" s="150"/>
      <c r="G14" s="149">
        <v>41</v>
      </c>
      <c r="H14" s="150"/>
      <c r="I14" s="149">
        <v>38</v>
      </c>
      <c r="J14" s="150"/>
      <c r="K14" s="205">
        <v>0</v>
      </c>
      <c r="L14" s="206"/>
      <c r="M14" s="59">
        <v>232</v>
      </c>
      <c r="N14" s="59">
        <v>26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439">
        <v>0</v>
      </c>
      <c r="D15" s="440"/>
      <c r="E15" s="439">
        <v>0</v>
      </c>
      <c r="F15" s="440"/>
      <c r="G15" s="439">
        <v>0</v>
      </c>
      <c r="H15" s="440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1732</v>
      </c>
      <c r="P15" s="52">
        <v>1925</v>
      </c>
      <c r="Q15" s="63">
        <v>1553</v>
      </c>
    </row>
    <row r="16" spans="1:18" ht="15" thickBot="1" x14ac:dyDescent="0.35">
      <c r="A16" s="199" t="s">
        <v>20</v>
      </c>
      <c r="B16" s="200"/>
      <c r="C16" s="201">
        <f>SUM(C5:D15)</f>
        <v>10335</v>
      </c>
      <c r="D16" s="202"/>
      <c r="E16" s="201">
        <f>SUM(E5:F15)</f>
        <v>857</v>
      </c>
      <c r="F16" s="202"/>
      <c r="G16" s="201">
        <f>SUM(G5:H15)</f>
        <v>1039</v>
      </c>
      <c r="H16" s="202"/>
      <c r="I16" s="201">
        <f>SUM(I5:J15)</f>
        <v>645</v>
      </c>
      <c r="J16" s="202"/>
      <c r="K16" s="201">
        <f>SUM(K5:L15)</f>
        <v>13</v>
      </c>
      <c r="L16" s="202"/>
      <c r="M16" s="4">
        <f>SUM(M5:M15)</f>
        <v>9484</v>
      </c>
      <c r="N16" s="4">
        <f>SUM(N5:N15)</f>
        <v>2268</v>
      </c>
      <c r="O16" s="4">
        <f>SUM(O5:O15)</f>
        <v>3776</v>
      </c>
      <c r="P16" s="4">
        <f>SUM(P5:P15)</f>
        <v>15242</v>
      </c>
      <c r="Q16" s="33">
        <f>SUM(Q5:Q15)</f>
        <v>14337</v>
      </c>
    </row>
    <row r="17" spans="1:18" ht="15" thickBot="1" x14ac:dyDescent="0.35">
      <c r="A17" s="190" t="s">
        <v>21</v>
      </c>
      <c r="B17" s="191"/>
      <c r="C17" s="193">
        <v>6756</v>
      </c>
      <c r="D17" s="194"/>
      <c r="E17" s="193">
        <v>40</v>
      </c>
      <c r="F17" s="194"/>
      <c r="G17" s="193">
        <v>500</v>
      </c>
      <c r="H17" s="194"/>
      <c r="I17" s="195">
        <v>0</v>
      </c>
      <c r="J17" s="196"/>
      <c r="K17" s="197">
        <v>0</v>
      </c>
      <c r="L17" s="198"/>
      <c r="M17" s="36">
        <v>7910</v>
      </c>
      <c r="N17" s="30">
        <v>1810</v>
      </c>
      <c r="O17" s="86">
        <v>1962</v>
      </c>
      <c r="P17" s="37">
        <v>13282</v>
      </c>
      <c r="Q17" s="87">
        <v>12776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225"/>
      <c r="D23" s="226"/>
      <c r="E23" s="227"/>
      <c r="F23" s="228"/>
      <c r="G23" s="227"/>
      <c r="H23" s="22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697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49">
        <v>227</v>
      </c>
      <c r="D25" s="150"/>
      <c r="E25" s="165" t="s">
        <v>326</v>
      </c>
      <c r="F25" s="166"/>
      <c r="G25" s="149">
        <v>0</v>
      </c>
      <c r="H25" s="150"/>
      <c r="I25" s="161">
        <v>2</v>
      </c>
      <c r="J25" s="162"/>
      <c r="K25" s="70">
        <v>0</v>
      </c>
      <c r="L25" s="78">
        <v>14</v>
      </c>
      <c r="M25" s="78">
        <v>1</v>
      </c>
      <c r="N25"/>
      <c r="O25"/>
    </row>
    <row r="26" spans="1:18" x14ac:dyDescent="0.3">
      <c r="A26" s="101" t="s">
        <v>13</v>
      </c>
      <c r="B26" s="102"/>
      <c r="C26" s="149">
        <v>44</v>
      </c>
      <c r="D26" s="150"/>
      <c r="E26" s="165" t="s">
        <v>25</v>
      </c>
      <c r="F26" s="166"/>
      <c r="G26" s="149">
        <v>0</v>
      </c>
      <c r="H26" s="150"/>
      <c r="I26" s="149">
        <v>147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160</v>
      </c>
      <c r="D27" s="150"/>
      <c r="E27" s="165" t="s">
        <v>684</v>
      </c>
      <c r="F27" s="166"/>
      <c r="G27" s="149">
        <v>28</v>
      </c>
      <c r="H27" s="150"/>
      <c r="I27" s="149">
        <v>71</v>
      </c>
      <c r="J27" s="150"/>
      <c r="K27" s="52">
        <v>4</v>
      </c>
      <c r="L27" s="79">
        <v>17</v>
      </c>
      <c r="M27" s="79">
        <v>3</v>
      </c>
      <c r="N27"/>
      <c r="O27"/>
    </row>
    <row r="28" spans="1:18" x14ac:dyDescent="0.3">
      <c r="A28" s="101" t="s">
        <v>15</v>
      </c>
      <c r="B28" s="102"/>
      <c r="C28" s="165" t="s">
        <v>668</v>
      </c>
      <c r="D28" s="166"/>
      <c r="E28" s="165" t="s">
        <v>90</v>
      </c>
      <c r="F28" s="166"/>
      <c r="G28" s="149">
        <v>0</v>
      </c>
      <c r="H28" s="150"/>
      <c r="I28" s="149">
        <v>3</v>
      </c>
      <c r="J28" s="150"/>
      <c r="K28" s="52">
        <v>3</v>
      </c>
      <c r="L28" s="81">
        <v>2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690</v>
      </c>
      <c r="D29" s="184"/>
      <c r="E29" s="165" t="s">
        <v>90</v>
      </c>
      <c r="F29" s="166"/>
      <c r="G29" s="149">
        <v>0</v>
      </c>
      <c r="H29" s="150"/>
      <c r="I29" s="149">
        <v>14</v>
      </c>
      <c r="J29" s="150"/>
      <c r="K29" s="52">
        <v>0</v>
      </c>
      <c r="L29" s="79">
        <v>2</v>
      </c>
      <c r="M29" s="79">
        <v>0</v>
      </c>
      <c r="N29"/>
      <c r="O29" s="58"/>
    </row>
    <row r="30" spans="1:18" x14ac:dyDescent="0.3">
      <c r="A30" s="101" t="s">
        <v>17</v>
      </c>
      <c r="B30" s="102"/>
      <c r="C30" s="152">
        <v>15</v>
      </c>
      <c r="D30" s="153"/>
      <c r="E30" s="165" t="s">
        <v>450</v>
      </c>
      <c r="F30" s="166"/>
      <c r="G30" s="149">
        <v>0</v>
      </c>
      <c r="H30" s="150"/>
      <c r="I30" s="149">
        <v>2</v>
      </c>
      <c r="J30" s="150"/>
      <c r="K30" s="52">
        <v>0</v>
      </c>
      <c r="L30" s="79">
        <v>3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106</v>
      </c>
      <c r="D31" s="184"/>
      <c r="E31" s="165" t="s">
        <v>25</v>
      </c>
      <c r="F31" s="166"/>
      <c r="G31" s="149">
        <v>0</v>
      </c>
      <c r="H31" s="150"/>
      <c r="I31" s="149">
        <v>4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225"/>
      <c r="D36" s="226"/>
      <c r="E36" s="227"/>
      <c r="F36" s="228"/>
      <c r="G36" s="227"/>
      <c r="H36" s="22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697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49">
        <v>10</v>
      </c>
      <c r="D38" s="150"/>
      <c r="E38" s="154" t="s">
        <v>88</v>
      </c>
      <c r="F38" s="155"/>
      <c r="G38" s="149">
        <v>0</v>
      </c>
      <c r="H38" s="150"/>
      <c r="I38" s="161">
        <v>5</v>
      </c>
      <c r="J38" s="162"/>
      <c r="K38" s="70">
        <v>0</v>
      </c>
      <c r="L38" s="78">
        <v>20</v>
      </c>
      <c r="M38" s="78">
        <v>4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701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2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699</v>
      </c>
      <c r="F40" s="155"/>
      <c r="G40" s="149">
        <v>37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695</v>
      </c>
      <c r="F41" s="155"/>
      <c r="G41" s="149">
        <v>28</v>
      </c>
      <c r="H41" s="150"/>
      <c r="I41" s="149">
        <v>0</v>
      </c>
      <c r="J41" s="150"/>
      <c r="K41" s="52">
        <v>0</v>
      </c>
      <c r="L41" s="79">
        <v>4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700</v>
      </c>
      <c r="D42" s="153"/>
      <c r="E42" s="154" t="s">
        <v>691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686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698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1" x14ac:dyDescent="0.3">
      <c r="A49" s="143" t="s">
        <v>29</v>
      </c>
      <c r="B49" s="144"/>
      <c r="C49" s="145" t="s">
        <v>676</v>
      </c>
      <c r="D49" s="146"/>
      <c r="E49" s="145" t="s">
        <v>682</v>
      </c>
      <c r="F49" s="146"/>
      <c r="G49" s="145" t="s">
        <v>689</v>
      </c>
      <c r="H49" s="146"/>
      <c r="I49" s="145" t="s">
        <v>697</v>
      </c>
      <c r="J49" s="146"/>
    </row>
    <row r="50" spans="1:11" x14ac:dyDescent="0.3">
      <c r="A50" s="120" t="s">
        <v>30</v>
      </c>
      <c r="B50" s="121"/>
      <c r="C50" s="136">
        <v>11128</v>
      </c>
      <c r="D50" s="137"/>
      <c r="E50" s="136">
        <v>11049</v>
      </c>
      <c r="F50" s="137"/>
      <c r="G50" s="136">
        <v>10986</v>
      </c>
      <c r="H50" s="137"/>
      <c r="I50" s="136">
        <v>10922</v>
      </c>
      <c r="J50" s="137"/>
    </row>
    <row r="51" spans="1:11" x14ac:dyDescent="0.3">
      <c r="A51" s="120" t="s">
        <v>31</v>
      </c>
      <c r="B51" s="121"/>
      <c r="C51" s="136">
        <v>10430</v>
      </c>
      <c r="D51" s="137"/>
      <c r="E51" s="136">
        <v>10529</v>
      </c>
      <c r="F51" s="137"/>
      <c r="G51" s="136">
        <v>10600</v>
      </c>
      <c r="H51" s="137"/>
      <c r="I51" s="136">
        <v>10722</v>
      </c>
      <c r="J51" s="137"/>
    </row>
    <row r="52" spans="1:11" x14ac:dyDescent="0.3">
      <c r="A52" s="120" t="s">
        <v>32</v>
      </c>
      <c r="B52" s="121"/>
      <c r="C52" s="136">
        <v>111906</v>
      </c>
      <c r="D52" s="137"/>
      <c r="E52" s="136">
        <v>111839</v>
      </c>
      <c r="F52" s="137"/>
      <c r="G52" s="136">
        <v>111982</v>
      </c>
      <c r="H52" s="137"/>
      <c r="I52" s="136">
        <v>111757</v>
      </c>
      <c r="J52" s="137"/>
    </row>
    <row r="53" spans="1:11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1" x14ac:dyDescent="0.3">
      <c r="A54" s="120" t="s">
        <v>34</v>
      </c>
      <c r="B54" s="121"/>
      <c r="C54" s="136">
        <v>49390</v>
      </c>
      <c r="D54" s="137"/>
      <c r="E54" s="136">
        <v>49373</v>
      </c>
      <c r="F54" s="137"/>
      <c r="G54" s="136">
        <v>49432</v>
      </c>
      <c r="H54" s="137"/>
      <c r="I54" s="136">
        <v>49367</v>
      </c>
      <c r="J54" s="137"/>
    </row>
    <row r="55" spans="1:11" x14ac:dyDescent="0.3">
      <c r="A55" s="120" t="s">
        <v>53</v>
      </c>
      <c r="B55" s="121"/>
      <c r="C55" s="138">
        <v>4368</v>
      </c>
      <c r="D55" s="139"/>
      <c r="E55" s="138">
        <v>4371</v>
      </c>
      <c r="F55" s="139"/>
      <c r="G55" s="138">
        <v>4364</v>
      </c>
      <c r="H55" s="139"/>
      <c r="I55" s="138">
        <v>4367</v>
      </c>
      <c r="J55" s="139"/>
    </row>
    <row r="56" spans="1:11" x14ac:dyDescent="0.3">
      <c r="A56" s="120" t="s">
        <v>49</v>
      </c>
      <c r="B56" s="121"/>
      <c r="C56" s="136">
        <v>21819</v>
      </c>
      <c r="D56" s="137"/>
      <c r="E56" s="136">
        <v>21916</v>
      </c>
      <c r="F56" s="137"/>
      <c r="G56" s="136">
        <v>22031</v>
      </c>
      <c r="H56" s="137"/>
      <c r="I56" s="136">
        <v>22052</v>
      </c>
      <c r="J56" s="137"/>
      <c r="K56" s="51"/>
    </row>
    <row r="57" spans="1:11" x14ac:dyDescent="0.3">
      <c r="A57" s="120" t="s">
        <v>35</v>
      </c>
      <c r="B57" s="121"/>
      <c r="C57" s="138">
        <v>3118</v>
      </c>
      <c r="D57" s="139"/>
      <c r="E57" s="138">
        <v>3185</v>
      </c>
      <c r="F57" s="139"/>
      <c r="G57" s="138">
        <v>3292</v>
      </c>
      <c r="H57" s="139"/>
      <c r="I57" s="138">
        <v>3412</v>
      </c>
      <c r="J57" s="139"/>
    </row>
    <row r="58" spans="1:11" x14ac:dyDescent="0.3">
      <c r="A58" s="120" t="s">
        <v>36</v>
      </c>
      <c r="B58" s="121"/>
      <c r="C58" s="122">
        <f>SUM(C50:D57)</f>
        <v>212399</v>
      </c>
      <c r="D58" s="123"/>
      <c r="E58" s="122">
        <f>SUM(E50:F57)</f>
        <v>212502</v>
      </c>
      <c r="F58" s="123"/>
      <c r="G58" s="122">
        <f>SUM(G50:H57)</f>
        <v>212927</v>
      </c>
      <c r="H58" s="123"/>
      <c r="I58" s="122">
        <f>SUM(I50:J57)</f>
        <v>212839</v>
      </c>
      <c r="J58" s="123"/>
    </row>
    <row r="60" spans="1:11" x14ac:dyDescent="0.3">
      <c r="A60" s="124" t="s">
        <v>37</v>
      </c>
      <c r="B60" s="125"/>
      <c r="C60" s="130" t="s">
        <v>676</v>
      </c>
      <c r="D60" s="131"/>
      <c r="E60" s="130" t="s">
        <v>682</v>
      </c>
      <c r="F60" s="131"/>
      <c r="G60" s="130" t="s">
        <v>689</v>
      </c>
      <c r="H60" s="131"/>
      <c r="I60" s="130" t="s">
        <v>697</v>
      </c>
      <c r="J60" s="131"/>
    </row>
    <row r="61" spans="1:11" x14ac:dyDescent="0.3">
      <c r="A61" s="126"/>
      <c r="B61" s="127"/>
      <c r="C61" s="132">
        <v>139824</v>
      </c>
      <c r="D61" s="133"/>
      <c r="E61" s="132">
        <v>139907</v>
      </c>
      <c r="F61" s="133"/>
      <c r="G61" s="132">
        <v>140050</v>
      </c>
      <c r="H61" s="133"/>
      <c r="I61" s="132">
        <v>140109</v>
      </c>
      <c r="J61" s="133"/>
    </row>
    <row r="62" spans="1:11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441" t="s">
        <v>577</v>
      </c>
      <c r="D66" s="293"/>
      <c r="E66" s="441" t="s">
        <v>628</v>
      </c>
      <c r="F66" s="293"/>
      <c r="G66" s="441" t="s">
        <v>671</v>
      </c>
      <c r="H66" s="293"/>
      <c r="I66" s="114" t="s">
        <v>702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30398</v>
      </c>
      <c r="D69" s="104"/>
      <c r="E69" s="103">
        <v>30944</v>
      </c>
      <c r="F69" s="104"/>
      <c r="G69" s="103">
        <v>31898</v>
      </c>
      <c r="H69" s="104"/>
      <c r="I69" s="103">
        <v>32193</v>
      </c>
      <c r="J69" s="104"/>
    </row>
    <row r="70" spans="1:10" x14ac:dyDescent="0.3">
      <c r="A70" s="101" t="s">
        <v>13</v>
      </c>
      <c r="B70" s="102"/>
      <c r="C70" s="103">
        <v>7127</v>
      </c>
      <c r="D70" s="104"/>
      <c r="E70" s="103">
        <v>7193</v>
      </c>
      <c r="F70" s="104"/>
      <c r="G70" s="103">
        <v>7570</v>
      </c>
      <c r="H70" s="104"/>
      <c r="I70" s="103">
        <v>7323</v>
      </c>
      <c r="J70" s="104"/>
    </row>
    <row r="71" spans="1:10" x14ac:dyDescent="0.3">
      <c r="A71" s="107" t="s">
        <v>14</v>
      </c>
      <c r="B71" s="108"/>
      <c r="C71" s="103">
        <v>6283</v>
      </c>
      <c r="D71" s="104"/>
      <c r="E71" s="103">
        <v>6345</v>
      </c>
      <c r="F71" s="104"/>
      <c r="G71" s="103">
        <v>6438</v>
      </c>
      <c r="H71" s="104"/>
      <c r="I71" s="103">
        <v>6486</v>
      </c>
      <c r="J71" s="104"/>
    </row>
    <row r="72" spans="1:10" x14ac:dyDescent="0.3">
      <c r="A72" s="107" t="s">
        <v>41</v>
      </c>
      <c r="B72" s="108"/>
      <c r="C72" s="103">
        <v>1472</v>
      </c>
      <c r="D72" s="104"/>
      <c r="E72" s="103">
        <v>1519</v>
      </c>
      <c r="F72" s="104"/>
      <c r="G72" s="103">
        <v>1545</v>
      </c>
      <c r="H72" s="104"/>
      <c r="I72" s="103">
        <v>1587</v>
      </c>
      <c r="J72" s="104"/>
    </row>
    <row r="73" spans="1:10" x14ac:dyDescent="0.3">
      <c r="A73" s="101" t="s">
        <v>15</v>
      </c>
      <c r="B73" s="102"/>
      <c r="C73" s="103">
        <v>4792</v>
      </c>
      <c r="D73" s="104"/>
      <c r="E73" s="103">
        <v>4837</v>
      </c>
      <c r="F73" s="104"/>
      <c r="G73" s="103">
        <v>4907</v>
      </c>
      <c r="H73" s="104"/>
      <c r="I73" s="103">
        <v>5035</v>
      </c>
      <c r="J73" s="104"/>
    </row>
    <row r="74" spans="1:10" x14ac:dyDescent="0.3">
      <c r="A74" s="107" t="s">
        <v>16</v>
      </c>
      <c r="B74" s="108"/>
      <c r="C74" s="103">
        <v>4921</v>
      </c>
      <c r="D74" s="104"/>
      <c r="E74" s="103">
        <v>5008</v>
      </c>
      <c r="F74" s="104"/>
      <c r="G74" s="103">
        <v>5039</v>
      </c>
      <c r="H74" s="104"/>
      <c r="I74" s="103">
        <v>5051</v>
      </c>
      <c r="J74" s="104"/>
    </row>
    <row r="75" spans="1:10" x14ac:dyDescent="0.3">
      <c r="A75" s="101" t="s">
        <v>17</v>
      </c>
      <c r="B75" s="102"/>
      <c r="C75" s="103">
        <v>7806</v>
      </c>
      <c r="D75" s="104"/>
      <c r="E75" s="103">
        <v>7930</v>
      </c>
      <c r="F75" s="104"/>
      <c r="G75" s="103">
        <v>8036</v>
      </c>
      <c r="H75" s="104"/>
      <c r="I75" s="103">
        <v>8141</v>
      </c>
      <c r="J75" s="104"/>
    </row>
    <row r="76" spans="1:10" x14ac:dyDescent="0.3">
      <c r="A76" s="107" t="s">
        <v>18</v>
      </c>
      <c r="B76" s="108"/>
      <c r="C76" s="103">
        <v>1610</v>
      </c>
      <c r="D76" s="104"/>
      <c r="E76" s="103">
        <v>1634</v>
      </c>
      <c r="F76" s="104"/>
      <c r="G76" s="103">
        <v>1656</v>
      </c>
      <c r="H76" s="104"/>
      <c r="I76" s="103">
        <v>1666</v>
      </c>
      <c r="J76" s="104"/>
    </row>
    <row r="77" spans="1:10" x14ac:dyDescent="0.3">
      <c r="A77" s="101" t="s">
        <v>19</v>
      </c>
      <c r="B77" s="102"/>
      <c r="C77" s="103">
        <v>5920</v>
      </c>
      <c r="D77" s="104"/>
      <c r="E77" s="103">
        <v>6006</v>
      </c>
      <c r="F77" s="104"/>
      <c r="G77" s="103">
        <v>6113</v>
      </c>
      <c r="H77" s="104"/>
      <c r="I77" s="103">
        <v>6245</v>
      </c>
      <c r="J77" s="104"/>
    </row>
    <row r="78" spans="1:10" x14ac:dyDescent="0.3">
      <c r="A78" s="105" t="s">
        <v>42</v>
      </c>
      <c r="B78" s="106"/>
      <c r="C78" s="103">
        <f>SUM(C69:C77)</f>
        <v>70329</v>
      </c>
      <c r="D78" s="104"/>
      <c r="E78" s="103">
        <f>SUM(E69:E77)</f>
        <v>71416</v>
      </c>
      <c r="F78" s="104"/>
      <c r="G78" s="103">
        <f>SUM(G69:G77)</f>
        <v>73202</v>
      </c>
      <c r="H78" s="104"/>
      <c r="I78" s="103">
        <f>SUM(I69:I77)</f>
        <v>73727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5:B5"/>
    <mergeCell ref="C5:D5"/>
    <mergeCell ref="E5:F5"/>
    <mergeCell ref="G5:H5"/>
    <mergeCell ref="I5:J5"/>
    <mergeCell ref="K5:L5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O2:O3"/>
    <mergeCell ref="N2:N3"/>
    <mergeCell ref="M2:M3"/>
  </mergeCells>
  <pageMargins left="0.7" right="0.7" top="0.75" bottom="0.75" header="0.3" footer="0.3"/>
  <pageSetup paperSize="9"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R78"/>
  <sheetViews>
    <sheetView workbookViewId="0">
      <selection activeCell="N9" sqref="N9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  <col min="18" max="18" width="51" customWidth="1"/>
  </cols>
  <sheetData>
    <row r="1" spans="1:18" x14ac:dyDescent="0.3">
      <c r="C1" s="43"/>
      <c r="G1" s="43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4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703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5">
        <v>6756</v>
      </c>
      <c r="D5" s="215"/>
      <c r="E5" s="215">
        <v>40</v>
      </c>
      <c r="F5" s="215"/>
      <c r="G5" s="215">
        <v>480</v>
      </c>
      <c r="H5" s="215"/>
      <c r="I5" s="213">
        <v>0</v>
      </c>
      <c r="J5" s="214"/>
      <c r="K5" s="216">
        <v>0</v>
      </c>
      <c r="L5" s="217"/>
      <c r="M5" s="56">
        <v>7910</v>
      </c>
      <c r="N5" s="53">
        <v>1810</v>
      </c>
      <c r="O5" s="88">
        <v>1337</v>
      </c>
      <c r="P5" s="53">
        <v>12927</v>
      </c>
      <c r="Q5" s="89">
        <v>12431</v>
      </c>
      <c r="R5" s="80"/>
    </row>
    <row r="6" spans="1:18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80"/>
    </row>
    <row r="7" spans="1:18" x14ac:dyDescent="0.3">
      <c r="A7" s="101" t="s">
        <v>12</v>
      </c>
      <c r="B7" s="102"/>
      <c r="C7" s="210">
        <v>255</v>
      </c>
      <c r="D7" s="210"/>
      <c r="E7" s="210">
        <v>263</v>
      </c>
      <c r="F7" s="210"/>
      <c r="G7" s="210">
        <v>241</v>
      </c>
      <c r="H7" s="210"/>
      <c r="I7" s="149">
        <v>73</v>
      </c>
      <c r="J7" s="150"/>
      <c r="K7" s="149">
        <v>11</v>
      </c>
      <c r="L7" s="150"/>
      <c r="M7" s="52">
        <v>392</v>
      </c>
      <c r="N7" s="52">
        <v>34</v>
      </c>
      <c r="O7" s="52">
        <v>0</v>
      </c>
      <c r="P7" s="52">
        <v>0</v>
      </c>
      <c r="Q7" s="52">
        <v>0</v>
      </c>
      <c r="R7" s="80"/>
    </row>
    <row r="8" spans="1:18" x14ac:dyDescent="0.3">
      <c r="A8" s="101" t="s">
        <v>13</v>
      </c>
      <c r="B8" s="102"/>
      <c r="C8" s="210">
        <v>394</v>
      </c>
      <c r="D8" s="210"/>
      <c r="E8" s="210">
        <v>129</v>
      </c>
      <c r="F8" s="210"/>
      <c r="G8" s="210">
        <v>0</v>
      </c>
      <c r="H8" s="210"/>
      <c r="I8" s="149">
        <v>79</v>
      </c>
      <c r="J8" s="150"/>
      <c r="K8" s="149">
        <v>0</v>
      </c>
      <c r="L8" s="150"/>
      <c r="M8" s="52">
        <v>97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415</v>
      </c>
      <c r="D9" s="210"/>
      <c r="E9" s="210">
        <v>62</v>
      </c>
      <c r="F9" s="210"/>
      <c r="G9" s="210">
        <v>61</v>
      </c>
      <c r="H9" s="210"/>
      <c r="I9" s="149">
        <v>118</v>
      </c>
      <c r="J9" s="150"/>
      <c r="K9" s="149">
        <v>0</v>
      </c>
      <c r="L9" s="150"/>
      <c r="M9" s="52">
        <v>161</v>
      </c>
      <c r="N9" s="52">
        <v>40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204</v>
      </c>
      <c r="D10" s="210"/>
      <c r="E10" s="210">
        <v>90</v>
      </c>
      <c r="F10" s="210"/>
      <c r="G10" s="210">
        <v>50</v>
      </c>
      <c r="H10" s="210"/>
      <c r="I10" s="149">
        <v>30</v>
      </c>
      <c r="J10" s="150"/>
      <c r="K10" s="149">
        <v>0</v>
      </c>
      <c r="L10" s="150"/>
      <c r="M10" s="52">
        <v>240</v>
      </c>
      <c r="N10" s="52">
        <v>40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310</v>
      </c>
      <c r="D11" s="209"/>
      <c r="E11" s="210">
        <v>54</v>
      </c>
      <c r="F11" s="210"/>
      <c r="G11" s="210">
        <v>32</v>
      </c>
      <c r="H11" s="210"/>
      <c r="I11" s="149">
        <v>65</v>
      </c>
      <c r="J11" s="150"/>
      <c r="K11" s="149">
        <v>0</v>
      </c>
      <c r="L11" s="150"/>
      <c r="M11" s="52">
        <v>133</v>
      </c>
      <c r="N11" s="52">
        <v>137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159</v>
      </c>
      <c r="D12" s="209"/>
      <c r="E12" s="210">
        <v>33</v>
      </c>
      <c r="F12" s="210"/>
      <c r="G12" s="210">
        <v>29</v>
      </c>
      <c r="H12" s="210"/>
      <c r="I12" s="149">
        <v>50</v>
      </c>
      <c r="J12" s="150"/>
      <c r="K12" s="149">
        <v>0</v>
      </c>
      <c r="L12" s="150"/>
      <c r="M12" s="52">
        <v>115</v>
      </c>
      <c r="N12" s="52">
        <v>68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187</v>
      </c>
      <c r="D13" s="150"/>
      <c r="E13" s="149">
        <v>57</v>
      </c>
      <c r="F13" s="150"/>
      <c r="G13" s="149">
        <v>0</v>
      </c>
      <c r="H13" s="150"/>
      <c r="I13" s="149">
        <v>98</v>
      </c>
      <c r="J13" s="150"/>
      <c r="K13" s="149">
        <v>0</v>
      </c>
      <c r="L13" s="150"/>
      <c r="M13" s="52">
        <v>53</v>
      </c>
      <c r="N13" s="52">
        <v>36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256</v>
      </c>
      <c r="D14" s="206"/>
      <c r="E14" s="205">
        <v>9</v>
      </c>
      <c r="F14" s="206"/>
      <c r="G14" s="205">
        <v>20</v>
      </c>
      <c r="H14" s="206"/>
      <c r="I14" s="149">
        <v>30</v>
      </c>
      <c r="J14" s="150"/>
      <c r="K14" s="205">
        <v>0</v>
      </c>
      <c r="L14" s="206"/>
      <c r="M14" s="59">
        <v>288</v>
      </c>
      <c r="N14" s="59">
        <v>26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1962</v>
      </c>
      <c r="P15" s="52">
        <v>2046</v>
      </c>
      <c r="Q15" s="63">
        <v>1611</v>
      </c>
    </row>
    <row r="16" spans="1:18" ht="15" thickBot="1" x14ac:dyDescent="0.35">
      <c r="A16" s="199" t="s">
        <v>20</v>
      </c>
      <c r="B16" s="200"/>
      <c r="C16" s="201">
        <f>SUM(C5:D15)</f>
        <v>10006</v>
      </c>
      <c r="D16" s="202"/>
      <c r="E16" s="201">
        <f>SUM(E5:F15)</f>
        <v>737</v>
      </c>
      <c r="F16" s="202"/>
      <c r="G16" s="201">
        <f>SUM(G5:H15)</f>
        <v>913</v>
      </c>
      <c r="H16" s="202"/>
      <c r="I16" s="201">
        <f>SUM(I5:J15)</f>
        <v>543</v>
      </c>
      <c r="J16" s="202"/>
      <c r="K16" s="201">
        <f>SUM(K5:L15)</f>
        <v>11</v>
      </c>
      <c r="L16" s="202"/>
      <c r="M16" s="4">
        <f>SUM(M5:M15)</f>
        <v>9389</v>
      </c>
      <c r="N16" s="4">
        <f>SUM(N5:N15)</f>
        <v>2206</v>
      </c>
      <c r="O16" s="4">
        <f>SUM(O5:O15)</f>
        <v>3381</v>
      </c>
      <c r="P16" s="4">
        <f>SUM(P5:P15)</f>
        <v>15008</v>
      </c>
      <c r="Q16" s="33">
        <f>SUM(Q5:Q15)</f>
        <v>14050</v>
      </c>
    </row>
    <row r="17" spans="1:18" ht="15" thickBot="1" x14ac:dyDescent="0.35">
      <c r="A17" s="190" t="s">
        <v>21</v>
      </c>
      <c r="B17" s="191"/>
      <c r="C17" s="192">
        <v>6506</v>
      </c>
      <c r="D17" s="192"/>
      <c r="E17" s="193">
        <v>20</v>
      </c>
      <c r="F17" s="194"/>
      <c r="G17" s="195">
        <v>400</v>
      </c>
      <c r="H17" s="196"/>
      <c r="I17" s="195">
        <v>0</v>
      </c>
      <c r="J17" s="196"/>
      <c r="K17" s="197">
        <v>0</v>
      </c>
      <c r="L17" s="198"/>
      <c r="M17" s="36">
        <v>7760</v>
      </c>
      <c r="N17" s="30">
        <v>1810</v>
      </c>
      <c r="O17" s="86">
        <v>1337</v>
      </c>
      <c r="P17" s="37">
        <v>12927</v>
      </c>
      <c r="Q17" s="87">
        <v>12431</v>
      </c>
    </row>
    <row r="18" spans="1:18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8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8" x14ac:dyDescent="0.3">
      <c r="O20" s="49"/>
    </row>
    <row r="22" spans="1:18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8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  <c r="R23" s="85"/>
    </row>
    <row r="24" spans="1:18" x14ac:dyDescent="0.3">
      <c r="A24" s="105" t="s">
        <v>9</v>
      </c>
      <c r="B24" s="158"/>
      <c r="C24" s="159" t="s">
        <v>703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8" x14ac:dyDescent="0.3">
      <c r="A25" s="101" t="s">
        <v>12</v>
      </c>
      <c r="B25" s="102"/>
      <c r="C25" s="161">
        <v>245</v>
      </c>
      <c r="D25" s="162"/>
      <c r="E25" s="185" t="s">
        <v>326</v>
      </c>
      <c r="F25" s="186"/>
      <c r="G25" s="161">
        <v>0</v>
      </c>
      <c r="H25" s="162"/>
      <c r="I25" s="161">
        <v>2</v>
      </c>
      <c r="J25" s="162"/>
      <c r="K25" s="70">
        <v>0</v>
      </c>
      <c r="L25" s="78">
        <v>17</v>
      </c>
      <c r="M25" s="78">
        <v>4</v>
      </c>
      <c r="N25"/>
      <c r="O25"/>
    </row>
    <row r="26" spans="1:18" x14ac:dyDescent="0.3">
      <c r="A26" s="101" t="s">
        <v>13</v>
      </c>
      <c r="B26" s="102"/>
      <c r="C26" s="149">
        <v>52</v>
      </c>
      <c r="D26" s="150"/>
      <c r="E26" s="165" t="s">
        <v>25</v>
      </c>
      <c r="F26" s="166"/>
      <c r="G26" s="149">
        <v>0</v>
      </c>
      <c r="H26" s="150"/>
      <c r="I26" s="149">
        <v>152</v>
      </c>
      <c r="J26" s="150"/>
      <c r="K26" s="52">
        <v>0</v>
      </c>
      <c r="L26" s="79">
        <v>0</v>
      </c>
      <c r="M26" s="79">
        <v>0</v>
      </c>
      <c r="N26"/>
      <c r="O26"/>
    </row>
    <row r="27" spans="1:18" x14ac:dyDescent="0.3">
      <c r="A27" s="101" t="s">
        <v>14</v>
      </c>
      <c r="B27" s="102"/>
      <c r="C27" s="149">
        <v>153</v>
      </c>
      <c r="D27" s="150"/>
      <c r="E27" s="165" t="s">
        <v>706</v>
      </c>
      <c r="F27" s="166"/>
      <c r="G27" s="149">
        <v>30</v>
      </c>
      <c r="H27" s="150"/>
      <c r="I27" s="149">
        <v>75</v>
      </c>
      <c r="J27" s="150"/>
      <c r="K27" s="52">
        <v>4</v>
      </c>
      <c r="L27" s="79">
        <v>19</v>
      </c>
      <c r="M27" s="79">
        <v>3</v>
      </c>
      <c r="N27"/>
      <c r="O27"/>
    </row>
    <row r="28" spans="1:18" x14ac:dyDescent="0.3">
      <c r="A28" s="101" t="s">
        <v>15</v>
      </c>
      <c r="B28" s="102"/>
      <c r="C28" s="165" t="s">
        <v>709</v>
      </c>
      <c r="D28" s="166"/>
      <c r="E28" s="165" t="s">
        <v>90</v>
      </c>
      <c r="F28" s="166"/>
      <c r="G28" s="149">
        <v>0</v>
      </c>
      <c r="H28" s="150"/>
      <c r="I28" s="149">
        <v>8</v>
      </c>
      <c r="J28" s="150"/>
      <c r="K28" s="52">
        <v>2</v>
      </c>
      <c r="L28" s="81">
        <v>3</v>
      </c>
      <c r="M28" s="79">
        <v>0</v>
      </c>
      <c r="N28"/>
      <c r="O28"/>
    </row>
    <row r="29" spans="1:18" x14ac:dyDescent="0.3">
      <c r="A29" s="101" t="s">
        <v>16</v>
      </c>
      <c r="B29" s="102"/>
      <c r="C29" s="183" t="s">
        <v>690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  <c r="N29"/>
      <c r="O29" s="58"/>
    </row>
    <row r="30" spans="1:18" x14ac:dyDescent="0.3">
      <c r="A30" s="101" t="s">
        <v>17</v>
      </c>
      <c r="B30" s="102"/>
      <c r="C30" s="152">
        <v>13</v>
      </c>
      <c r="D30" s="153"/>
      <c r="E30" s="165" t="s">
        <v>663</v>
      </c>
      <c r="F30" s="166"/>
      <c r="G30" s="149">
        <v>0</v>
      </c>
      <c r="H30" s="150"/>
      <c r="I30" s="149">
        <v>12</v>
      </c>
      <c r="J30" s="150"/>
      <c r="K30" s="52">
        <v>0</v>
      </c>
      <c r="L30" s="79">
        <v>4</v>
      </c>
      <c r="M30" s="79">
        <v>0</v>
      </c>
      <c r="N30"/>
      <c r="O30"/>
      <c r="P30"/>
    </row>
    <row r="31" spans="1:18" x14ac:dyDescent="0.3">
      <c r="A31" s="101" t="s">
        <v>18</v>
      </c>
      <c r="B31" s="102"/>
      <c r="C31" s="183" t="s">
        <v>106</v>
      </c>
      <c r="D31" s="184"/>
      <c r="E31" s="165" t="s">
        <v>25</v>
      </c>
      <c r="F31" s="166"/>
      <c r="G31" s="149">
        <v>0</v>
      </c>
      <c r="H31" s="150"/>
      <c r="I31" s="149">
        <v>3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8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703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10</v>
      </c>
      <c r="D38" s="162"/>
      <c r="E38" s="163" t="s">
        <v>642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22</v>
      </c>
      <c r="M38" s="78">
        <v>4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707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679</v>
      </c>
      <c r="F40" s="155"/>
      <c r="G40" s="149">
        <v>37</v>
      </c>
      <c r="H40" s="150"/>
      <c r="I40" s="149" t="s">
        <v>437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695</v>
      </c>
      <c r="F41" s="155"/>
      <c r="G41" s="149">
        <v>30</v>
      </c>
      <c r="H41" s="150"/>
      <c r="I41" s="149">
        <v>0</v>
      </c>
      <c r="J41" s="150"/>
      <c r="K41" s="52">
        <v>0</v>
      </c>
      <c r="L41" s="79">
        <v>5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704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708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698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4" x14ac:dyDescent="0.3">
      <c r="A49" s="143" t="s">
        <v>29</v>
      </c>
      <c r="B49" s="144"/>
      <c r="C49" s="145" t="s">
        <v>682</v>
      </c>
      <c r="D49" s="146"/>
      <c r="E49" s="145" t="s">
        <v>689</v>
      </c>
      <c r="F49" s="146"/>
      <c r="G49" s="145" t="s">
        <v>697</v>
      </c>
      <c r="H49" s="146"/>
      <c r="I49" s="145" t="s">
        <v>703</v>
      </c>
      <c r="J49" s="146"/>
    </row>
    <row r="50" spans="1:14" x14ac:dyDescent="0.3">
      <c r="A50" s="120" t="s">
        <v>30</v>
      </c>
      <c r="B50" s="121"/>
      <c r="C50" s="136">
        <v>11049</v>
      </c>
      <c r="D50" s="137"/>
      <c r="E50" s="136">
        <v>10986</v>
      </c>
      <c r="F50" s="137"/>
      <c r="G50" s="136">
        <v>10922</v>
      </c>
      <c r="H50" s="137"/>
      <c r="I50" s="136">
        <v>10884</v>
      </c>
      <c r="J50" s="137"/>
    </row>
    <row r="51" spans="1:14" x14ac:dyDescent="0.3">
      <c r="A51" s="120" t="s">
        <v>31</v>
      </c>
      <c r="B51" s="121"/>
      <c r="C51" s="136">
        <v>10529</v>
      </c>
      <c r="D51" s="137"/>
      <c r="E51" s="136">
        <v>10600</v>
      </c>
      <c r="F51" s="137"/>
      <c r="G51" s="136">
        <v>10722</v>
      </c>
      <c r="H51" s="137"/>
      <c r="I51" s="136">
        <v>10837</v>
      </c>
      <c r="J51" s="137"/>
    </row>
    <row r="52" spans="1:14" x14ac:dyDescent="0.3">
      <c r="A52" s="120" t="s">
        <v>32</v>
      </c>
      <c r="B52" s="121"/>
      <c r="C52" s="136">
        <v>111839</v>
      </c>
      <c r="D52" s="137"/>
      <c r="E52" s="136">
        <v>111982</v>
      </c>
      <c r="F52" s="137"/>
      <c r="G52" s="136">
        <v>111757</v>
      </c>
      <c r="H52" s="137"/>
      <c r="I52" s="136">
        <v>111632</v>
      </c>
      <c r="J52" s="137"/>
    </row>
    <row r="53" spans="1:14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  <c r="M53" s="442"/>
      <c r="N53" s="442"/>
    </row>
    <row r="54" spans="1:14" x14ac:dyDescent="0.3">
      <c r="A54" s="120" t="s">
        <v>34</v>
      </c>
      <c r="B54" s="121"/>
      <c r="C54" s="136">
        <v>49373</v>
      </c>
      <c r="D54" s="137"/>
      <c r="E54" s="136">
        <v>49432</v>
      </c>
      <c r="F54" s="137"/>
      <c r="G54" s="136">
        <v>49367</v>
      </c>
      <c r="H54" s="137"/>
      <c r="I54" s="136">
        <v>49348</v>
      </c>
      <c r="J54" s="137"/>
    </row>
    <row r="55" spans="1:14" x14ac:dyDescent="0.3">
      <c r="A55" s="120" t="s">
        <v>53</v>
      </c>
      <c r="B55" s="121"/>
      <c r="C55" s="138">
        <v>4371</v>
      </c>
      <c r="D55" s="139"/>
      <c r="E55" s="138">
        <v>4364</v>
      </c>
      <c r="F55" s="139"/>
      <c r="G55" s="138">
        <v>4367</v>
      </c>
      <c r="H55" s="139"/>
      <c r="I55" s="138">
        <v>4368</v>
      </c>
      <c r="J55" s="139"/>
    </row>
    <row r="56" spans="1:14" x14ac:dyDescent="0.3">
      <c r="A56" s="120" t="s">
        <v>49</v>
      </c>
      <c r="B56" s="121"/>
      <c r="C56" s="136">
        <v>21916</v>
      </c>
      <c r="D56" s="137"/>
      <c r="E56" s="136">
        <v>22031</v>
      </c>
      <c r="F56" s="137"/>
      <c r="G56" s="136">
        <v>22052</v>
      </c>
      <c r="H56" s="137"/>
      <c r="I56" s="136">
        <v>22111</v>
      </c>
      <c r="J56" s="137"/>
      <c r="K56" s="51"/>
    </row>
    <row r="57" spans="1:14" x14ac:dyDescent="0.3">
      <c r="A57" s="120" t="s">
        <v>35</v>
      </c>
      <c r="B57" s="121"/>
      <c r="C57" s="138">
        <v>3185</v>
      </c>
      <c r="D57" s="139"/>
      <c r="E57" s="138">
        <v>3292</v>
      </c>
      <c r="F57" s="139"/>
      <c r="G57" s="138">
        <v>3412</v>
      </c>
      <c r="H57" s="139"/>
      <c r="I57" s="138">
        <v>3491</v>
      </c>
      <c r="J57" s="139"/>
    </row>
    <row r="58" spans="1:14" x14ac:dyDescent="0.3">
      <c r="A58" s="120" t="s">
        <v>36</v>
      </c>
      <c r="B58" s="121"/>
      <c r="C58" s="122">
        <f>SUM(C50:D57)</f>
        <v>212502</v>
      </c>
      <c r="D58" s="123"/>
      <c r="E58" s="122">
        <f>SUM(E50:F57)</f>
        <v>212927</v>
      </c>
      <c r="F58" s="123"/>
      <c r="G58" s="122">
        <f>SUM(G50:H57)</f>
        <v>212839</v>
      </c>
      <c r="H58" s="123"/>
      <c r="I58" s="122">
        <f>SUM(I50:J57)</f>
        <v>212911</v>
      </c>
      <c r="J58" s="123"/>
    </row>
    <row r="60" spans="1:14" x14ac:dyDescent="0.3">
      <c r="A60" s="124" t="s">
        <v>37</v>
      </c>
      <c r="B60" s="125"/>
      <c r="C60" s="130" t="s">
        <v>682</v>
      </c>
      <c r="D60" s="131"/>
      <c r="E60" s="130" t="s">
        <v>689</v>
      </c>
      <c r="F60" s="131"/>
      <c r="G60" s="130" t="s">
        <v>697</v>
      </c>
      <c r="H60" s="131"/>
      <c r="I60" s="130" t="s">
        <v>703</v>
      </c>
      <c r="J60" s="131"/>
    </row>
    <row r="61" spans="1:14" x14ac:dyDescent="0.3">
      <c r="A61" s="126"/>
      <c r="B61" s="127"/>
      <c r="C61" s="132">
        <v>139907</v>
      </c>
      <c r="D61" s="133"/>
      <c r="E61" s="132">
        <v>140050</v>
      </c>
      <c r="F61" s="133"/>
      <c r="G61" s="132">
        <v>140109</v>
      </c>
      <c r="H61" s="133"/>
      <c r="I61" s="132">
        <v>140050</v>
      </c>
      <c r="J61" s="133"/>
    </row>
    <row r="62" spans="1:14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577</v>
      </c>
      <c r="D66" s="115"/>
      <c r="E66" s="114" t="s">
        <v>628</v>
      </c>
      <c r="F66" s="115"/>
      <c r="G66" s="114" t="s">
        <v>671</v>
      </c>
      <c r="H66" s="115"/>
      <c r="I66" s="114" t="s">
        <v>702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30398</v>
      </c>
      <c r="D69" s="104"/>
      <c r="E69" s="103">
        <v>30944</v>
      </c>
      <c r="F69" s="104"/>
      <c r="G69" s="103">
        <v>31898</v>
      </c>
      <c r="H69" s="104"/>
      <c r="I69" s="103">
        <v>32193</v>
      </c>
      <c r="J69" s="104"/>
    </row>
    <row r="70" spans="1:10" x14ac:dyDescent="0.3">
      <c r="A70" s="101" t="s">
        <v>13</v>
      </c>
      <c r="B70" s="102"/>
      <c r="C70" s="103">
        <v>7127</v>
      </c>
      <c r="D70" s="104"/>
      <c r="E70" s="103">
        <v>7193</v>
      </c>
      <c r="F70" s="104"/>
      <c r="G70" s="103">
        <v>7570</v>
      </c>
      <c r="H70" s="104"/>
      <c r="I70" s="103">
        <v>7323</v>
      </c>
      <c r="J70" s="104"/>
    </row>
    <row r="71" spans="1:10" x14ac:dyDescent="0.3">
      <c r="A71" s="107" t="s">
        <v>14</v>
      </c>
      <c r="B71" s="108"/>
      <c r="C71" s="103">
        <v>6283</v>
      </c>
      <c r="D71" s="104"/>
      <c r="E71" s="103">
        <v>6345</v>
      </c>
      <c r="F71" s="104"/>
      <c r="G71" s="103">
        <v>6438</v>
      </c>
      <c r="H71" s="104"/>
      <c r="I71" s="103">
        <v>6486</v>
      </c>
      <c r="J71" s="104"/>
    </row>
    <row r="72" spans="1:10" x14ac:dyDescent="0.3">
      <c r="A72" s="107" t="s">
        <v>41</v>
      </c>
      <c r="B72" s="108"/>
      <c r="C72" s="103">
        <v>1472</v>
      </c>
      <c r="D72" s="104"/>
      <c r="E72" s="103">
        <v>1519</v>
      </c>
      <c r="F72" s="104"/>
      <c r="G72" s="103">
        <v>1545</v>
      </c>
      <c r="H72" s="104"/>
      <c r="I72" s="103">
        <v>1587</v>
      </c>
      <c r="J72" s="104"/>
    </row>
    <row r="73" spans="1:10" x14ac:dyDescent="0.3">
      <c r="A73" s="101" t="s">
        <v>15</v>
      </c>
      <c r="B73" s="102"/>
      <c r="C73" s="103">
        <v>4792</v>
      </c>
      <c r="D73" s="104"/>
      <c r="E73" s="103">
        <v>4837</v>
      </c>
      <c r="F73" s="104"/>
      <c r="G73" s="103">
        <v>4907</v>
      </c>
      <c r="H73" s="104"/>
      <c r="I73" s="103">
        <v>5035</v>
      </c>
      <c r="J73" s="104"/>
    </row>
    <row r="74" spans="1:10" x14ac:dyDescent="0.3">
      <c r="A74" s="107" t="s">
        <v>16</v>
      </c>
      <c r="B74" s="108"/>
      <c r="C74" s="103">
        <v>4921</v>
      </c>
      <c r="D74" s="104"/>
      <c r="E74" s="103">
        <v>5008</v>
      </c>
      <c r="F74" s="104"/>
      <c r="G74" s="103">
        <v>5039</v>
      </c>
      <c r="H74" s="104"/>
      <c r="I74" s="103">
        <v>5051</v>
      </c>
      <c r="J74" s="104"/>
    </row>
    <row r="75" spans="1:10" x14ac:dyDescent="0.3">
      <c r="A75" s="101" t="s">
        <v>17</v>
      </c>
      <c r="B75" s="102"/>
      <c r="C75" s="103">
        <v>7806</v>
      </c>
      <c r="D75" s="104"/>
      <c r="E75" s="103">
        <v>7930</v>
      </c>
      <c r="F75" s="104"/>
      <c r="G75" s="103">
        <v>8036</v>
      </c>
      <c r="H75" s="104"/>
      <c r="I75" s="103">
        <v>8141</v>
      </c>
      <c r="J75" s="104"/>
    </row>
    <row r="76" spans="1:10" x14ac:dyDescent="0.3">
      <c r="A76" s="107" t="s">
        <v>18</v>
      </c>
      <c r="B76" s="108"/>
      <c r="C76" s="103">
        <v>1610</v>
      </c>
      <c r="D76" s="104"/>
      <c r="E76" s="103">
        <v>1634</v>
      </c>
      <c r="F76" s="104"/>
      <c r="G76" s="103">
        <v>1656</v>
      </c>
      <c r="H76" s="104"/>
      <c r="I76" s="103">
        <v>1666</v>
      </c>
      <c r="J76" s="104"/>
    </row>
    <row r="77" spans="1:10" x14ac:dyDescent="0.3">
      <c r="A77" s="101" t="s">
        <v>19</v>
      </c>
      <c r="B77" s="102"/>
      <c r="C77" s="103">
        <v>5920</v>
      </c>
      <c r="D77" s="104"/>
      <c r="E77" s="103">
        <v>6006</v>
      </c>
      <c r="F77" s="104"/>
      <c r="G77" s="103">
        <v>6113</v>
      </c>
      <c r="H77" s="104"/>
      <c r="I77" s="103">
        <v>6245</v>
      </c>
      <c r="J77" s="104"/>
    </row>
    <row r="78" spans="1:10" x14ac:dyDescent="0.3">
      <c r="A78" s="105" t="s">
        <v>42</v>
      </c>
      <c r="B78" s="106"/>
      <c r="C78" s="103">
        <f>SUM(C69:C77)</f>
        <v>70329</v>
      </c>
      <c r="D78" s="104"/>
      <c r="E78" s="103">
        <f>SUM(E69:E77)</f>
        <v>71416</v>
      </c>
      <c r="F78" s="104"/>
      <c r="G78" s="103">
        <f>SUM(G69:G77)</f>
        <v>73202</v>
      </c>
      <c r="H78" s="104"/>
      <c r="I78" s="103">
        <f>SUM(I69:I77)</f>
        <v>73727</v>
      </c>
      <c r="J78" s="104"/>
    </row>
  </sheetData>
  <mergeCells count="311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8:B78"/>
    <mergeCell ref="C78:D78"/>
    <mergeCell ref="E78:F78"/>
    <mergeCell ref="G78:H78"/>
    <mergeCell ref="I78:J78"/>
    <mergeCell ref="M53:N53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</mergeCells>
  <pageMargins left="0.7" right="0.7" top="0.75" bottom="0.75" header="0.3" footer="0.3"/>
  <pageSetup paperSize="9"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78"/>
  <sheetViews>
    <sheetView workbookViewId="0">
      <selection sqref="A1:XFD1048576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</cols>
  <sheetData>
    <row r="1" spans="1:17" x14ac:dyDescent="0.3">
      <c r="C1" s="43"/>
      <c r="G1" s="43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50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710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6006</v>
      </c>
      <c r="D5" s="215"/>
      <c r="E5" s="215">
        <v>10</v>
      </c>
      <c r="F5" s="215"/>
      <c r="G5" s="215">
        <v>360</v>
      </c>
      <c r="H5" s="215"/>
      <c r="I5" s="213">
        <v>5100</v>
      </c>
      <c r="J5" s="214"/>
      <c r="K5" s="216">
        <v>1050</v>
      </c>
      <c r="L5" s="217"/>
      <c r="M5" s="56">
        <v>7410</v>
      </c>
      <c r="N5" s="53">
        <v>1740</v>
      </c>
      <c r="O5" s="88">
        <v>837</v>
      </c>
      <c r="P5" s="53">
        <v>12527</v>
      </c>
      <c r="Q5" s="89">
        <v>12221</v>
      </c>
    </row>
    <row r="6" spans="1:17" x14ac:dyDescent="0.3">
      <c r="A6" s="211" t="s">
        <v>11</v>
      </c>
      <c r="B6" s="212"/>
      <c r="C6" s="213">
        <v>2100</v>
      </c>
      <c r="D6" s="214"/>
      <c r="E6" s="213">
        <v>232</v>
      </c>
      <c r="F6" s="214"/>
      <c r="G6" s="213">
        <v>0</v>
      </c>
      <c r="H6" s="214"/>
      <c r="I6" s="213">
        <v>53</v>
      </c>
      <c r="J6" s="214"/>
      <c r="K6" s="213">
        <v>34</v>
      </c>
      <c r="L6" s="214"/>
      <c r="M6" s="53">
        <v>50</v>
      </c>
      <c r="N6" s="53">
        <v>4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269</v>
      </c>
      <c r="D7" s="210"/>
      <c r="E7" s="210">
        <v>161</v>
      </c>
      <c r="F7" s="210"/>
      <c r="G7" s="210">
        <v>240</v>
      </c>
      <c r="H7" s="210"/>
      <c r="I7" s="149">
        <v>62</v>
      </c>
      <c r="J7" s="150"/>
      <c r="K7" s="149">
        <v>321</v>
      </c>
      <c r="L7" s="150"/>
      <c r="M7" s="52">
        <v>482</v>
      </c>
      <c r="N7" s="52">
        <v>33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368</v>
      </c>
      <c r="D8" s="210"/>
      <c r="E8" s="210">
        <v>115</v>
      </c>
      <c r="F8" s="210"/>
      <c r="G8" s="210">
        <v>0</v>
      </c>
      <c r="H8" s="210"/>
      <c r="I8" s="149">
        <v>79</v>
      </c>
      <c r="J8" s="150"/>
      <c r="K8" s="149">
        <v>0</v>
      </c>
      <c r="L8" s="150"/>
      <c r="M8" s="52">
        <v>83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339</v>
      </c>
      <c r="D9" s="210"/>
      <c r="E9" s="210">
        <v>58</v>
      </c>
      <c r="F9" s="210"/>
      <c r="G9" s="210">
        <v>38</v>
      </c>
      <c r="H9" s="210"/>
      <c r="I9" s="149">
        <v>107</v>
      </c>
      <c r="J9" s="150"/>
      <c r="K9" s="149">
        <v>0</v>
      </c>
      <c r="L9" s="150"/>
      <c r="M9" s="52">
        <v>126</v>
      </c>
      <c r="N9" s="52">
        <v>35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569</v>
      </c>
      <c r="D10" s="210"/>
      <c r="E10" s="210">
        <v>105</v>
      </c>
      <c r="F10" s="210"/>
      <c r="G10" s="210">
        <v>97</v>
      </c>
      <c r="H10" s="210"/>
      <c r="I10" s="149">
        <v>30</v>
      </c>
      <c r="J10" s="150"/>
      <c r="K10" s="149">
        <v>0</v>
      </c>
      <c r="L10" s="150"/>
      <c r="M10" s="52">
        <v>329</v>
      </c>
      <c r="N10" s="52">
        <v>90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248</v>
      </c>
      <c r="D11" s="209"/>
      <c r="E11" s="210">
        <v>44</v>
      </c>
      <c r="F11" s="210"/>
      <c r="G11" s="210">
        <v>26</v>
      </c>
      <c r="H11" s="210"/>
      <c r="I11" s="149">
        <v>61</v>
      </c>
      <c r="J11" s="150"/>
      <c r="K11" s="149">
        <v>0</v>
      </c>
      <c r="L11" s="150"/>
      <c r="M11" s="52">
        <v>124</v>
      </c>
      <c r="N11" s="52">
        <v>131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115</v>
      </c>
      <c r="D12" s="209"/>
      <c r="E12" s="210">
        <v>23</v>
      </c>
      <c r="F12" s="210"/>
      <c r="G12" s="210">
        <v>20</v>
      </c>
      <c r="H12" s="210"/>
      <c r="I12" s="149">
        <v>39</v>
      </c>
      <c r="J12" s="150"/>
      <c r="K12" s="149">
        <v>100</v>
      </c>
      <c r="L12" s="150"/>
      <c r="M12" s="52">
        <v>90</v>
      </c>
      <c r="N12" s="52">
        <v>66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179</v>
      </c>
      <c r="D13" s="150"/>
      <c r="E13" s="149">
        <v>39</v>
      </c>
      <c r="F13" s="150"/>
      <c r="G13" s="149">
        <v>0</v>
      </c>
      <c r="H13" s="150"/>
      <c r="I13" s="149">
        <v>96</v>
      </c>
      <c r="J13" s="150"/>
      <c r="K13" s="149">
        <v>0</v>
      </c>
      <c r="L13" s="150"/>
      <c r="M13" s="52">
        <v>44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239</v>
      </c>
      <c r="D14" s="206"/>
      <c r="E14" s="205">
        <v>9</v>
      </c>
      <c r="F14" s="206"/>
      <c r="G14" s="205">
        <v>18</v>
      </c>
      <c r="H14" s="206"/>
      <c r="I14" s="149">
        <v>23</v>
      </c>
      <c r="J14" s="150"/>
      <c r="K14" s="205">
        <v>120</v>
      </c>
      <c r="L14" s="206"/>
      <c r="M14" s="59">
        <v>257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2061</v>
      </c>
      <c r="P15" s="52">
        <v>2204</v>
      </c>
      <c r="Q15" s="63">
        <v>1586</v>
      </c>
    </row>
    <row r="16" spans="1:17" ht="15" thickBot="1" x14ac:dyDescent="0.35">
      <c r="A16" s="199" t="s">
        <v>20</v>
      </c>
      <c r="B16" s="200"/>
      <c r="C16" s="201">
        <f>SUM(C5:D15)</f>
        <v>10432</v>
      </c>
      <c r="D16" s="202"/>
      <c r="E16" s="201">
        <f>SUM(E5:F15)</f>
        <v>796</v>
      </c>
      <c r="F16" s="202"/>
      <c r="G16" s="201">
        <f>SUM(G5:H15)</f>
        <v>799</v>
      </c>
      <c r="H16" s="202"/>
      <c r="I16" s="201">
        <f>SUM(I5:J15)</f>
        <v>5650</v>
      </c>
      <c r="J16" s="202"/>
      <c r="K16" s="201">
        <f>SUM(K5:L15)</f>
        <v>1625</v>
      </c>
      <c r="L16" s="202"/>
      <c r="M16" s="4">
        <f>SUM(M5:M15)</f>
        <v>8995</v>
      </c>
      <c r="N16" s="4">
        <f>SUM(N5:N15)</f>
        <v>2175</v>
      </c>
      <c r="O16" s="4">
        <f>SUM(O5:O15)</f>
        <v>2980</v>
      </c>
      <c r="P16" s="4">
        <f>SUM(P5:P15)</f>
        <v>14766</v>
      </c>
      <c r="Q16" s="33">
        <f>SUM(Q5:Q15)</f>
        <v>13815</v>
      </c>
    </row>
    <row r="17" spans="1:17" ht="15" thickBot="1" x14ac:dyDescent="0.35">
      <c r="A17" s="190" t="s">
        <v>21</v>
      </c>
      <c r="B17" s="191"/>
      <c r="C17" s="192">
        <v>5906</v>
      </c>
      <c r="D17" s="192"/>
      <c r="E17" s="193">
        <v>10</v>
      </c>
      <c r="F17" s="194"/>
      <c r="G17" s="195">
        <v>360</v>
      </c>
      <c r="H17" s="196"/>
      <c r="I17" s="195">
        <v>5100</v>
      </c>
      <c r="J17" s="196"/>
      <c r="K17" s="197">
        <v>830</v>
      </c>
      <c r="L17" s="198"/>
      <c r="M17" s="36">
        <v>7410</v>
      </c>
      <c r="N17" s="30">
        <v>1740</v>
      </c>
      <c r="O17" s="86">
        <v>837</v>
      </c>
      <c r="P17" s="37">
        <v>12527</v>
      </c>
      <c r="Q17" s="87">
        <v>12221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O20" s="49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7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</row>
    <row r="24" spans="1:17" x14ac:dyDescent="0.3">
      <c r="A24" s="105" t="s">
        <v>9</v>
      </c>
      <c r="B24" s="158"/>
      <c r="C24" s="159" t="s">
        <v>710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223</v>
      </c>
      <c r="D25" s="162"/>
      <c r="E25" s="185" t="s">
        <v>684</v>
      </c>
      <c r="F25" s="186"/>
      <c r="G25" s="161">
        <v>0</v>
      </c>
      <c r="H25" s="162"/>
      <c r="I25" s="161">
        <v>8</v>
      </c>
      <c r="J25" s="162"/>
      <c r="K25" s="70">
        <v>0</v>
      </c>
      <c r="L25" s="78">
        <v>17</v>
      </c>
      <c r="M25" s="78">
        <v>3</v>
      </c>
      <c r="N25"/>
      <c r="O25"/>
    </row>
    <row r="26" spans="1:17" x14ac:dyDescent="0.3">
      <c r="A26" s="101" t="s">
        <v>13</v>
      </c>
      <c r="B26" s="102"/>
      <c r="C26" s="149">
        <v>53</v>
      </c>
      <c r="D26" s="150"/>
      <c r="E26" s="165" t="s">
        <v>25</v>
      </c>
      <c r="F26" s="166"/>
      <c r="G26" s="149">
        <v>0</v>
      </c>
      <c r="H26" s="150"/>
      <c r="I26" s="149">
        <v>150</v>
      </c>
      <c r="J26" s="150"/>
      <c r="K26" s="52">
        <v>0</v>
      </c>
      <c r="L26" s="79">
        <v>0</v>
      </c>
      <c r="M26" s="79">
        <v>0</v>
      </c>
      <c r="N26"/>
      <c r="O26"/>
    </row>
    <row r="27" spans="1:17" x14ac:dyDescent="0.3">
      <c r="A27" s="101" t="s">
        <v>14</v>
      </c>
      <c r="B27" s="102"/>
      <c r="C27" s="149">
        <v>134</v>
      </c>
      <c r="D27" s="150"/>
      <c r="E27" s="165" t="s">
        <v>714</v>
      </c>
      <c r="F27" s="166"/>
      <c r="G27" s="149">
        <v>30</v>
      </c>
      <c r="H27" s="150"/>
      <c r="I27" s="149">
        <v>74</v>
      </c>
      <c r="J27" s="150"/>
      <c r="K27" s="52">
        <v>4</v>
      </c>
      <c r="L27" s="79">
        <v>19</v>
      </c>
      <c r="M27" s="79">
        <v>3</v>
      </c>
      <c r="N27"/>
      <c r="O27"/>
    </row>
    <row r="28" spans="1:17" x14ac:dyDescent="0.3">
      <c r="A28" s="101" t="s">
        <v>15</v>
      </c>
      <c r="B28" s="102"/>
      <c r="C28" s="165" t="s">
        <v>709</v>
      </c>
      <c r="D28" s="166"/>
      <c r="E28" s="165" t="s">
        <v>90</v>
      </c>
      <c r="F28" s="166"/>
      <c r="G28" s="149">
        <v>0</v>
      </c>
      <c r="H28" s="150"/>
      <c r="I28" s="149">
        <v>12</v>
      </c>
      <c r="J28" s="150"/>
      <c r="K28" s="52">
        <v>2</v>
      </c>
      <c r="L28" s="81">
        <v>2</v>
      </c>
      <c r="M28" s="79">
        <v>0</v>
      </c>
      <c r="N28"/>
      <c r="O28"/>
    </row>
    <row r="29" spans="1:17" x14ac:dyDescent="0.3">
      <c r="A29" s="101" t="s">
        <v>16</v>
      </c>
      <c r="B29" s="102"/>
      <c r="C29" s="183" t="s">
        <v>712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  <c r="N29"/>
      <c r="O29" s="58"/>
    </row>
    <row r="30" spans="1:17" x14ac:dyDescent="0.3">
      <c r="A30" s="101" t="s">
        <v>17</v>
      </c>
      <c r="B30" s="102"/>
      <c r="C30" s="152">
        <v>10</v>
      </c>
      <c r="D30" s="153"/>
      <c r="E30" s="165" t="s">
        <v>116</v>
      </c>
      <c r="F30" s="166"/>
      <c r="G30" s="149">
        <v>0</v>
      </c>
      <c r="H30" s="150"/>
      <c r="I30" s="149">
        <v>12</v>
      </c>
      <c r="J30" s="150"/>
      <c r="K30" s="52">
        <v>0</v>
      </c>
      <c r="L30" s="79">
        <v>1</v>
      </c>
      <c r="M30" s="79">
        <v>0</v>
      </c>
      <c r="N30"/>
      <c r="O30"/>
      <c r="P30"/>
    </row>
    <row r="31" spans="1:17" x14ac:dyDescent="0.3">
      <c r="A31" s="101" t="s">
        <v>18</v>
      </c>
      <c r="B31" s="102"/>
      <c r="C31" s="183" t="s">
        <v>661</v>
      </c>
      <c r="D31" s="184"/>
      <c r="E31" s="165" t="s">
        <v>25</v>
      </c>
      <c r="F31" s="166"/>
      <c r="G31" s="149">
        <v>0</v>
      </c>
      <c r="H31" s="150"/>
      <c r="I31" s="149">
        <v>3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710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10</v>
      </c>
      <c r="D38" s="162"/>
      <c r="E38" s="163" t="s">
        <v>648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18</v>
      </c>
      <c r="M38" s="78">
        <v>2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711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6" x14ac:dyDescent="0.3">
      <c r="A40" s="147" t="s">
        <v>14</v>
      </c>
      <c r="B40" s="148"/>
      <c r="C40" s="149" t="s">
        <v>405</v>
      </c>
      <c r="D40" s="150"/>
      <c r="E40" s="154" t="s">
        <v>715</v>
      </c>
      <c r="F40" s="155"/>
      <c r="G40" s="149">
        <v>37</v>
      </c>
      <c r="H40" s="150"/>
      <c r="I40" s="149" t="s">
        <v>378</v>
      </c>
      <c r="J40" s="150"/>
      <c r="K40" s="52">
        <v>0</v>
      </c>
      <c r="L40" s="79">
        <v>6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695</v>
      </c>
      <c r="F41" s="155"/>
      <c r="G41" s="149">
        <v>30</v>
      </c>
      <c r="H41" s="150"/>
      <c r="I41" s="149">
        <v>0</v>
      </c>
      <c r="J41" s="150"/>
      <c r="K41" s="52">
        <v>0</v>
      </c>
      <c r="L41" s="79">
        <v>5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713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717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716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4" x14ac:dyDescent="0.3">
      <c r="A49" s="143" t="s">
        <v>29</v>
      </c>
      <c r="B49" s="144"/>
      <c r="C49" s="145" t="s">
        <v>689</v>
      </c>
      <c r="D49" s="146"/>
      <c r="E49" s="145" t="s">
        <v>697</v>
      </c>
      <c r="F49" s="146"/>
      <c r="G49" s="145" t="s">
        <v>703</v>
      </c>
      <c r="H49" s="146"/>
      <c r="I49" s="145" t="s">
        <v>710</v>
      </c>
      <c r="J49" s="146"/>
    </row>
    <row r="50" spans="1:14" x14ac:dyDescent="0.3">
      <c r="A50" s="120" t="s">
        <v>30</v>
      </c>
      <c r="B50" s="121"/>
      <c r="C50" s="136">
        <v>10986</v>
      </c>
      <c r="D50" s="137"/>
      <c r="E50" s="136">
        <v>10922</v>
      </c>
      <c r="F50" s="137"/>
      <c r="G50" s="136">
        <v>10884</v>
      </c>
      <c r="H50" s="137"/>
      <c r="I50" s="136">
        <v>10820</v>
      </c>
      <c r="J50" s="137"/>
    </row>
    <row r="51" spans="1:14" x14ac:dyDescent="0.3">
      <c r="A51" s="120" t="s">
        <v>31</v>
      </c>
      <c r="B51" s="121"/>
      <c r="C51" s="136">
        <v>10600</v>
      </c>
      <c r="D51" s="137"/>
      <c r="E51" s="136">
        <v>10722</v>
      </c>
      <c r="F51" s="137"/>
      <c r="G51" s="136">
        <v>10837</v>
      </c>
      <c r="H51" s="137"/>
      <c r="I51" s="136">
        <v>10923</v>
      </c>
      <c r="J51" s="137"/>
    </row>
    <row r="52" spans="1:14" x14ac:dyDescent="0.3">
      <c r="A52" s="120" t="s">
        <v>32</v>
      </c>
      <c r="B52" s="121"/>
      <c r="C52" s="136">
        <v>111982</v>
      </c>
      <c r="D52" s="137"/>
      <c r="E52" s="136">
        <v>111757</v>
      </c>
      <c r="F52" s="137"/>
      <c r="G52" s="136">
        <v>111632</v>
      </c>
      <c r="H52" s="137"/>
      <c r="I52" s="136">
        <v>111565</v>
      </c>
      <c r="J52" s="137"/>
    </row>
    <row r="53" spans="1:14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  <c r="M53" s="442"/>
      <c r="N53" s="442"/>
    </row>
    <row r="54" spans="1:14" x14ac:dyDescent="0.3">
      <c r="A54" s="120" t="s">
        <v>34</v>
      </c>
      <c r="B54" s="121"/>
      <c r="C54" s="136">
        <v>49432</v>
      </c>
      <c r="D54" s="137"/>
      <c r="E54" s="136">
        <v>49367</v>
      </c>
      <c r="F54" s="137"/>
      <c r="G54" s="136">
        <v>49348</v>
      </c>
      <c r="H54" s="137"/>
      <c r="I54" s="136">
        <v>49297</v>
      </c>
      <c r="J54" s="137"/>
    </row>
    <row r="55" spans="1:14" x14ac:dyDescent="0.3">
      <c r="A55" s="120" t="s">
        <v>53</v>
      </c>
      <c r="B55" s="121"/>
      <c r="C55" s="138">
        <v>4364</v>
      </c>
      <c r="D55" s="139"/>
      <c r="E55" s="138">
        <v>4367</v>
      </c>
      <c r="F55" s="139"/>
      <c r="G55" s="138">
        <v>4368</v>
      </c>
      <c r="H55" s="139"/>
      <c r="I55" s="138">
        <v>4368</v>
      </c>
      <c r="J55" s="139"/>
    </row>
    <row r="56" spans="1:14" x14ac:dyDescent="0.3">
      <c r="A56" s="120" t="s">
        <v>49</v>
      </c>
      <c r="B56" s="121"/>
      <c r="C56" s="136">
        <v>22031</v>
      </c>
      <c r="D56" s="137"/>
      <c r="E56" s="136">
        <v>22052</v>
      </c>
      <c r="F56" s="137"/>
      <c r="G56" s="136">
        <v>22111</v>
      </c>
      <c r="H56" s="137"/>
      <c r="I56" s="136">
        <v>22157</v>
      </c>
      <c r="J56" s="137"/>
      <c r="K56" s="51"/>
    </row>
    <row r="57" spans="1:14" x14ac:dyDescent="0.3">
      <c r="A57" s="120" t="s">
        <v>35</v>
      </c>
      <c r="B57" s="121"/>
      <c r="C57" s="138">
        <v>3292</v>
      </c>
      <c r="D57" s="139"/>
      <c r="E57" s="138">
        <v>3412</v>
      </c>
      <c r="F57" s="139"/>
      <c r="G57" s="138">
        <v>3491</v>
      </c>
      <c r="H57" s="139"/>
      <c r="I57" s="138">
        <v>3549</v>
      </c>
      <c r="J57" s="139"/>
    </row>
    <row r="58" spans="1:14" x14ac:dyDescent="0.3">
      <c r="A58" s="120" t="s">
        <v>36</v>
      </c>
      <c r="B58" s="121"/>
      <c r="C58" s="122">
        <f>SUM(C50:D57)</f>
        <v>212927</v>
      </c>
      <c r="D58" s="123"/>
      <c r="E58" s="122">
        <f>SUM(E50:F57)</f>
        <v>212839</v>
      </c>
      <c r="F58" s="123"/>
      <c r="G58" s="122">
        <f>SUM(G50:H57)</f>
        <v>212911</v>
      </c>
      <c r="H58" s="123"/>
      <c r="I58" s="122">
        <f>SUM(I50:J57)</f>
        <v>212919</v>
      </c>
      <c r="J58" s="123"/>
    </row>
    <row r="60" spans="1:14" x14ac:dyDescent="0.3">
      <c r="A60" s="124" t="s">
        <v>37</v>
      </c>
      <c r="B60" s="125"/>
      <c r="C60" s="130" t="s">
        <v>689</v>
      </c>
      <c r="D60" s="131"/>
      <c r="E60" s="130" t="s">
        <v>697</v>
      </c>
      <c r="F60" s="131"/>
      <c r="G60" s="130" t="s">
        <v>703</v>
      </c>
      <c r="H60" s="131"/>
      <c r="I60" s="130" t="s">
        <v>710</v>
      </c>
      <c r="J60" s="131"/>
    </row>
    <row r="61" spans="1:14" x14ac:dyDescent="0.3">
      <c r="A61" s="126"/>
      <c r="B61" s="127"/>
      <c r="C61" s="132">
        <v>140050</v>
      </c>
      <c r="D61" s="133"/>
      <c r="E61" s="132">
        <v>140109</v>
      </c>
      <c r="F61" s="133"/>
      <c r="G61" s="132">
        <v>140050</v>
      </c>
      <c r="H61" s="133"/>
      <c r="I61" s="132">
        <v>140129</v>
      </c>
      <c r="J61" s="133"/>
    </row>
    <row r="62" spans="1:14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577</v>
      </c>
      <c r="D66" s="115"/>
      <c r="E66" s="114" t="s">
        <v>628</v>
      </c>
      <c r="F66" s="115"/>
      <c r="G66" s="114" t="s">
        <v>671</v>
      </c>
      <c r="H66" s="115"/>
      <c r="I66" s="114" t="s">
        <v>702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30398</v>
      </c>
      <c r="D69" s="104"/>
      <c r="E69" s="103">
        <v>30944</v>
      </c>
      <c r="F69" s="104"/>
      <c r="G69" s="103">
        <v>31898</v>
      </c>
      <c r="H69" s="104"/>
      <c r="I69" s="103">
        <v>32193</v>
      </c>
      <c r="J69" s="104"/>
    </row>
    <row r="70" spans="1:10" x14ac:dyDescent="0.3">
      <c r="A70" s="101" t="s">
        <v>13</v>
      </c>
      <c r="B70" s="102"/>
      <c r="C70" s="103">
        <v>7127</v>
      </c>
      <c r="D70" s="104"/>
      <c r="E70" s="103">
        <v>7193</v>
      </c>
      <c r="F70" s="104"/>
      <c r="G70" s="103">
        <v>7570</v>
      </c>
      <c r="H70" s="104"/>
      <c r="I70" s="103">
        <v>7323</v>
      </c>
      <c r="J70" s="104"/>
    </row>
    <row r="71" spans="1:10" x14ac:dyDescent="0.3">
      <c r="A71" s="107" t="s">
        <v>14</v>
      </c>
      <c r="B71" s="108"/>
      <c r="C71" s="103">
        <v>6283</v>
      </c>
      <c r="D71" s="104"/>
      <c r="E71" s="103">
        <v>6345</v>
      </c>
      <c r="F71" s="104"/>
      <c r="G71" s="103">
        <v>6438</v>
      </c>
      <c r="H71" s="104"/>
      <c r="I71" s="103">
        <v>6486</v>
      </c>
      <c r="J71" s="104"/>
    </row>
    <row r="72" spans="1:10" x14ac:dyDescent="0.3">
      <c r="A72" s="107" t="s">
        <v>41</v>
      </c>
      <c r="B72" s="108"/>
      <c r="C72" s="103">
        <v>1472</v>
      </c>
      <c r="D72" s="104"/>
      <c r="E72" s="103">
        <v>1519</v>
      </c>
      <c r="F72" s="104"/>
      <c r="G72" s="103">
        <v>1545</v>
      </c>
      <c r="H72" s="104"/>
      <c r="I72" s="103">
        <v>1587</v>
      </c>
      <c r="J72" s="104"/>
    </row>
    <row r="73" spans="1:10" x14ac:dyDescent="0.3">
      <c r="A73" s="101" t="s">
        <v>15</v>
      </c>
      <c r="B73" s="102"/>
      <c r="C73" s="103">
        <v>4792</v>
      </c>
      <c r="D73" s="104"/>
      <c r="E73" s="103">
        <v>4837</v>
      </c>
      <c r="F73" s="104"/>
      <c r="G73" s="103">
        <v>4907</v>
      </c>
      <c r="H73" s="104"/>
      <c r="I73" s="103">
        <v>5035</v>
      </c>
      <c r="J73" s="104"/>
    </row>
    <row r="74" spans="1:10" x14ac:dyDescent="0.3">
      <c r="A74" s="107" t="s">
        <v>16</v>
      </c>
      <c r="B74" s="108"/>
      <c r="C74" s="103">
        <v>4921</v>
      </c>
      <c r="D74" s="104"/>
      <c r="E74" s="103">
        <v>5008</v>
      </c>
      <c r="F74" s="104"/>
      <c r="G74" s="103">
        <v>5039</v>
      </c>
      <c r="H74" s="104"/>
      <c r="I74" s="103">
        <v>5051</v>
      </c>
      <c r="J74" s="104"/>
    </row>
    <row r="75" spans="1:10" x14ac:dyDescent="0.3">
      <c r="A75" s="101" t="s">
        <v>17</v>
      </c>
      <c r="B75" s="102"/>
      <c r="C75" s="103">
        <v>7806</v>
      </c>
      <c r="D75" s="104"/>
      <c r="E75" s="103">
        <v>7930</v>
      </c>
      <c r="F75" s="104"/>
      <c r="G75" s="103">
        <v>8036</v>
      </c>
      <c r="H75" s="104"/>
      <c r="I75" s="103">
        <v>8141</v>
      </c>
      <c r="J75" s="104"/>
    </row>
    <row r="76" spans="1:10" x14ac:dyDescent="0.3">
      <c r="A76" s="107" t="s">
        <v>18</v>
      </c>
      <c r="B76" s="108"/>
      <c r="C76" s="103">
        <v>1610</v>
      </c>
      <c r="D76" s="104"/>
      <c r="E76" s="103">
        <v>1634</v>
      </c>
      <c r="F76" s="104"/>
      <c r="G76" s="103">
        <v>1656</v>
      </c>
      <c r="H76" s="104"/>
      <c r="I76" s="103">
        <v>1666</v>
      </c>
      <c r="J76" s="104"/>
    </row>
    <row r="77" spans="1:10" x14ac:dyDescent="0.3">
      <c r="A77" s="101" t="s">
        <v>19</v>
      </c>
      <c r="B77" s="102"/>
      <c r="C77" s="103">
        <v>5920</v>
      </c>
      <c r="D77" s="104"/>
      <c r="E77" s="103">
        <v>6006</v>
      </c>
      <c r="F77" s="104"/>
      <c r="G77" s="103">
        <v>6113</v>
      </c>
      <c r="H77" s="104"/>
      <c r="I77" s="103">
        <v>6245</v>
      </c>
      <c r="J77" s="104"/>
    </row>
    <row r="78" spans="1:10" x14ac:dyDescent="0.3">
      <c r="A78" s="105" t="s">
        <v>42</v>
      </c>
      <c r="B78" s="106"/>
      <c r="C78" s="103">
        <f>SUM(C69:C77)</f>
        <v>70329</v>
      </c>
      <c r="D78" s="104"/>
      <c r="E78" s="103">
        <f>SUM(E69:E77)</f>
        <v>71416</v>
      </c>
      <c r="F78" s="104"/>
      <c r="G78" s="103">
        <f>SUM(G69:G77)</f>
        <v>73202</v>
      </c>
      <c r="H78" s="104"/>
      <c r="I78" s="103">
        <f>SUM(I69:I77)</f>
        <v>73727</v>
      </c>
      <c r="J78" s="104"/>
    </row>
  </sheetData>
  <mergeCells count="311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M53:N53"/>
    <mergeCell ref="A54:B54"/>
    <mergeCell ref="C54:D54"/>
    <mergeCell ref="E54:F54"/>
    <mergeCell ref="G54:H54"/>
    <mergeCell ref="I54:J54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5:J65"/>
    <mergeCell ref="A66:B66"/>
    <mergeCell ref="C66:D66"/>
    <mergeCell ref="E66:F66"/>
    <mergeCell ref="G66:H66"/>
    <mergeCell ref="I66:J66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78"/>
  <sheetViews>
    <sheetView workbookViewId="0">
      <selection activeCell="R17" sqref="R17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</cols>
  <sheetData>
    <row r="1" spans="1:17" x14ac:dyDescent="0.3">
      <c r="C1" s="43"/>
      <c r="G1" s="43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50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718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5656</v>
      </c>
      <c r="D5" s="215"/>
      <c r="E5" s="215">
        <v>10</v>
      </c>
      <c r="F5" s="215"/>
      <c r="G5" s="215">
        <v>360</v>
      </c>
      <c r="H5" s="215"/>
      <c r="I5" s="213">
        <v>5100</v>
      </c>
      <c r="J5" s="214"/>
      <c r="K5" s="216">
        <v>830</v>
      </c>
      <c r="L5" s="217"/>
      <c r="M5" s="56">
        <v>7410</v>
      </c>
      <c r="N5" s="53">
        <v>1740</v>
      </c>
      <c r="O5" s="88">
        <v>577</v>
      </c>
      <c r="P5" s="53">
        <v>11921</v>
      </c>
      <c r="Q5" s="89">
        <v>12257</v>
      </c>
    </row>
    <row r="6" spans="1:17" x14ac:dyDescent="0.3">
      <c r="A6" s="211" t="s">
        <v>11</v>
      </c>
      <c r="B6" s="212"/>
      <c r="C6" s="213">
        <v>2563</v>
      </c>
      <c r="D6" s="214"/>
      <c r="E6" s="213">
        <v>321</v>
      </c>
      <c r="F6" s="214"/>
      <c r="G6" s="213">
        <v>1</v>
      </c>
      <c r="H6" s="214"/>
      <c r="I6" s="213">
        <v>86</v>
      </c>
      <c r="J6" s="214"/>
      <c r="K6" s="213">
        <v>38</v>
      </c>
      <c r="L6" s="214"/>
      <c r="M6" s="53">
        <v>136</v>
      </c>
      <c r="N6" s="53">
        <v>4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219</v>
      </c>
      <c r="D7" s="210"/>
      <c r="E7" s="210">
        <v>106</v>
      </c>
      <c r="F7" s="210"/>
      <c r="G7" s="210">
        <v>240</v>
      </c>
      <c r="H7" s="210"/>
      <c r="I7" s="149">
        <v>58</v>
      </c>
      <c r="J7" s="150"/>
      <c r="K7" s="149">
        <v>302</v>
      </c>
      <c r="L7" s="150"/>
      <c r="M7" s="52">
        <v>398</v>
      </c>
      <c r="N7" s="52">
        <v>31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194</v>
      </c>
      <c r="D8" s="210"/>
      <c r="E8" s="210">
        <v>50</v>
      </c>
      <c r="F8" s="210"/>
      <c r="G8" s="210">
        <v>0</v>
      </c>
      <c r="H8" s="210"/>
      <c r="I8" s="149">
        <v>79</v>
      </c>
      <c r="J8" s="150"/>
      <c r="K8" s="149">
        <v>50</v>
      </c>
      <c r="L8" s="150"/>
      <c r="M8" s="52">
        <v>65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440</v>
      </c>
      <c r="D9" s="210"/>
      <c r="E9" s="210">
        <v>49</v>
      </c>
      <c r="F9" s="210"/>
      <c r="G9" s="210">
        <v>28</v>
      </c>
      <c r="H9" s="210"/>
      <c r="I9" s="149">
        <v>235</v>
      </c>
      <c r="J9" s="150"/>
      <c r="K9" s="149">
        <v>0</v>
      </c>
      <c r="L9" s="150"/>
      <c r="M9" s="52">
        <v>270</v>
      </c>
      <c r="N9" s="52">
        <v>32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450</v>
      </c>
      <c r="D10" s="210"/>
      <c r="E10" s="210">
        <v>75</v>
      </c>
      <c r="F10" s="210"/>
      <c r="G10" s="210">
        <v>61</v>
      </c>
      <c r="H10" s="210"/>
      <c r="I10" s="149">
        <v>29</v>
      </c>
      <c r="J10" s="150"/>
      <c r="K10" s="149">
        <v>60</v>
      </c>
      <c r="L10" s="150"/>
      <c r="M10" s="52">
        <v>295</v>
      </c>
      <c r="N10" s="52">
        <v>61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229</v>
      </c>
      <c r="D11" s="209"/>
      <c r="E11" s="210">
        <v>39</v>
      </c>
      <c r="F11" s="210"/>
      <c r="G11" s="210">
        <v>26</v>
      </c>
      <c r="H11" s="210"/>
      <c r="I11" s="149">
        <v>57</v>
      </c>
      <c r="J11" s="150"/>
      <c r="K11" s="149">
        <v>0</v>
      </c>
      <c r="L11" s="150"/>
      <c r="M11" s="52">
        <v>116</v>
      </c>
      <c r="N11" s="52">
        <v>124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93</v>
      </c>
      <c r="D12" s="209"/>
      <c r="E12" s="210">
        <v>23</v>
      </c>
      <c r="F12" s="210"/>
      <c r="G12" s="210">
        <v>18</v>
      </c>
      <c r="H12" s="210"/>
      <c r="I12" s="149">
        <v>28</v>
      </c>
      <c r="J12" s="150"/>
      <c r="K12" s="149">
        <v>83</v>
      </c>
      <c r="L12" s="150"/>
      <c r="M12" s="52">
        <v>75</v>
      </c>
      <c r="N12" s="52">
        <v>65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260</v>
      </c>
      <c r="D13" s="150"/>
      <c r="E13" s="149">
        <v>80</v>
      </c>
      <c r="F13" s="150"/>
      <c r="G13" s="149">
        <v>0</v>
      </c>
      <c r="H13" s="150"/>
      <c r="I13" s="149">
        <v>133</v>
      </c>
      <c r="J13" s="150"/>
      <c r="K13" s="149">
        <v>0</v>
      </c>
      <c r="L13" s="150"/>
      <c r="M13" s="52">
        <v>86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217</v>
      </c>
      <c r="D14" s="206"/>
      <c r="E14" s="205">
        <v>31</v>
      </c>
      <c r="F14" s="206"/>
      <c r="G14" s="205">
        <v>14</v>
      </c>
      <c r="H14" s="206"/>
      <c r="I14" s="149">
        <v>8</v>
      </c>
      <c r="J14" s="150"/>
      <c r="K14" s="205">
        <v>97</v>
      </c>
      <c r="L14" s="206"/>
      <c r="M14" s="59">
        <v>232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1977</v>
      </c>
      <c r="P15" s="52">
        <v>1630</v>
      </c>
      <c r="Q15" s="63">
        <v>2252</v>
      </c>
    </row>
    <row r="16" spans="1:17" ht="15" thickBot="1" x14ac:dyDescent="0.35">
      <c r="A16" s="199" t="s">
        <v>20</v>
      </c>
      <c r="B16" s="200"/>
      <c r="C16" s="201">
        <f>SUM(C5:D15)</f>
        <v>10321</v>
      </c>
      <c r="D16" s="202"/>
      <c r="E16" s="201">
        <f>SUM(E5:F15)</f>
        <v>784</v>
      </c>
      <c r="F16" s="202"/>
      <c r="G16" s="201">
        <f>SUM(G5:H15)</f>
        <v>748</v>
      </c>
      <c r="H16" s="202"/>
      <c r="I16" s="201">
        <f>SUM(I5:J15)</f>
        <v>5813</v>
      </c>
      <c r="J16" s="202"/>
      <c r="K16" s="201">
        <f>SUM(K5:L15)</f>
        <v>1460</v>
      </c>
      <c r="L16" s="202"/>
      <c r="M16" s="4">
        <f>SUM(M5:M15)</f>
        <v>9083</v>
      </c>
      <c r="N16" s="4">
        <f>SUM(N5:N15)</f>
        <v>2133</v>
      </c>
      <c r="O16" s="4">
        <f>SUM(O5:O15)</f>
        <v>2636</v>
      </c>
      <c r="P16" s="4">
        <f>SUM(P5:P15)</f>
        <v>13586</v>
      </c>
      <c r="Q16" s="33">
        <f>SUM(Q5:Q15)</f>
        <v>14517</v>
      </c>
    </row>
    <row r="17" spans="1:17" ht="15" thickBot="1" x14ac:dyDescent="0.35">
      <c r="A17" s="190" t="s">
        <v>21</v>
      </c>
      <c r="B17" s="191"/>
      <c r="C17" s="192">
        <v>5656</v>
      </c>
      <c r="D17" s="192"/>
      <c r="E17" s="193">
        <v>10</v>
      </c>
      <c r="F17" s="194"/>
      <c r="G17" s="195">
        <v>360</v>
      </c>
      <c r="H17" s="196"/>
      <c r="I17" s="195">
        <v>5100</v>
      </c>
      <c r="J17" s="196"/>
      <c r="K17" s="197">
        <v>830</v>
      </c>
      <c r="L17" s="198"/>
      <c r="M17" s="36">
        <v>7410</v>
      </c>
      <c r="N17" s="30">
        <v>1740</v>
      </c>
      <c r="O17" s="86">
        <v>577</v>
      </c>
      <c r="P17" s="37">
        <v>11921</v>
      </c>
      <c r="Q17" s="87">
        <v>12257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O20" s="49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7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</row>
    <row r="24" spans="1:17" x14ac:dyDescent="0.3">
      <c r="A24" s="105" t="s">
        <v>9</v>
      </c>
      <c r="B24" s="158"/>
      <c r="C24" s="159" t="s">
        <v>718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171</v>
      </c>
      <c r="D25" s="162"/>
      <c r="E25" s="185" t="s">
        <v>348</v>
      </c>
      <c r="F25" s="186"/>
      <c r="G25" s="161">
        <v>0</v>
      </c>
      <c r="H25" s="162"/>
      <c r="I25" s="161">
        <v>8</v>
      </c>
      <c r="J25" s="162"/>
      <c r="K25" s="70">
        <v>0</v>
      </c>
      <c r="L25" s="78">
        <v>14</v>
      </c>
      <c r="M25" s="78">
        <v>3</v>
      </c>
      <c r="N25"/>
      <c r="O25"/>
    </row>
    <row r="26" spans="1:17" x14ac:dyDescent="0.3">
      <c r="A26" s="101" t="s">
        <v>13</v>
      </c>
      <c r="B26" s="102"/>
      <c r="C26" s="149">
        <v>6</v>
      </c>
      <c r="D26" s="150"/>
      <c r="E26" s="165" t="s">
        <v>25</v>
      </c>
      <c r="F26" s="166"/>
      <c r="G26" s="149">
        <v>0</v>
      </c>
      <c r="H26" s="150"/>
      <c r="I26" s="149">
        <v>146</v>
      </c>
      <c r="J26" s="150"/>
      <c r="K26" s="52">
        <v>0</v>
      </c>
      <c r="L26" s="79">
        <v>0</v>
      </c>
      <c r="M26" s="79">
        <v>0</v>
      </c>
      <c r="N26"/>
      <c r="O26"/>
    </row>
    <row r="27" spans="1:17" x14ac:dyDescent="0.3">
      <c r="A27" s="101" t="s">
        <v>14</v>
      </c>
      <c r="B27" s="102"/>
      <c r="C27" s="149">
        <v>162</v>
      </c>
      <c r="D27" s="150"/>
      <c r="E27" s="165" t="s">
        <v>714</v>
      </c>
      <c r="F27" s="166"/>
      <c r="G27" s="149">
        <v>30</v>
      </c>
      <c r="H27" s="150"/>
      <c r="I27" s="149">
        <v>74</v>
      </c>
      <c r="J27" s="150"/>
      <c r="K27" s="52">
        <v>4</v>
      </c>
      <c r="L27" s="79">
        <v>18</v>
      </c>
      <c r="M27" s="79">
        <v>3</v>
      </c>
      <c r="N27"/>
      <c r="O27"/>
    </row>
    <row r="28" spans="1:17" x14ac:dyDescent="0.3">
      <c r="A28" s="101" t="s">
        <v>15</v>
      </c>
      <c r="B28" s="102"/>
      <c r="C28" s="165" t="s">
        <v>722</v>
      </c>
      <c r="D28" s="166"/>
      <c r="E28" s="165" t="s">
        <v>90</v>
      </c>
      <c r="F28" s="166"/>
      <c r="G28" s="149">
        <v>0</v>
      </c>
      <c r="H28" s="150"/>
      <c r="I28" s="149">
        <v>12</v>
      </c>
      <c r="J28" s="150"/>
      <c r="K28" s="52">
        <v>2</v>
      </c>
      <c r="L28" s="81">
        <v>3</v>
      </c>
      <c r="M28" s="79">
        <v>0</v>
      </c>
      <c r="N28"/>
      <c r="O28"/>
    </row>
    <row r="29" spans="1:17" x14ac:dyDescent="0.3">
      <c r="A29" s="101" t="s">
        <v>16</v>
      </c>
      <c r="B29" s="102"/>
      <c r="C29" s="183" t="s">
        <v>719</v>
      </c>
      <c r="D29" s="184"/>
      <c r="E29" s="165" t="s">
        <v>450</v>
      </c>
      <c r="F29" s="166"/>
      <c r="G29" s="149">
        <v>0</v>
      </c>
      <c r="H29" s="150"/>
      <c r="I29" s="149">
        <v>14</v>
      </c>
      <c r="J29" s="150"/>
      <c r="K29" s="52">
        <v>3</v>
      </c>
      <c r="L29" s="79">
        <v>2</v>
      </c>
      <c r="M29" s="79">
        <v>1</v>
      </c>
      <c r="N29"/>
      <c r="O29" s="58"/>
    </row>
    <row r="30" spans="1:17" x14ac:dyDescent="0.3">
      <c r="A30" s="101" t="s">
        <v>17</v>
      </c>
      <c r="B30" s="102"/>
      <c r="C30" s="152">
        <v>10</v>
      </c>
      <c r="D30" s="153"/>
      <c r="E30" s="165" t="s">
        <v>116</v>
      </c>
      <c r="F30" s="166"/>
      <c r="G30" s="149">
        <v>0</v>
      </c>
      <c r="H30" s="150"/>
      <c r="I30" s="149">
        <v>12</v>
      </c>
      <c r="J30" s="150"/>
      <c r="K30" s="52">
        <v>0</v>
      </c>
      <c r="L30" s="79">
        <v>1</v>
      </c>
      <c r="M30" s="79">
        <v>0</v>
      </c>
      <c r="N30"/>
      <c r="O30"/>
      <c r="P30"/>
    </row>
    <row r="31" spans="1:17" x14ac:dyDescent="0.3">
      <c r="A31" s="101" t="s">
        <v>18</v>
      </c>
      <c r="B31" s="102"/>
      <c r="C31" s="183" t="s">
        <v>661</v>
      </c>
      <c r="D31" s="184"/>
      <c r="E31" s="165" t="s">
        <v>25</v>
      </c>
      <c r="F31" s="166"/>
      <c r="G31" s="149">
        <v>0</v>
      </c>
      <c r="H31" s="150"/>
      <c r="I31" s="149">
        <v>3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718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10</v>
      </c>
      <c r="D38" s="162"/>
      <c r="E38" s="163" t="s">
        <v>88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18</v>
      </c>
      <c r="M38" s="78">
        <v>2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720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6" x14ac:dyDescent="0.3">
      <c r="A40" s="147" t="s">
        <v>14</v>
      </c>
      <c r="B40" s="148"/>
      <c r="C40" s="149" t="s">
        <v>589</v>
      </c>
      <c r="D40" s="150"/>
      <c r="E40" s="154" t="s">
        <v>721</v>
      </c>
      <c r="F40" s="155"/>
      <c r="G40" s="149">
        <v>37</v>
      </c>
      <c r="H40" s="150"/>
      <c r="I40" s="149" t="s">
        <v>378</v>
      </c>
      <c r="J40" s="150"/>
      <c r="K40" s="52">
        <v>0</v>
      </c>
      <c r="L40" s="79">
        <v>5</v>
      </c>
      <c r="M40" s="79">
        <v>1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695</v>
      </c>
      <c r="F41" s="155"/>
      <c r="G41" s="149">
        <v>30</v>
      </c>
      <c r="H41" s="150"/>
      <c r="I41" s="149">
        <v>0</v>
      </c>
      <c r="J41" s="150"/>
      <c r="K41" s="52">
        <v>0</v>
      </c>
      <c r="L41" s="79">
        <v>5</v>
      </c>
      <c r="M41" s="79">
        <v>0</v>
      </c>
      <c r="N41"/>
    </row>
    <row r="42" spans="1:16" x14ac:dyDescent="0.3">
      <c r="A42" s="147" t="s">
        <v>16</v>
      </c>
      <c r="B42" s="148"/>
      <c r="C42" s="152" t="s">
        <v>650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723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716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4" x14ac:dyDescent="0.3">
      <c r="A49" s="143" t="s">
        <v>29</v>
      </c>
      <c r="B49" s="144"/>
      <c r="C49" s="145" t="s">
        <v>697</v>
      </c>
      <c r="D49" s="146"/>
      <c r="E49" s="145" t="s">
        <v>703</v>
      </c>
      <c r="F49" s="146"/>
      <c r="G49" s="145" t="s">
        <v>710</v>
      </c>
      <c r="H49" s="146"/>
      <c r="I49" s="145" t="s">
        <v>718</v>
      </c>
      <c r="J49" s="146"/>
    </row>
    <row r="50" spans="1:14" x14ac:dyDescent="0.3">
      <c r="A50" s="120" t="s">
        <v>30</v>
      </c>
      <c r="B50" s="121"/>
      <c r="C50" s="136">
        <v>10922</v>
      </c>
      <c r="D50" s="137"/>
      <c r="E50" s="136">
        <v>10884</v>
      </c>
      <c r="F50" s="137"/>
      <c r="G50" s="136">
        <v>10820</v>
      </c>
      <c r="H50" s="137"/>
      <c r="I50" s="136">
        <v>10741</v>
      </c>
      <c r="J50" s="137"/>
    </row>
    <row r="51" spans="1:14" x14ac:dyDescent="0.3">
      <c r="A51" s="120" t="s">
        <v>31</v>
      </c>
      <c r="B51" s="121"/>
      <c r="C51" s="136">
        <v>10722</v>
      </c>
      <c r="D51" s="137"/>
      <c r="E51" s="136">
        <v>10837</v>
      </c>
      <c r="F51" s="137"/>
      <c r="G51" s="136">
        <v>10923</v>
      </c>
      <c r="H51" s="137"/>
      <c r="I51" s="136">
        <v>11013</v>
      </c>
      <c r="J51" s="137"/>
    </row>
    <row r="52" spans="1:14" x14ac:dyDescent="0.3">
      <c r="A52" s="120" t="s">
        <v>32</v>
      </c>
      <c r="B52" s="121"/>
      <c r="C52" s="136">
        <v>111757</v>
      </c>
      <c r="D52" s="137"/>
      <c r="E52" s="136">
        <v>111632</v>
      </c>
      <c r="F52" s="137"/>
      <c r="G52" s="136">
        <v>111565</v>
      </c>
      <c r="H52" s="137"/>
      <c r="I52" s="136">
        <v>111460</v>
      </c>
      <c r="J52" s="137"/>
    </row>
    <row r="53" spans="1:14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  <c r="M53" s="442"/>
      <c r="N53" s="442"/>
    </row>
    <row r="54" spans="1:14" x14ac:dyDescent="0.3">
      <c r="A54" s="120" t="s">
        <v>34</v>
      </c>
      <c r="B54" s="121"/>
      <c r="C54" s="136">
        <v>49367</v>
      </c>
      <c r="D54" s="137"/>
      <c r="E54" s="136">
        <v>49348</v>
      </c>
      <c r="F54" s="137"/>
      <c r="G54" s="136">
        <v>49297</v>
      </c>
      <c r="H54" s="137"/>
      <c r="I54" s="136">
        <v>49270</v>
      </c>
      <c r="J54" s="137"/>
    </row>
    <row r="55" spans="1:14" x14ac:dyDescent="0.3">
      <c r="A55" s="120" t="s">
        <v>53</v>
      </c>
      <c r="B55" s="121"/>
      <c r="C55" s="138">
        <v>4367</v>
      </c>
      <c r="D55" s="139"/>
      <c r="E55" s="138">
        <v>4368</v>
      </c>
      <c r="F55" s="139"/>
      <c r="G55" s="138">
        <v>4368</v>
      </c>
      <c r="H55" s="139"/>
      <c r="I55" s="138">
        <v>4393</v>
      </c>
      <c r="J55" s="139"/>
    </row>
    <row r="56" spans="1:14" x14ac:dyDescent="0.3">
      <c r="A56" s="120" t="s">
        <v>49</v>
      </c>
      <c r="B56" s="121"/>
      <c r="C56" s="136">
        <v>22052</v>
      </c>
      <c r="D56" s="137"/>
      <c r="E56" s="136">
        <v>22111</v>
      </c>
      <c r="F56" s="137"/>
      <c r="G56" s="136">
        <v>22157</v>
      </c>
      <c r="H56" s="137"/>
      <c r="I56" s="136">
        <v>22217</v>
      </c>
      <c r="J56" s="137"/>
      <c r="K56" s="51"/>
    </row>
    <row r="57" spans="1:14" x14ac:dyDescent="0.3">
      <c r="A57" s="120" t="s">
        <v>35</v>
      </c>
      <c r="B57" s="121"/>
      <c r="C57" s="138">
        <v>3412</v>
      </c>
      <c r="D57" s="139"/>
      <c r="E57" s="138">
        <v>3491</v>
      </c>
      <c r="F57" s="139"/>
      <c r="G57" s="138">
        <v>3549</v>
      </c>
      <c r="H57" s="139"/>
      <c r="I57" s="138">
        <v>3624</v>
      </c>
      <c r="J57" s="139"/>
    </row>
    <row r="58" spans="1:14" x14ac:dyDescent="0.3">
      <c r="A58" s="120" t="s">
        <v>36</v>
      </c>
      <c r="B58" s="121"/>
      <c r="C58" s="122">
        <f>SUM(C50:D57)</f>
        <v>212839</v>
      </c>
      <c r="D58" s="123"/>
      <c r="E58" s="122">
        <f>SUM(E50:F57)</f>
        <v>212911</v>
      </c>
      <c r="F58" s="123"/>
      <c r="G58" s="122">
        <f>SUM(G50:H57)</f>
        <v>212919</v>
      </c>
      <c r="H58" s="123"/>
      <c r="I58" s="122">
        <f>SUM(I50:J57)</f>
        <v>212958</v>
      </c>
      <c r="J58" s="123"/>
    </row>
    <row r="60" spans="1:14" x14ac:dyDescent="0.3">
      <c r="A60" s="124" t="s">
        <v>37</v>
      </c>
      <c r="B60" s="125"/>
      <c r="C60" s="130" t="s">
        <v>697</v>
      </c>
      <c r="D60" s="131"/>
      <c r="E60" s="130" t="s">
        <v>703</v>
      </c>
      <c r="F60" s="131"/>
      <c r="G60" s="130" t="s">
        <v>710</v>
      </c>
      <c r="H60" s="131"/>
      <c r="I60" s="130" t="s">
        <v>718</v>
      </c>
      <c r="J60" s="131"/>
    </row>
    <row r="61" spans="1:14" x14ac:dyDescent="0.3">
      <c r="A61" s="126"/>
      <c r="B61" s="127"/>
      <c r="C61" s="132">
        <v>140109</v>
      </c>
      <c r="D61" s="133"/>
      <c r="E61" s="132">
        <v>140050</v>
      </c>
      <c r="F61" s="133"/>
      <c r="G61" s="132">
        <v>140129</v>
      </c>
      <c r="H61" s="133"/>
      <c r="I61" s="132">
        <v>140086</v>
      </c>
      <c r="J61" s="133"/>
    </row>
    <row r="62" spans="1:14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577</v>
      </c>
      <c r="D66" s="115"/>
      <c r="E66" s="114" t="s">
        <v>628</v>
      </c>
      <c r="F66" s="115"/>
      <c r="G66" s="114" t="s">
        <v>671</v>
      </c>
      <c r="H66" s="115"/>
      <c r="I66" s="114" t="s">
        <v>702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30398</v>
      </c>
      <c r="D69" s="104"/>
      <c r="E69" s="103">
        <v>30944</v>
      </c>
      <c r="F69" s="104"/>
      <c r="G69" s="103">
        <v>31898</v>
      </c>
      <c r="H69" s="104"/>
      <c r="I69" s="103">
        <v>32193</v>
      </c>
      <c r="J69" s="104"/>
    </row>
    <row r="70" spans="1:10" x14ac:dyDescent="0.3">
      <c r="A70" s="101" t="s">
        <v>13</v>
      </c>
      <c r="B70" s="102"/>
      <c r="C70" s="103">
        <v>7127</v>
      </c>
      <c r="D70" s="104"/>
      <c r="E70" s="103">
        <v>7193</v>
      </c>
      <c r="F70" s="104"/>
      <c r="G70" s="103">
        <v>7570</v>
      </c>
      <c r="H70" s="104"/>
      <c r="I70" s="103">
        <v>7323</v>
      </c>
      <c r="J70" s="104"/>
    </row>
    <row r="71" spans="1:10" x14ac:dyDescent="0.3">
      <c r="A71" s="107" t="s">
        <v>14</v>
      </c>
      <c r="B71" s="108"/>
      <c r="C71" s="103">
        <v>6283</v>
      </c>
      <c r="D71" s="104"/>
      <c r="E71" s="103">
        <v>6345</v>
      </c>
      <c r="F71" s="104"/>
      <c r="G71" s="103">
        <v>6438</v>
      </c>
      <c r="H71" s="104"/>
      <c r="I71" s="103">
        <v>6486</v>
      </c>
      <c r="J71" s="104"/>
    </row>
    <row r="72" spans="1:10" x14ac:dyDescent="0.3">
      <c r="A72" s="107" t="s">
        <v>41</v>
      </c>
      <c r="B72" s="108"/>
      <c r="C72" s="103">
        <v>1472</v>
      </c>
      <c r="D72" s="104"/>
      <c r="E72" s="103">
        <v>1519</v>
      </c>
      <c r="F72" s="104"/>
      <c r="G72" s="103">
        <v>1545</v>
      </c>
      <c r="H72" s="104"/>
      <c r="I72" s="103">
        <v>1587</v>
      </c>
      <c r="J72" s="104"/>
    </row>
    <row r="73" spans="1:10" x14ac:dyDescent="0.3">
      <c r="A73" s="101" t="s">
        <v>15</v>
      </c>
      <c r="B73" s="102"/>
      <c r="C73" s="103">
        <v>4792</v>
      </c>
      <c r="D73" s="104"/>
      <c r="E73" s="103">
        <v>4837</v>
      </c>
      <c r="F73" s="104"/>
      <c r="G73" s="103">
        <v>4907</v>
      </c>
      <c r="H73" s="104"/>
      <c r="I73" s="103">
        <v>5035</v>
      </c>
      <c r="J73" s="104"/>
    </row>
    <row r="74" spans="1:10" x14ac:dyDescent="0.3">
      <c r="A74" s="107" t="s">
        <v>16</v>
      </c>
      <c r="B74" s="108"/>
      <c r="C74" s="103">
        <v>4921</v>
      </c>
      <c r="D74" s="104"/>
      <c r="E74" s="103">
        <v>5008</v>
      </c>
      <c r="F74" s="104"/>
      <c r="G74" s="103">
        <v>5039</v>
      </c>
      <c r="H74" s="104"/>
      <c r="I74" s="103">
        <v>5051</v>
      </c>
      <c r="J74" s="104"/>
    </row>
    <row r="75" spans="1:10" x14ac:dyDescent="0.3">
      <c r="A75" s="101" t="s">
        <v>17</v>
      </c>
      <c r="B75" s="102"/>
      <c r="C75" s="103">
        <v>7806</v>
      </c>
      <c r="D75" s="104"/>
      <c r="E75" s="103">
        <v>7930</v>
      </c>
      <c r="F75" s="104"/>
      <c r="G75" s="103">
        <v>8036</v>
      </c>
      <c r="H75" s="104"/>
      <c r="I75" s="103">
        <v>8141</v>
      </c>
      <c r="J75" s="104"/>
    </row>
    <row r="76" spans="1:10" x14ac:dyDescent="0.3">
      <c r="A76" s="107" t="s">
        <v>18</v>
      </c>
      <c r="B76" s="108"/>
      <c r="C76" s="103">
        <v>1610</v>
      </c>
      <c r="D76" s="104"/>
      <c r="E76" s="103">
        <v>1634</v>
      </c>
      <c r="F76" s="104"/>
      <c r="G76" s="103">
        <v>1656</v>
      </c>
      <c r="H76" s="104"/>
      <c r="I76" s="103">
        <v>1666</v>
      </c>
      <c r="J76" s="104"/>
    </row>
    <row r="77" spans="1:10" x14ac:dyDescent="0.3">
      <c r="A77" s="101" t="s">
        <v>19</v>
      </c>
      <c r="B77" s="102"/>
      <c r="C77" s="103">
        <v>5920</v>
      </c>
      <c r="D77" s="104"/>
      <c r="E77" s="103">
        <v>6006</v>
      </c>
      <c r="F77" s="104"/>
      <c r="G77" s="103">
        <v>6113</v>
      </c>
      <c r="H77" s="104"/>
      <c r="I77" s="103">
        <v>6245</v>
      </c>
      <c r="J77" s="104"/>
    </row>
    <row r="78" spans="1:10" x14ac:dyDescent="0.3">
      <c r="A78" s="105" t="s">
        <v>42</v>
      </c>
      <c r="B78" s="106"/>
      <c r="C78" s="103">
        <f>SUM(C69:C77)</f>
        <v>70329</v>
      </c>
      <c r="D78" s="104"/>
      <c r="E78" s="103">
        <f>SUM(E69:E77)</f>
        <v>71416</v>
      </c>
      <c r="F78" s="104"/>
      <c r="G78" s="103">
        <f>SUM(G69:G77)</f>
        <v>73202</v>
      </c>
      <c r="H78" s="104"/>
      <c r="I78" s="103">
        <f>SUM(I69:I77)</f>
        <v>73727</v>
      </c>
      <c r="J78" s="104"/>
    </row>
  </sheetData>
  <mergeCells count="311"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65:J65"/>
    <mergeCell ref="A66:B66"/>
    <mergeCell ref="C66:D66"/>
    <mergeCell ref="E66:F66"/>
    <mergeCell ref="G66:H66"/>
    <mergeCell ref="I66:J66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M53:N53"/>
    <mergeCell ref="A54:B54"/>
    <mergeCell ref="C54:D54"/>
    <mergeCell ref="E54:F54"/>
    <mergeCell ref="G54:H54"/>
    <mergeCell ref="I54:J54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78"/>
  <sheetViews>
    <sheetView workbookViewId="0">
      <selection activeCell="C2" sqref="C2:D3"/>
    </sheetView>
  </sheetViews>
  <sheetFormatPr defaultRowHeight="14.4" x14ac:dyDescent="0.3"/>
  <cols>
    <col min="1" max="1" width="9.109375" style="42"/>
    <col min="2" max="2" width="22.109375" style="42" customWidth="1"/>
    <col min="3" max="3" width="9.109375" style="42"/>
    <col min="4" max="4" width="7" style="42" customWidth="1"/>
    <col min="5" max="5" width="9.109375" style="42"/>
    <col min="6" max="6" width="7.109375" style="42" customWidth="1"/>
    <col min="7" max="7" width="9.109375" style="42"/>
    <col min="8" max="8" width="8.5546875" style="42" customWidth="1"/>
    <col min="9" max="9" width="9.109375" style="42"/>
    <col min="10" max="10" width="7.109375" style="42" customWidth="1"/>
    <col min="11" max="11" width="9.109375" style="42"/>
    <col min="12" max="12" width="12.6640625" style="42" customWidth="1"/>
    <col min="13" max="13" width="14.109375" style="42" customWidth="1"/>
    <col min="14" max="14" width="8.33203125" style="42" bestFit="1" customWidth="1"/>
    <col min="15" max="15" width="15.6640625" style="42" bestFit="1" customWidth="1"/>
    <col min="16" max="16" width="11.5546875" style="42" customWidth="1"/>
    <col min="17" max="17" width="10.88671875" style="42" customWidth="1"/>
  </cols>
  <sheetData>
    <row r="1" spans="1:17" x14ac:dyDescent="0.3">
      <c r="C1" s="43"/>
      <c r="G1" s="43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50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724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5056</v>
      </c>
      <c r="D5" s="215"/>
      <c r="E5" s="215">
        <v>10</v>
      </c>
      <c r="F5" s="215"/>
      <c r="G5" s="215">
        <v>360</v>
      </c>
      <c r="H5" s="215"/>
      <c r="I5" s="213">
        <v>5100</v>
      </c>
      <c r="J5" s="214"/>
      <c r="K5" s="216">
        <v>670</v>
      </c>
      <c r="L5" s="217"/>
      <c r="M5" s="56">
        <v>7310</v>
      </c>
      <c r="N5" s="53">
        <v>0</v>
      </c>
      <c r="O5" s="88">
        <v>332</v>
      </c>
      <c r="P5" s="53">
        <v>12127</v>
      </c>
      <c r="Q5" s="89">
        <v>11706</v>
      </c>
    </row>
    <row r="6" spans="1:17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185</v>
      </c>
      <c r="D7" s="210"/>
      <c r="E7" s="210">
        <v>103</v>
      </c>
      <c r="F7" s="210"/>
      <c r="G7" s="210">
        <v>240</v>
      </c>
      <c r="H7" s="210"/>
      <c r="I7" s="149">
        <v>51</v>
      </c>
      <c r="J7" s="150"/>
      <c r="K7" s="149">
        <v>169</v>
      </c>
      <c r="L7" s="150"/>
      <c r="M7" s="52">
        <v>304</v>
      </c>
      <c r="N7" s="52">
        <v>31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431</v>
      </c>
      <c r="D8" s="210"/>
      <c r="E8" s="210">
        <v>44</v>
      </c>
      <c r="F8" s="210"/>
      <c r="G8" s="210">
        <v>0</v>
      </c>
      <c r="H8" s="210"/>
      <c r="I8" s="149">
        <v>78</v>
      </c>
      <c r="J8" s="150"/>
      <c r="K8" s="149">
        <v>149</v>
      </c>
      <c r="L8" s="150"/>
      <c r="M8" s="52">
        <v>150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383</v>
      </c>
      <c r="D9" s="210"/>
      <c r="E9" s="210">
        <v>38</v>
      </c>
      <c r="F9" s="210"/>
      <c r="G9" s="210">
        <v>28</v>
      </c>
      <c r="H9" s="210"/>
      <c r="I9" s="149">
        <v>214</v>
      </c>
      <c r="J9" s="150"/>
      <c r="K9" s="149">
        <v>0</v>
      </c>
      <c r="L9" s="150"/>
      <c r="M9" s="52">
        <v>253</v>
      </c>
      <c r="N9" s="52">
        <v>30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465</v>
      </c>
      <c r="D10" s="210"/>
      <c r="E10" s="210">
        <v>70</v>
      </c>
      <c r="F10" s="210"/>
      <c r="G10" s="210">
        <v>60</v>
      </c>
      <c r="H10" s="210"/>
      <c r="I10" s="149">
        <v>29</v>
      </c>
      <c r="J10" s="150"/>
      <c r="K10" s="149">
        <v>60</v>
      </c>
      <c r="L10" s="150"/>
      <c r="M10" s="52">
        <v>285</v>
      </c>
      <c r="N10" s="52">
        <v>85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219</v>
      </c>
      <c r="D11" s="209"/>
      <c r="E11" s="210">
        <v>37</v>
      </c>
      <c r="F11" s="210"/>
      <c r="G11" s="210">
        <v>15</v>
      </c>
      <c r="H11" s="210"/>
      <c r="I11" s="149">
        <v>52</v>
      </c>
      <c r="J11" s="150"/>
      <c r="K11" s="149">
        <v>120</v>
      </c>
      <c r="L11" s="150"/>
      <c r="M11" s="52">
        <v>111</v>
      </c>
      <c r="N11" s="52">
        <v>116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73</v>
      </c>
      <c r="D12" s="209"/>
      <c r="E12" s="210">
        <v>20</v>
      </c>
      <c r="F12" s="210"/>
      <c r="G12" s="210">
        <v>10</v>
      </c>
      <c r="H12" s="210"/>
      <c r="I12" s="149">
        <v>25</v>
      </c>
      <c r="J12" s="150"/>
      <c r="K12" s="149">
        <v>74</v>
      </c>
      <c r="L12" s="150"/>
      <c r="M12" s="52">
        <v>60</v>
      </c>
      <c r="N12" s="52">
        <v>63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225</v>
      </c>
      <c r="D13" s="150"/>
      <c r="E13" s="149">
        <v>68</v>
      </c>
      <c r="F13" s="150"/>
      <c r="G13" s="149">
        <v>0</v>
      </c>
      <c r="H13" s="150"/>
      <c r="I13" s="149">
        <v>131</v>
      </c>
      <c r="J13" s="150"/>
      <c r="K13" s="149">
        <v>0</v>
      </c>
      <c r="L13" s="150"/>
      <c r="M13" s="52">
        <v>83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190</v>
      </c>
      <c r="D14" s="206"/>
      <c r="E14" s="205">
        <v>26</v>
      </c>
      <c r="F14" s="206"/>
      <c r="G14" s="205">
        <v>12</v>
      </c>
      <c r="H14" s="206"/>
      <c r="I14" s="149">
        <v>8</v>
      </c>
      <c r="J14" s="150"/>
      <c r="K14" s="205">
        <v>81</v>
      </c>
      <c r="L14" s="206"/>
      <c r="M14" s="59">
        <v>193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1946</v>
      </c>
      <c r="P15" s="52">
        <v>2020</v>
      </c>
      <c r="Q15" s="63">
        <v>1614</v>
      </c>
    </row>
    <row r="16" spans="1:17" ht="15" thickBot="1" x14ac:dyDescent="0.35">
      <c r="A16" s="199" t="s">
        <v>20</v>
      </c>
      <c r="B16" s="200"/>
      <c r="C16" s="201">
        <f>SUM(C5:D15)</f>
        <v>8297</v>
      </c>
      <c r="D16" s="202"/>
      <c r="E16" s="201">
        <f>SUM(E5:F15)</f>
        <v>416</v>
      </c>
      <c r="F16" s="202"/>
      <c r="G16" s="201">
        <f>SUM(G5:H15)</f>
        <v>725</v>
      </c>
      <c r="H16" s="202"/>
      <c r="I16" s="201">
        <f>SUM(I5:J15)</f>
        <v>5688</v>
      </c>
      <c r="J16" s="202"/>
      <c r="K16" s="201">
        <f>SUM(K5:L15)</f>
        <v>1323</v>
      </c>
      <c r="L16" s="202"/>
      <c r="M16" s="4">
        <f>SUM(M5:M15)</f>
        <v>8749</v>
      </c>
      <c r="N16" s="4">
        <f>SUM(N5:N15)</f>
        <v>401</v>
      </c>
      <c r="O16" s="4">
        <f>SUM(O5:O15)</f>
        <v>2360</v>
      </c>
      <c r="P16" s="4">
        <f>SUM(P5:P15)</f>
        <v>14182</v>
      </c>
      <c r="Q16" s="33">
        <f>SUM(Q5:Q15)</f>
        <v>13328</v>
      </c>
    </row>
    <row r="17" spans="1:17" ht="15" thickBot="1" x14ac:dyDescent="0.35">
      <c r="A17" s="190" t="s">
        <v>21</v>
      </c>
      <c r="B17" s="191"/>
      <c r="C17" s="192">
        <v>5056</v>
      </c>
      <c r="D17" s="192"/>
      <c r="E17" s="193">
        <v>10</v>
      </c>
      <c r="F17" s="194"/>
      <c r="G17" s="195">
        <v>360</v>
      </c>
      <c r="H17" s="196"/>
      <c r="I17" s="195">
        <v>5100</v>
      </c>
      <c r="J17" s="196"/>
      <c r="K17" s="197">
        <v>550</v>
      </c>
      <c r="L17" s="198"/>
      <c r="M17" s="36">
        <v>7210</v>
      </c>
      <c r="N17" s="30">
        <v>0</v>
      </c>
      <c r="O17" s="86">
        <v>332</v>
      </c>
      <c r="P17" s="37">
        <v>12127</v>
      </c>
      <c r="Q17" s="87">
        <v>11706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O20" s="49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  <c r="P22" s="61"/>
    </row>
    <row r="23" spans="1:17" ht="43.2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 s="84"/>
    </row>
    <row r="24" spans="1:17" x14ac:dyDescent="0.3">
      <c r="A24" s="105" t="s">
        <v>9</v>
      </c>
      <c r="B24" s="158"/>
      <c r="C24" s="159" t="s">
        <v>724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202</v>
      </c>
      <c r="D25" s="162"/>
      <c r="E25" s="185" t="s">
        <v>729</v>
      </c>
      <c r="F25" s="186"/>
      <c r="G25" s="161">
        <v>0</v>
      </c>
      <c r="H25" s="162"/>
      <c r="I25" s="161">
        <v>9</v>
      </c>
      <c r="J25" s="162"/>
      <c r="K25" s="70">
        <v>0</v>
      </c>
      <c r="L25" s="78">
        <v>25</v>
      </c>
      <c r="M25" s="78">
        <v>8</v>
      </c>
      <c r="N25"/>
      <c r="O25"/>
    </row>
    <row r="26" spans="1:17" x14ac:dyDescent="0.3">
      <c r="A26" s="101" t="s">
        <v>13</v>
      </c>
      <c r="B26" s="102"/>
      <c r="C26" s="149">
        <v>9</v>
      </c>
      <c r="D26" s="150"/>
      <c r="E26" s="165" t="s">
        <v>25</v>
      </c>
      <c r="F26" s="166"/>
      <c r="G26" s="149">
        <v>0</v>
      </c>
      <c r="H26" s="150"/>
      <c r="I26" s="149">
        <v>144</v>
      </c>
      <c r="J26" s="150"/>
      <c r="K26" s="52">
        <v>0</v>
      </c>
      <c r="L26" s="79">
        <v>0</v>
      </c>
      <c r="M26" s="79">
        <v>0</v>
      </c>
      <c r="N26"/>
      <c r="O26"/>
    </row>
    <row r="27" spans="1:17" x14ac:dyDescent="0.3">
      <c r="A27" s="101" t="s">
        <v>14</v>
      </c>
      <c r="B27" s="102"/>
      <c r="C27" s="149">
        <v>135</v>
      </c>
      <c r="D27" s="150"/>
      <c r="E27" s="165" t="s">
        <v>303</v>
      </c>
      <c r="F27" s="166"/>
      <c r="G27" s="149">
        <v>43</v>
      </c>
      <c r="H27" s="150"/>
      <c r="I27" s="149">
        <v>81</v>
      </c>
      <c r="J27" s="150"/>
      <c r="K27" s="52">
        <v>4</v>
      </c>
      <c r="L27" s="79">
        <v>27</v>
      </c>
      <c r="M27" s="79">
        <v>3</v>
      </c>
      <c r="N27"/>
      <c r="O27"/>
    </row>
    <row r="28" spans="1:17" x14ac:dyDescent="0.3">
      <c r="A28" s="101" t="s">
        <v>15</v>
      </c>
      <c r="B28" s="102"/>
      <c r="C28" s="165" t="s">
        <v>722</v>
      </c>
      <c r="D28" s="166"/>
      <c r="E28" s="165" t="s">
        <v>90</v>
      </c>
      <c r="F28" s="166"/>
      <c r="G28" s="149">
        <v>0</v>
      </c>
      <c r="H28" s="150"/>
      <c r="I28" s="149">
        <v>25</v>
      </c>
      <c r="J28" s="150"/>
      <c r="K28" s="52">
        <v>2</v>
      </c>
      <c r="L28" s="81">
        <v>3</v>
      </c>
      <c r="M28" s="79">
        <v>0</v>
      </c>
      <c r="N28"/>
      <c r="O28"/>
    </row>
    <row r="29" spans="1:17" x14ac:dyDescent="0.3">
      <c r="A29" s="101" t="s">
        <v>16</v>
      </c>
      <c r="B29" s="102"/>
      <c r="C29" s="183" t="s">
        <v>719</v>
      </c>
      <c r="D29" s="184"/>
      <c r="E29" s="165" t="s">
        <v>90</v>
      </c>
      <c r="F29" s="166"/>
      <c r="G29" s="149">
        <v>0</v>
      </c>
      <c r="H29" s="150"/>
      <c r="I29" s="149">
        <v>14</v>
      </c>
      <c r="J29" s="150"/>
      <c r="K29" s="52">
        <v>3</v>
      </c>
      <c r="L29" s="79">
        <v>2</v>
      </c>
      <c r="M29" s="79">
        <v>1</v>
      </c>
      <c r="N29"/>
      <c r="O29" s="58"/>
    </row>
    <row r="30" spans="1:17" x14ac:dyDescent="0.3">
      <c r="A30" s="101" t="s">
        <v>17</v>
      </c>
      <c r="B30" s="102"/>
      <c r="C30" s="152">
        <v>15</v>
      </c>
      <c r="D30" s="153"/>
      <c r="E30" s="165" t="s">
        <v>116</v>
      </c>
      <c r="F30" s="166"/>
      <c r="G30" s="149">
        <v>0</v>
      </c>
      <c r="H30" s="150"/>
      <c r="I30" s="149">
        <v>12</v>
      </c>
      <c r="J30" s="150"/>
      <c r="K30" s="52">
        <v>0</v>
      </c>
      <c r="L30" s="79">
        <v>2</v>
      </c>
      <c r="M30" s="79">
        <v>0</v>
      </c>
      <c r="N30"/>
      <c r="O30"/>
      <c r="P30"/>
    </row>
    <row r="31" spans="1:17" x14ac:dyDescent="0.3">
      <c r="A31" s="101" t="s">
        <v>18</v>
      </c>
      <c r="B31" s="102"/>
      <c r="C31" s="183" t="s">
        <v>116</v>
      </c>
      <c r="D31" s="184"/>
      <c r="E31" s="165" t="s">
        <v>25</v>
      </c>
      <c r="F31" s="166"/>
      <c r="G31" s="149">
        <v>0</v>
      </c>
      <c r="H31" s="150"/>
      <c r="I31" s="149">
        <v>4</v>
      </c>
      <c r="J31" s="150"/>
      <c r="K31" s="52">
        <v>0</v>
      </c>
      <c r="L31" s="79">
        <v>0</v>
      </c>
      <c r="M31" s="79">
        <v>0</v>
      </c>
      <c r="N31" s="16"/>
      <c r="O31"/>
      <c r="P31"/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  <c r="N32" s="16"/>
      <c r="O32"/>
      <c r="P32"/>
    </row>
    <row r="33" spans="1:16" x14ac:dyDescent="0.3">
      <c r="N33" s="16"/>
      <c r="O33"/>
      <c r="P33"/>
    </row>
    <row r="34" spans="1:16" x14ac:dyDescent="0.3">
      <c r="N34" s="16"/>
      <c r="O34"/>
      <c r="P34"/>
    </row>
    <row r="35" spans="1:16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6" ht="43.2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6" x14ac:dyDescent="0.3">
      <c r="A37" s="105" t="s">
        <v>9</v>
      </c>
      <c r="B37" s="158"/>
      <c r="C37" s="159" t="s">
        <v>724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6" x14ac:dyDescent="0.3">
      <c r="A38" s="147" t="s">
        <v>12</v>
      </c>
      <c r="B38" s="148"/>
      <c r="C38" s="161">
        <v>10</v>
      </c>
      <c r="D38" s="162"/>
      <c r="E38" s="163" t="s">
        <v>656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18</v>
      </c>
      <c r="M38" s="78">
        <v>3</v>
      </c>
    </row>
    <row r="39" spans="1:16" x14ac:dyDescent="0.3">
      <c r="A39" s="147" t="s">
        <v>13</v>
      </c>
      <c r="B39" s="148"/>
      <c r="C39" s="149">
        <v>0</v>
      </c>
      <c r="D39" s="150"/>
      <c r="E39" s="154" t="s">
        <v>728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6" x14ac:dyDescent="0.3">
      <c r="A40" s="147" t="s">
        <v>14</v>
      </c>
      <c r="B40" s="148"/>
      <c r="C40" s="149" t="s">
        <v>726</v>
      </c>
      <c r="D40" s="150"/>
      <c r="E40" s="154" t="s">
        <v>727</v>
      </c>
      <c r="F40" s="155"/>
      <c r="G40" s="149">
        <v>36</v>
      </c>
      <c r="H40" s="150"/>
      <c r="I40" s="149" t="s">
        <v>310</v>
      </c>
      <c r="J40" s="150"/>
      <c r="K40" s="52">
        <v>4</v>
      </c>
      <c r="L40" s="79">
        <v>13</v>
      </c>
      <c r="M40" s="79">
        <v>4</v>
      </c>
    </row>
    <row r="41" spans="1:16" x14ac:dyDescent="0.3">
      <c r="A41" s="147" t="s">
        <v>15</v>
      </c>
      <c r="B41" s="148"/>
      <c r="C41" s="152">
        <v>0</v>
      </c>
      <c r="D41" s="153"/>
      <c r="E41" s="154" t="s">
        <v>695</v>
      </c>
      <c r="F41" s="155"/>
      <c r="G41" s="149">
        <v>30</v>
      </c>
      <c r="H41" s="150"/>
      <c r="I41" s="149">
        <v>0</v>
      </c>
      <c r="J41" s="150"/>
      <c r="K41" s="52">
        <v>0</v>
      </c>
      <c r="L41" s="79">
        <v>25</v>
      </c>
      <c r="M41" s="79">
        <v>8</v>
      </c>
      <c r="N41"/>
    </row>
    <row r="42" spans="1:16" x14ac:dyDescent="0.3">
      <c r="A42" s="147" t="s">
        <v>16</v>
      </c>
      <c r="B42" s="148"/>
      <c r="C42" s="152" t="s">
        <v>650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6" x14ac:dyDescent="0.3">
      <c r="A43" s="147" t="s">
        <v>17</v>
      </c>
      <c r="B43" s="148"/>
      <c r="C43" s="152">
        <v>0</v>
      </c>
      <c r="D43" s="153"/>
      <c r="E43" s="149" t="s">
        <v>730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6" x14ac:dyDescent="0.3">
      <c r="A44" s="147" t="s">
        <v>18</v>
      </c>
      <c r="B44" s="148"/>
      <c r="C44" s="152">
        <v>2</v>
      </c>
      <c r="D44" s="153"/>
      <c r="E44" s="149" t="s">
        <v>725</v>
      </c>
      <c r="F44" s="150"/>
      <c r="G44" s="149">
        <v>0</v>
      </c>
      <c r="H44" s="150"/>
      <c r="I44" s="149">
        <v>1</v>
      </c>
      <c r="J44" s="150"/>
      <c r="K44" s="52">
        <v>0</v>
      </c>
      <c r="L44" s="79">
        <v>0</v>
      </c>
      <c r="M44" s="79">
        <v>0</v>
      </c>
    </row>
    <row r="45" spans="1:16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6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8" spans="1:16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4" x14ac:dyDescent="0.3">
      <c r="A49" s="143" t="s">
        <v>29</v>
      </c>
      <c r="B49" s="144"/>
      <c r="C49" s="145" t="s">
        <v>703</v>
      </c>
      <c r="D49" s="146"/>
      <c r="E49" s="145" t="s">
        <v>710</v>
      </c>
      <c r="F49" s="146"/>
      <c r="G49" s="145" t="s">
        <v>718</v>
      </c>
      <c r="H49" s="146"/>
      <c r="I49" s="145" t="s">
        <v>724</v>
      </c>
      <c r="J49" s="146"/>
    </row>
    <row r="50" spans="1:14" x14ac:dyDescent="0.3">
      <c r="A50" s="120" t="s">
        <v>30</v>
      </c>
      <c r="B50" s="121"/>
      <c r="C50" s="136">
        <v>10884</v>
      </c>
      <c r="D50" s="137"/>
      <c r="E50" s="136">
        <v>10820</v>
      </c>
      <c r="F50" s="137"/>
      <c r="G50" s="136">
        <v>10741</v>
      </c>
      <c r="H50" s="137"/>
      <c r="I50" s="136">
        <v>10678</v>
      </c>
      <c r="J50" s="137"/>
    </row>
    <row r="51" spans="1:14" x14ac:dyDescent="0.3">
      <c r="A51" s="120" t="s">
        <v>31</v>
      </c>
      <c r="B51" s="121"/>
      <c r="C51" s="136">
        <v>10837</v>
      </c>
      <c r="D51" s="137"/>
      <c r="E51" s="136">
        <v>10923</v>
      </c>
      <c r="F51" s="137"/>
      <c r="G51" s="136">
        <v>11013</v>
      </c>
      <c r="H51" s="137"/>
      <c r="I51" s="136">
        <v>11064</v>
      </c>
      <c r="J51" s="137"/>
    </row>
    <row r="52" spans="1:14" x14ac:dyDescent="0.3">
      <c r="A52" s="120" t="s">
        <v>32</v>
      </c>
      <c r="B52" s="121"/>
      <c r="C52" s="136">
        <v>111632</v>
      </c>
      <c r="D52" s="137"/>
      <c r="E52" s="136">
        <v>111565</v>
      </c>
      <c r="F52" s="137"/>
      <c r="G52" s="136">
        <v>111460</v>
      </c>
      <c r="H52" s="137"/>
      <c r="I52" s="136">
        <v>111351</v>
      </c>
      <c r="J52" s="137"/>
    </row>
    <row r="53" spans="1:14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  <c r="M53" s="442"/>
      <c r="N53" s="442"/>
    </row>
    <row r="54" spans="1:14" x14ac:dyDescent="0.3">
      <c r="A54" s="120" t="s">
        <v>34</v>
      </c>
      <c r="B54" s="121"/>
      <c r="C54" s="136">
        <v>49348</v>
      </c>
      <c r="D54" s="137"/>
      <c r="E54" s="136">
        <v>49297</v>
      </c>
      <c r="F54" s="137"/>
      <c r="G54" s="136">
        <v>49270</v>
      </c>
      <c r="H54" s="137"/>
      <c r="I54" s="136">
        <v>49224</v>
      </c>
      <c r="J54" s="137"/>
    </row>
    <row r="55" spans="1:14" x14ac:dyDescent="0.3">
      <c r="A55" s="120" t="s">
        <v>53</v>
      </c>
      <c r="B55" s="121"/>
      <c r="C55" s="138">
        <v>4368</v>
      </c>
      <c r="D55" s="139"/>
      <c r="E55" s="138">
        <v>4368</v>
      </c>
      <c r="F55" s="139"/>
      <c r="G55" s="138">
        <v>4393</v>
      </c>
      <c r="H55" s="139"/>
      <c r="I55" s="138">
        <v>4494</v>
      </c>
      <c r="J55" s="139"/>
    </row>
    <row r="56" spans="1:14" x14ac:dyDescent="0.3">
      <c r="A56" s="120" t="s">
        <v>49</v>
      </c>
      <c r="B56" s="121"/>
      <c r="C56" s="136">
        <v>22111</v>
      </c>
      <c r="D56" s="137"/>
      <c r="E56" s="136">
        <v>22157</v>
      </c>
      <c r="F56" s="137"/>
      <c r="G56" s="136">
        <v>22217</v>
      </c>
      <c r="H56" s="137"/>
      <c r="I56" s="136">
        <v>22245</v>
      </c>
      <c r="J56" s="137"/>
      <c r="K56" s="51"/>
    </row>
    <row r="57" spans="1:14" x14ac:dyDescent="0.3">
      <c r="A57" s="120" t="s">
        <v>35</v>
      </c>
      <c r="B57" s="121"/>
      <c r="C57" s="138">
        <v>3491</v>
      </c>
      <c r="D57" s="139"/>
      <c r="E57" s="138">
        <v>3549</v>
      </c>
      <c r="F57" s="139"/>
      <c r="G57" s="138">
        <v>3624</v>
      </c>
      <c r="H57" s="139"/>
      <c r="I57" s="138">
        <v>3686</v>
      </c>
      <c r="J57" s="139"/>
    </row>
    <row r="58" spans="1:14" x14ac:dyDescent="0.3">
      <c r="A58" s="120" t="s">
        <v>36</v>
      </c>
      <c r="B58" s="121"/>
      <c r="C58" s="122">
        <f>SUM(C50:D57)</f>
        <v>212911</v>
      </c>
      <c r="D58" s="123"/>
      <c r="E58" s="122">
        <f>SUM(E50:F57)</f>
        <v>212919</v>
      </c>
      <c r="F58" s="123"/>
      <c r="G58" s="122">
        <f>SUM(G50:H57)</f>
        <v>212958</v>
      </c>
      <c r="H58" s="123"/>
      <c r="I58" s="122">
        <f>SUM(I50:J57)</f>
        <v>212982</v>
      </c>
      <c r="J58" s="123"/>
    </row>
    <row r="60" spans="1:14" x14ac:dyDescent="0.3">
      <c r="A60" s="124" t="s">
        <v>37</v>
      </c>
      <c r="B60" s="125"/>
      <c r="C60" s="130" t="s">
        <v>703</v>
      </c>
      <c r="D60" s="131"/>
      <c r="E60" s="130" t="s">
        <v>710</v>
      </c>
      <c r="F60" s="131"/>
      <c r="G60" s="130" t="s">
        <v>718</v>
      </c>
      <c r="H60" s="131"/>
      <c r="I60" s="130" t="s">
        <v>724</v>
      </c>
      <c r="J60" s="131"/>
    </row>
    <row r="61" spans="1:14" x14ac:dyDescent="0.3">
      <c r="A61" s="126"/>
      <c r="B61" s="127"/>
      <c r="C61" s="132">
        <v>140050</v>
      </c>
      <c r="D61" s="133"/>
      <c r="E61" s="132">
        <v>140129</v>
      </c>
      <c r="F61" s="133"/>
      <c r="G61" s="132">
        <v>140086</v>
      </c>
      <c r="H61" s="133"/>
      <c r="I61" s="132">
        <v>140078</v>
      </c>
      <c r="J61" s="133"/>
    </row>
    <row r="62" spans="1:14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628</v>
      </c>
      <c r="D66" s="115"/>
      <c r="E66" s="114" t="s">
        <v>671</v>
      </c>
      <c r="F66" s="115"/>
      <c r="G66" s="114" t="s">
        <v>702</v>
      </c>
      <c r="H66" s="115"/>
      <c r="I66" s="114" t="s">
        <v>718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30944</v>
      </c>
      <c r="D69" s="104"/>
      <c r="E69" s="103">
        <v>31898</v>
      </c>
      <c r="F69" s="104"/>
      <c r="G69" s="103">
        <v>32193</v>
      </c>
      <c r="H69" s="104"/>
      <c r="I69" s="103">
        <v>32418</v>
      </c>
      <c r="J69" s="104"/>
    </row>
    <row r="70" spans="1:10" x14ac:dyDescent="0.3">
      <c r="A70" s="101" t="s">
        <v>13</v>
      </c>
      <c r="B70" s="102"/>
      <c r="C70" s="103">
        <v>7193</v>
      </c>
      <c r="D70" s="104"/>
      <c r="E70" s="103">
        <v>7570</v>
      </c>
      <c r="F70" s="104"/>
      <c r="G70" s="103">
        <v>7323</v>
      </c>
      <c r="H70" s="104"/>
      <c r="I70" s="103">
        <v>7352</v>
      </c>
      <c r="J70" s="104"/>
    </row>
    <row r="71" spans="1:10" x14ac:dyDescent="0.3">
      <c r="A71" s="107" t="s">
        <v>14</v>
      </c>
      <c r="B71" s="108"/>
      <c r="C71" s="103">
        <v>6345</v>
      </c>
      <c r="D71" s="104"/>
      <c r="E71" s="103">
        <v>6438</v>
      </c>
      <c r="F71" s="104"/>
      <c r="G71" s="103">
        <v>6486</v>
      </c>
      <c r="H71" s="104"/>
      <c r="I71" s="103">
        <v>6558</v>
      </c>
      <c r="J71" s="104"/>
    </row>
    <row r="72" spans="1:10" x14ac:dyDescent="0.3">
      <c r="A72" s="107" t="s">
        <v>41</v>
      </c>
      <c r="B72" s="108"/>
      <c r="C72" s="103">
        <v>1519</v>
      </c>
      <c r="D72" s="104"/>
      <c r="E72" s="103">
        <v>1545</v>
      </c>
      <c r="F72" s="104"/>
      <c r="G72" s="103">
        <v>1587</v>
      </c>
      <c r="H72" s="104"/>
      <c r="I72" s="103">
        <v>1621</v>
      </c>
      <c r="J72" s="104"/>
    </row>
    <row r="73" spans="1:10" x14ac:dyDescent="0.3">
      <c r="A73" s="101" t="s">
        <v>15</v>
      </c>
      <c r="B73" s="102"/>
      <c r="C73" s="103">
        <v>4837</v>
      </c>
      <c r="D73" s="104"/>
      <c r="E73" s="103">
        <v>4907</v>
      </c>
      <c r="F73" s="104"/>
      <c r="G73" s="103">
        <v>5035</v>
      </c>
      <c r="H73" s="104"/>
      <c r="I73" s="103">
        <v>5117</v>
      </c>
      <c r="J73" s="104"/>
    </row>
    <row r="74" spans="1:10" x14ac:dyDescent="0.3">
      <c r="A74" s="107" t="s">
        <v>16</v>
      </c>
      <c r="B74" s="108"/>
      <c r="C74" s="103">
        <v>5008</v>
      </c>
      <c r="D74" s="104"/>
      <c r="E74" s="103">
        <v>5039</v>
      </c>
      <c r="F74" s="104"/>
      <c r="G74" s="103">
        <v>5051</v>
      </c>
      <c r="H74" s="104"/>
      <c r="I74" s="103">
        <v>5068</v>
      </c>
      <c r="J74" s="104"/>
    </row>
    <row r="75" spans="1:10" x14ac:dyDescent="0.3">
      <c r="A75" s="101" t="s">
        <v>17</v>
      </c>
      <c r="B75" s="102"/>
      <c r="C75" s="103">
        <v>7930</v>
      </c>
      <c r="D75" s="104"/>
      <c r="E75" s="103">
        <v>8036</v>
      </c>
      <c r="F75" s="104"/>
      <c r="G75" s="103">
        <v>8141</v>
      </c>
      <c r="H75" s="104"/>
      <c r="I75" s="103">
        <v>8163</v>
      </c>
      <c r="J75" s="104"/>
    </row>
    <row r="76" spans="1:10" x14ac:dyDescent="0.3">
      <c r="A76" s="107" t="s">
        <v>18</v>
      </c>
      <c r="B76" s="108"/>
      <c r="C76" s="103">
        <v>1634</v>
      </c>
      <c r="D76" s="104"/>
      <c r="E76" s="103">
        <v>1656</v>
      </c>
      <c r="F76" s="104"/>
      <c r="G76" s="103">
        <v>1666</v>
      </c>
      <c r="H76" s="104"/>
      <c r="I76" s="103">
        <v>1679</v>
      </c>
      <c r="J76" s="104"/>
    </row>
    <row r="77" spans="1:10" x14ac:dyDescent="0.3">
      <c r="A77" s="101" t="s">
        <v>19</v>
      </c>
      <c r="B77" s="102"/>
      <c r="C77" s="103">
        <v>6006</v>
      </c>
      <c r="D77" s="104"/>
      <c r="E77" s="103">
        <v>6113</v>
      </c>
      <c r="F77" s="104"/>
      <c r="G77" s="103">
        <v>6245</v>
      </c>
      <c r="H77" s="104"/>
      <c r="I77" s="103">
        <v>6309</v>
      </c>
      <c r="J77" s="104"/>
    </row>
    <row r="78" spans="1:10" x14ac:dyDescent="0.3">
      <c r="A78" s="105" t="s">
        <v>42</v>
      </c>
      <c r="B78" s="106"/>
      <c r="C78" s="103">
        <f>SUM(C69:C77)</f>
        <v>71416</v>
      </c>
      <c r="D78" s="104"/>
      <c r="E78" s="103">
        <f>SUM(E69:E77)</f>
        <v>73202</v>
      </c>
      <c r="F78" s="104"/>
      <c r="G78" s="103">
        <f>SUM(G69:G77)</f>
        <v>73727</v>
      </c>
      <c r="H78" s="104"/>
      <c r="I78" s="103">
        <f>SUM(I69:I77)</f>
        <v>74285</v>
      </c>
      <c r="J78" s="104"/>
    </row>
  </sheetData>
  <mergeCells count="311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M53:N53"/>
    <mergeCell ref="A54:B54"/>
    <mergeCell ref="C54:D54"/>
    <mergeCell ref="E54:F54"/>
    <mergeCell ref="G54:H54"/>
    <mergeCell ref="I54:J54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5:J65"/>
    <mergeCell ref="A66:B66"/>
    <mergeCell ref="C66:D66"/>
    <mergeCell ref="E66:F66"/>
    <mergeCell ref="G66:H66"/>
    <mergeCell ref="I66:J66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78"/>
  <sheetViews>
    <sheetView topLeftCell="A52" workbookViewId="0">
      <selection activeCell="A64" sqref="A64:J78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731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4756</v>
      </c>
      <c r="D5" s="215"/>
      <c r="E5" s="215">
        <v>0</v>
      </c>
      <c r="F5" s="215"/>
      <c r="G5" s="215">
        <v>360</v>
      </c>
      <c r="H5" s="215"/>
      <c r="I5" s="213">
        <v>4860</v>
      </c>
      <c r="J5" s="214"/>
      <c r="K5" s="216">
        <v>190</v>
      </c>
      <c r="L5" s="217"/>
      <c r="M5" s="56">
        <v>7010</v>
      </c>
      <c r="N5" s="53">
        <v>1700</v>
      </c>
      <c r="O5" s="88">
        <v>22</v>
      </c>
      <c r="P5" s="53">
        <v>11987</v>
      </c>
      <c r="Q5" s="89">
        <v>11506</v>
      </c>
    </row>
    <row r="6" spans="1:17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420</v>
      </c>
      <c r="D7" s="210"/>
      <c r="E7" s="210">
        <v>101</v>
      </c>
      <c r="F7" s="210"/>
      <c r="G7" s="210">
        <v>240</v>
      </c>
      <c r="H7" s="210"/>
      <c r="I7" s="149">
        <v>287</v>
      </c>
      <c r="J7" s="150"/>
      <c r="K7" s="149">
        <v>435</v>
      </c>
      <c r="L7" s="150"/>
      <c r="M7" s="52">
        <v>404</v>
      </c>
      <c r="N7" s="52">
        <v>39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398</v>
      </c>
      <c r="D8" s="210"/>
      <c r="E8" s="210">
        <v>30</v>
      </c>
      <c r="F8" s="210"/>
      <c r="G8" s="210">
        <v>0</v>
      </c>
      <c r="H8" s="210"/>
      <c r="I8" s="149">
        <v>74</v>
      </c>
      <c r="J8" s="150"/>
      <c r="K8" s="149">
        <v>121</v>
      </c>
      <c r="L8" s="150"/>
      <c r="M8" s="52">
        <v>139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332</v>
      </c>
      <c r="D9" s="210"/>
      <c r="E9" s="210">
        <v>34</v>
      </c>
      <c r="F9" s="210"/>
      <c r="G9" s="210">
        <v>27</v>
      </c>
      <c r="H9" s="210"/>
      <c r="I9" s="149">
        <v>55</v>
      </c>
      <c r="J9" s="150"/>
      <c r="K9" s="149">
        <v>138</v>
      </c>
      <c r="L9" s="150"/>
      <c r="M9" s="52">
        <v>240</v>
      </c>
      <c r="N9" s="52">
        <v>29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443</v>
      </c>
      <c r="D10" s="210"/>
      <c r="E10" s="210">
        <v>66</v>
      </c>
      <c r="F10" s="210"/>
      <c r="G10" s="210">
        <v>60</v>
      </c>
      <c r="H10" s="210"/>
      <c r="I10" s="149">
        <v>25</v>
      </c>
      <c r="J10" s="150"/>
      <c r="K10" s="149">
        <v>201</v>
      </c>
      <c r="L10" s="150"/>
      <c r="M10" s="52">
        <v>265</v>
      </c>
      <c r="N10" s="52">
        <v>76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211</v>
      </c>
      <c r="D11" s="209"/>
      <c r="E11" s="210">
        <v>29</v>
      </c>
      <c r="F11" s="210"/>
      <c r="G11" s="210">
        <v>12</v>
      </c>
      <c r="H11" s="210"/>
      <c r="I11" s="149">
        <v>85</v>
      </c>
      <c r="J11" s="150"/>
      <c r="K11" s="149">
        <v>110</v>
      </c>
      <c r="L11" s="150"/>
      <c r="M11" s="52">
        <v>103</v>
      </c>
      <c r="N11" s="52">
        <v>101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62</v>
      </c>
      <c r="D12" s="209"/>
      <c r="E12" s="210">
        <v>20</v>
      </c>
      <c r="F12" s="210"/>
      <c r="G12" s="210">
        <v>10</v>
      </c>
      <c r="H12" s="210"/>
      <c r="I12" s="149">
        <v>25</v>
      </c>
      <c r="J12" s="150"/>
      <c r="K12" s="149">
        <v>64</v>
      </c>
      <c r="L12" s="150"/>
      <c r="M12" s="52">
        <v>51</v>
      </c>
      <c r="N12" s="52">
        <v>63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215</v>
      </c>
      <c r="D13" s="150"/>
      <c r="E13" s="149">
        <v>64</v>
      </c>
      <c r="F13" s="150"/>
      <c r="G13" s="149">
        <v>0</v>
      </c>
      <c r="H13" s="150"/>
      <c r="I13" s="149">
        <v>125</v>
      </c>
      <c r="J13" s="150"/>
      <c r="K13" s="149">
        <v>0</v>
      </c>
      <c r="L13" s="150"/>
      <c r="M13" s="52">
        <v>82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171</v>
      </c>
      <c r="D14" s="206"/>
      <c r="E14" s="205">
        <v>25</v>
      </c>
      <c r="F14" s="206"/>
      <c r="G14" s="205">
        <v>11</v>
      </c>
      <c r="H14" s="206"/>
      <c r="I14" s="149">
        <v>8</v>
      </c>
      <c r="J14" s="150"/>
      <c r="K14" s="205">
        <v>168</v>
      </c>
      <c r="L14" s="206"/>
      <c r="M14" s="59">
        <v>258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1874</v>
      </c>
      <c r="P15" s="52">
        <v>2125</v>
      </c>
      <c r="Q15" s="63">
        <v>1591</v>
      </c>
    </row>
    <row r="16" spans="1:17" ht="15" thickBot="1" x14ac:dyDescent="0.35">
      <c r="A16" s="199" t="s">
        <v>20</v>
      </c>
      <c r="B16" s="200"/>
      <c r="C16" s="201">
        <f>SUM(C5:D15)</f>
        <v>8078</v>
      </c>
      <c r="D16" s="202"/>
      <c r="E16" s="201">
        <f>SUM(E5:F15)</f>
        <v>369</v>
      </c>
      <c r="F16" s="202"/>
      <c r="G16" s="201">
        <f>SUM(G5:H15)</f>
        <v>720</v>
      </c>
      <c r="H16" s="202"/>
      <c r="I16" s="201">
        <f>SUM(I5:J15)</f>
        <v>5544</v>
      </c>
      <c r="J16" s="202"/>
      <c r="K16" s="201">
        <f>SUM(K5:L15)</f>
        <v>1427</v>
      </c>
      <c r="L16" s="202"/>
      <c r="M16" s="4">
        <f>SUM(M5:M15)</f>
        <v>8552</v>
      </c>
      <c r="N16" s="4">
        <f>SUM(N5:N15)</f>
        <v>2084</v>
      </c>
      <c r="O16" s="4">
        <f>SUM(O5:O15)</f>
        <v>1978</v>
      </c>
      <c r="P16" s="4">
        <f>SUM(P5:P15)</f>
        <v>14147</v>
      </c>
      <c r="Q16" s="33">
        <f>SUM(Q5:Q15)</f>
        <v>13105</v>
      </c>
    </row>
    <row r="17" spans="1:17" ht="15" thickBot="1" x14ac:dyDescent="0.35">
      <c r="A17" s="190" t="s">
        <v>21</v>
      </c>
      <c r="B17" s="191"/>
      <c r="C17" s="192">
        <v>4556</v>
      </c>
      <c r="D17" s="192"/>
      <c r="E17" s="193">
        <v>0</v>
      </c>
      <c r="F17" s="194"/>
      <c r="G17" s="195">
        <v>357</v>
      </c>
      <c r="H17" s="196"/>
      <c r="I17" s="195">
        <v>4785</v>
      </c>
      <c r="J17" s="196"/>
      <c r="K17" s="197">
        <v>154</v>
      </c>
      <c r="L17" s="198"/>
      <c r="M17" s="36">
        <v>7010</v>
      </c>
      <c r="N17" s="30">
        <v>1600</v>
      </c>
      <c r="O17" s="86">
        <v>22</v>
      </c>
      <c r="P17" s="37">
        <v>11987</v>
      </c>
      <c r="Q17" s="87">
        <v>11506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731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368</v>
      </c>
      <c r="D25" s="162"/>
      <c r="E25" s="185" t="s">
        <v>684</v>
      </c>
      <c r="F25" s="186"/>
      <c r="G25" s="161">
        <v>0</v>
      </c>
      <c r="H25" s="162"/>
      <c r="I25" s="161">
        <v>10</v>
      </c>
      <c r="J25" s="162"/>
      <c r="K25" s="70">
        <v>0</v>
      </c>
      <c r="L25" s="78">
        <v>25</v>
      </c>
      <c r="M25" s="78">
        <v>10</v>
      </c>
    </row>
    <row r="26" spans="1:17" x14ac:dyDescent="0.3">
      <c r="A26" s="101" t="s">
        <v>13</v>
      </c>
      <c r="B26" s="102"/>
      <c r="C26" s="149">
        <v>10</v>
      </c>
      <c r="D26" s="150"/>
      <c r="E26" s="165" t="s">
        <v>25</v>
      </c>
      <c r="F26" s="166"/>
      <c r="G26" s="149">
        <v>0</v>
      </c>
      <c r="H26" s="150"/>
      <c r="I26" s="149">
        <v>144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149</v>
      </c>
      <c r="D27" s="150"/>
      <c r="E27" s="165" t="s">
        <v>706</v>
      </c>
      <c r="F27" s="166"/>
      <c r="G27" s="149">
        <v>32</v>
      </c>
      <c r="H27" s="150"/>
      <c r="I27" s="149">
        <v>74</v>
      </c>
      <c r="J27" s="150"/>
      <c r="K27" s="52">
        <v>28</v>
      </c>
      <c r="L27" s="79">
        <v>18</v>
      </c>
      <c r="M27" s="79">
        <v>3</v>
      </c>
    </row>
    <row r="28" spans="1:17" x14ac:dyDescent="0.3">
      <c r="A28" s="101" t="s">
        <v>15</v>
      </c>
      <c r="B28" s="102"/>
      <c r="C28" s="165" t="s">
        <v>732</v>
      </c>
      <c r="D28" s="166"/>
      <c r="E28" s="165" t="s">
        <v>90</v>
      </c>
      <c r="F28" s="166"/>
      <c r="G28" s="149">
        <v>0</v>
      </c>
      <c r="H28" s="150"/>
      <c r="I28" s="149">
        <v>20</v>
      </c>
      <c r="J28" s="150"/>
      <c r="K28" s="52">
        <v>2</v>
      </c>
      <c r="L28" s="81">
        <v>15</v>
      </c>
      <c r="M28" s="79">
        <v>0</v>
      </c>
    </row>
    <row r="29" spans="1:17" x14ac:dyDescent="0.3">
      <c r="A29" s="101" t="s">
        <v>16</v>
      </c>
      <c r="B29" s="102"/>
      <c r="C29" s="183" t="s">
        <v>719</v>
      </c>
      <c r="D29" s="184"/>
      <c r="E29" s="165" t="s">
        <v>90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18</v>
      </c>
      <c r="D30" s="153"/>
      <c r="E30" s="165" t="s">
        <v>116</v>
      </c>
      <c r="F30" s="166"/>
      <c r="G30" s="149">
        <v>0</v>
      </c>
      <c r="H30" s="150"/>
      <c r="I30" s="149">
        <v>12</v>
      </c>
      <c r="J30" s="150"/>
      <c r="K30" s="52">
        <v>0</v>
      </c>
      <c r="L30" s="79">
        <v>6</v>
      </c>
      <c r="M30" s="79">
        <v>0</v>
      </c>
    </row>
    <row r="31" spans="1:17" x14ac:dyDescent="0.3">
      <c r="A31" s="101" t="s">
        <v>18</v>
      </c>
      <c r="B31" s="102"/>
      <c r="C31" s="183" t="s">
        <v>116</v>
      </c>
      <c r="D31" s="184"/>
      <c r="E31" s="165" t="s">
        <v>25</v>
      </c>
      <c r="F31" s="166"/>
      <c r="G31" s="149">
        <v>0</v>
      </c>
      <c r="H31" s="150"/>
      <c r="I31" s="149">
        <v>6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 t="s">
        <v>737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731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>
        <v>15</v>
      </c>
      <c r="D38" s="162"/>
      <c r="E38" s="163" t="s">
        <v>734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26</v>
      </c>
      <c r="M38" s="78">
        <v>7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735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726</v>
      </c>
      <c r="D40" s="150"/>
      <c r="E40" s="154" t="s">
        <v>727</v>
      </c>
      <c r="F40" s="155"/>
      <c r="G40" s="149">
        <v>36</v>
      </c>
      <c r="H40" s="150"/>
      <c r="I40" s="149" t="s">
        <v>310</v>
      </c>
      <c r="J40" s="150"/>
      <c r="K40" s="52">
        <v>28</v>
      </c>
      <c r="L40" s="79">
        <v>13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650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736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>
        <v>2</v>
      </c>
      <c r="D44" s="153"/>
      <c r="E44" s="149" t="s">
        <v>725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710</v>
      </c>
      <c r="D49" s="146"/>
      <c r="E49" s="145" t="s">
        <v>718</v>
      </c>
      <c r="F49" s="146"/>
      <c r="G49" s="145" t="s">
        <v>724</v>
      </c>
      <c r="H49" s="146"/>
      <c r="I49" s="145" t="s">
        <v>731</v>
      </c>
      <c r="J49" s="146"/>
    </row>
    <row r="50" spans="1:10" x14ac:dyDescent="0.3">
      <c r="A50" s="120" t="s">
        <v>30</v>
      </c>
      <c r="B50" s="121"/>
      <c r="C50" s="136">
        <v>10820</v>
      </c>
      <c r="D50" s="137"/>
      <c r="E50" s="136">
        <v>10741</v>
      </c>
      <c r="F50" s="137"/>
      <c r="G50" s="136">
        <v>10678</v>
      </c>
      <c r="H50" s="137"/>
      <c r="I50" s="136">
        <v>10653</v>
      </c>
      <c r="J50" s="137"/>
    </row>
    <row r="51" spans="1:10" x14ac:dyDescent="0.3">
      <c r="A51" s="120" t="s">
        <v>31</v>
      </c>
      <c r="B51" s="121"/>
      <c r="C51" s="136">
        <v>10923</v>
      </c>
      <c r="D51" s="137"/>
      <c r="E51" s="136">
        <v>11013</v>
      </c>
      <c r="F51" s="137"/>
      <c r="G51" s="136">
        <v>11064</v>
      </c>
      <c r="H51" s="137"/>
      <c r="I51" s="136">
        <v>11129</v>
      </c>
      <c r="J51" s="137"/>
    </row>
    <row r="52" spans="1:10" x14ac:dyDescent="0.3">
      <c r="A52" s="120" t="s">
        <v>32</v>
      </c>
      <c r="B52" s="121"/>
      <c r="C52" s="136">
        <v>111565</v>
      </c>
      <c r="D52" s="137"/>
      <c r="E52" s="136">
        <v>111460</v>
      </c>
      <c r="F52" s="137"/>
      <c r="G52" s="136">
        <v>111351</v>
      </c>
      <c r="H52" s="137"/>
      <c r="I52" s="136">
        <v>111330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0" x14ac:dyDescent="0.3">
      <c r="A54" s="120" t="s">
        <v>34</v>
      </c>
      <c r="B54" s="121"/>
      <c r="C54" s="136">
        <v>49297</v>
      </c>
      <c r="D54" s="137"/>
      <c r="E54" s="136">
        <v>49270</v>
      </c>
      <c r="F54" s="137"/>
      <c r="G54" s="136">
        <v>49224</v>
      </c>
      <c r="H54" s="137"/>
      <c r="I54" s="136">
        <v>49193</v>
      </c>
      <c r="J54" s="137"/>
    </row>
    <row r="55" spans="1:10" x14ac:dyDescent="0.3">
      <c r="A55" s="120" t="s">
        <v>53</v>
      </c>
      <c r="B55" s="121"/>
      <c r="C55" s="138">
        <v>4368</v>
      </c>
      <c r="D55" s="139"/>
      <c r="E55" s="138">
        <v>4393</v>
      </c>
      <c r="F55" s="139"/>
      <c r="G55" s="138">
        <v>4494</v>
      </c>
      <c r="H55" s="139"/>
      <c r="I55" s="138">
        <v>4647</v>
      </c>
      <c r="J55" s="139"/>
    </row>
    <row r="56" spans="1:10" x14ac:dyDescent="0.3">
      <c r="A56" s="120" t="s">
        <v>49</v>
      </c>
      <c r="B56" s="121"/>
      <c r="C56" s="136">
        <v>22157</v>
      </c>
      <c r="D56" s="137"/>
      <c r="E56" s="136">
        <v>22217</v>
      </c>
      <c r="F56" s="137"/>
      <c r="G56" s="136">
        <v>22245</v>
      </c>
      <c r="H56" s="137"/>
      <c r="I56" s="136">
        <v>22289</v>
      </c>
      <c r="J56" s="137"/>
    </row>
    <row r="57" spans="1:10" x14ac:dyDescent="0.3">
      <c r="A57" s="120" t="s">
        <v>35</v>
      </c>
      <c r="B57" s="121"/>
      <c r="C57" s="138">
        <v>3549</v>
      </c>
      <c r="D57" s="139"/>
      <c r="E57" s="138">
        <v>3624</v>
      </c>
      <c r="F57" s="139"/>
      <c r="G57" s="138">
        <v>3686</v>
      </c>
      <c r="H57" s="139"/>
      <c r="I57" s="138">
        <v>3716</v>
      </c>
      <c r="J57" s="139"/>
    </row>
    <row r="58" spans="1:10" x14ac:dyDescent="0.3">
      <c r="A58" s="120" t="s">
        <v>36</v>
      </c>
      <c r="B58" s="121"/>
      <c r="C58" s="122">
        <f>SUM(C50:D57)</f>
        <v>212919</v>
      </c>
      <c r="D58" s="123"/>
      <c r="E58" s="122">
        <f>SUM(E50:F57)</f>
        <v>212958</v>
      </c>
      <c r="F58" s="123"/>
      <c r="G58" s="122">
        <f>SUM(G50:H57)</f>
        <v>212982</v>
      </c>
      <c r="H58" s="123"/>
      <c r="I58" s="122">
        <f>SUM(I50:J57)</f>
        <v>213197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710</v>
      </c>
      <c r="D60" s="131"/>
      <c r="E60" s="130" t="s">
        <v>718</v>
      </c>
      <c r="F60" s="131"/>
      <c r="G60" s="130" t="s">
        <v>724</v>
      </c>
      <c r="H60" s="131"/>
      <c r="I60" s="130" t="s">
        <v>731</v>
      </c>
      <c r="J60" s="131"/>
    </row>
    <row r="61" spans="1:10" x14ac:dyDescent="0.3">
      <c r="A61" s="126"/>
      <c r="B61" s="127"/>
      <c r="C61" s="132">
        <v>140129</v>
      </c>
      <c r="D61" s="133"/>
      <c r="E61" s="132">
        <v>140086</v>
      </c>
      <c r="F61" s="133"/>
      <c r="G61" s="132">
        <v>140078</v>
      </c>
      <c r="H61" s="133"/>
      <c r="I61" s="132">
        <v>140129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628</v>
      </c>
      <c r="D66" s="115"/>
      <c r="E66" s="114" t="s">
        <v>671</v>
      </c>
      <c r="F66" s="115"/>
      <c r="G66" s="114" t="s">
        <v>702</v>
      </c>
      <c r="H66" s="115"/>
      <c r="I66" s="114" t="s">
        <v>718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30944</v>
      </c>
      <c r="D69" s="104"/>
      <c r="E69" s="103">
        <v>31898</v>
      </c>
      <c r="F69" s="104"/>
      <c r="G69" s="103">
        <v>32193</v>
      </c>
      <c r="H69" s="104"/>
      <c r="I69" s="103">
        <v>32418</v>
      </c>
      <c r="J69" s="104"/>
    </row>
    <row r="70" spans="1:10" x14ac:dyDescent="0.3">
      <c r="A70" s="101" t="s">
        <v>13</v>
      </c>
      <c r="B70" s="102"/>
      <c r="C70" s="103">
        <v>7193</v>
      </c>
      <c r="D70" s="104"/>
      <c r="E70" s="103">
        <v>7570</v>
      </c>
      <c r="F70" s="104"/>
      <c r="G70" s="103">
        <v>7323</v>
      </c>
      <c r="H70" s="104"/>
      <c r="I70" s="103">
        <v>7352</v>
      </c>
      <c r="J70" s="104"/>
    </row>
    <row r="71" spans="1:10" x14ac:dyDescent="0.3">
      <c r="A71" s="107" t="s">
        <v>14</v>
      </c>
      <c r="B71" s="108"/>
      <c r="C71" s="103">
        <v>6345</v>
      </c>
      <c r="D71" s="104"/>
      <c r="E71" s="103">
        <v>6438</v>
      </c>
      <c r="F71" s="104"/>
      <c r="G71" s="103">
        <v>6486</v>
      </c>
      <c r="H71" s="104"/>
      <c r="I71" s="103">
        <v>6558</v>
      </c>
      <c r="J71" s="104"/>
    </row>
    <row r="72" spans="1:10" x14ac:dyDescent="0.3">
      <c r="A72" s="107" t="s">
        <v>41</v>
      </c>
      <c r="B72" s="108"/>
      <c r="C72" s="103">
        <v>1519</v>
      </c>
      <c r="D72" s="104"/>
      <c r="E72" s="103">
        <v>1545</v>
      </c>
      <c r="F72" s="104"/>
      <c r="G72" s="103">
        <v>1587</v>
      </c>
      <c r="H72" s="104"/>
      <c r="I72" s="103">
        <v>1621</v>
      </c>
      <c r="J72" s="104"/>
    </row>
    <row r="73" spans="1:10" x14ac:dyDescent="0.3">
      <c r="A73" s="101" t="s">
        <v>15</v>
      </c>
      <c r="B73" s="102"/>
      <c r="C73" s="103">
        <v>4837</v>
      </c>
      <c r="D73" s="104"/>
      <c r="E73" s="103">
        <v>4907</v>
      </c>
      <c r="F73" s="104"/>
      <c r="G73" s="103">
        <v>5035</v>
      </c>
      <c r="H73" s="104"/>
      <c r="I73" s="103">
        <v>5117</v>
      </c>
      <c r="J73" s="104"/>
    </row>
    <row r="74" spans="1:10" x14ac:dyDescent="0.3">
      <c r="A74" s="107" t="s">
        <v>16</v>
      </c>
      <c r="B74" s="108"/>
      <c r="C74" s="103">
        <v>5008</v>
      </c>
      <c r="D74" s="104"/>
      <c r="E74" s="103">
        <v>5039</v>
      </c>
      <c r="F74" s="104"/>
      <c r="G74" s="103">
        <v>5051</v>
      </c>
      <c r="H74" s="104"/>
      <c r="I74" s="103">
        <v>5068</v>
      </c>
      <c r="J74" s="104"/>
    </row>
    <row r="75" spans="1:10" x14ac:dyDescent="0.3">
      <c r="A75" s="101" t="s">
        <v>17</v>
      </c>
      <c r="B75" s="102"/>
      <c r="C75" s="103">
        <v>7930</v>
      </c>
      <c r="D75" s="104"/>
      <c r="E75" s="103">
        <v>8036</v>
      </c>
      <c r="F75" s="104"/>
      <c r="G75" s="103">
        <v>8141</v>
      </c>
      <c r="H75" s="104"/>
      <c r="I75" s="103">
        <v>8163</v>
      </c>
      <c r="J75" s="104"/>
    </row>
    <row r="76" spans="1:10" x14ac:dyDescent="0.3">
      <c r="A76" s="107" t="s">
        <v>18</v>
      </c>
      <c r="B76" s="108"/>
      <c r="C76" s="103">
        <v>1634</v>
      </c>
      <c r="D76" s="104"/>
      <c r="E76" s="103">
        <v>1656</v>
      </c>
      <c r="F76" s="104"/>
      <c r="G76" s="103">
        <v>1666</v>
      </c>
      <c r="H76" s="104"/>
      <c r="I76" s="103">
        <v>1679</v>
      </c>
      <c r="J76" s="104"/>
    </row>
    <row r="77" spans="1:10" x14ac:dyDescent="0.3">
      <c r="A77" s="101" t="s">
        <v>19</v>
      </c>
      <c r="B77" s="102"/>
      <c r="C77" s="103">
        <v>6006</v>
      </c>
      <c r="D77" s="104"/>
      <c r="E77" s="103">
        <v>6113</v>
      </c>
      <c r="F77" s="104"/>
      <c r="G77" s="103">
        <v>6245</v>
      </c>
      <c r="H77" s="104"/>
      <c r="I77" s="103">
        <v>6309</v>
      </c>
      <c r="J77" s="104"/>
    </row>
    <row r="78" spans="1:10" x14ac:dyDescent="0.3">
      <c r="A78" s="105" t="s">
        <v>42</v>
      </c>
      <c r="B78" s="106"/>
      <c r="C78" s="103">
        <f>SUM(C69:C77)</f>
        <v>71416</v>
      </c>
      <c r="D78" s="104"/>
      <c r="E78" s="103">
        <f>SUM(E69:E77)</f>
        <v>73202</v>
      </c>
      <c r="F78" s="104"/>
      <c r="G78" s="103">
        <f>SUM(G69:G77)</f>
        <v>73727</v>
      </c>
      <c r="H78" s="104"/>
      <c r="I78" s="103">
        <f>SUM(I69:I77)</f>
        <v>74285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78"/>
  <sheetViews>
    <sheetView topLeftCell="A43" workbookViewId="0">
      <selection activeCell="A64" sqref="A64:J78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738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4256</v>
      </c>
      <c r="D5" s="215"/>
      <c r="E5" s="215">
        <v>0</v>
      </c>
      <c r="F5" s="215"/>
      <c r="G5" s="215">
        <v>357</v>
      </c>
      <c r="H5" s="215"/>
      <c r="I5" s="213">
        <v>4641</v>
      </c>
      <c r="J5" s="214"/>
      <c r="K5" s="216">
        <v>94</v>
      </c>
      <c r="L5" s="217"/>
      <c r="M5" s="56">
        <v>6810</v>
      </c>
      <c r="N5" s="53">
        <v>1600</v>
      </c>
      <c r="O5" s="88">
        <v>2062</v>
      </c>
      <c r="P5" s="53">
        <v>11987</v>
      </c>
      <c r="Q5" s="89">
        <v>11506</v>
      </c>
    </row>
    <row r="6" spans="1:17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532</v>
      </c>
      <c r="D7" s="210"/>
      <c r="E7" s="210">
        <v>104</v>
      </c>
      <c r="F7" s="210"/>
      <c r="G7" s="210">
        <v>240</v>
      </c>
      <c r="H7" s="210"/>
      <c r="I7" s="149">
        <v>236</v>
      </c>
      <c r="J7" s="150"/>
      <c r="K7" s="149">
        <v>486</v>
      </c>
      <c r="L7" s="150"/>
      <c r="M7" s="52">
        <v>315</v>
      </c>
      <c r="N7" s="52">
        <v>31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352</v>
      </c>
      <c r="D8" s="210"/>
      <c r="E8" s="210">
        <v>26</v>
      </c>
      <c r="F8" s="210"/>
      <c r="G8" s="210">
        <v>0</v>
      </c>
      <c r="H8" s="210"/>
      <c r="I8" s="149">
        <v>37</v>
      </c>
      <c r="J8" s="150"/>
      <c r="K8" s="149">
        <v>121</v>
      </c>
      <c r="L8" s="150"/>
      <c r="M8" s="52">
        <v>98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569</v>
      </c>
      <c r="D9" s="210"/>
      <c r="E9" s="210">
        <v>21</v>
      </c>
      <c r="F9" s="210"/>
      <c r="G9" s="210">
        <v>25</v>
      </c>
      <c r="H9" s="210"/>
      <c r="I9" s="149">
        <v>213</v>
      </c>
      <c r="J9" s="150"/>
      <c r="K9" s="149">
        <v>154</v>
      </c>
      <c r="L9" s="150"/>
      <c r="M9" s="52">
        <v>435</v>
      </c>
      <c r="N9" s="52">
        <v>27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400</v>
      </c>
      <c r="D10" s="210"/>
      <c r="E10" s="210">
        <v>66</v>
      </c>
      <c r="F10" s="210"/>
      <c r="G10" s="210">
        <v>39</v>
      </c>
      <c r="H10" s="210"/>
      <c r="I10" s="149">
        <v>25</v>
      </c>
      <c r="J10" s="150"/>
      <c r="K10" s="149">
        <v>175</v>
      </c>
      <c r="L10" s="150"/>
      <c r="M10" s="52">
        <v>237</v>
      </c>
      <c r="N10" s="52">
        <v>65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400</v>
      </c>
      <c r="D11" s="209"/>
      <c r="E11" s="210">
        <v>29</v>
      </c>
      <c r="F11" s="210"/>
      <c r="G11" s="210">
        <v>12</v>
      </c>
      <c r="H11" s="210"/>
      <c r="I11" s="149">
        <v>150</v>
      </c>
      <c r="J11" s="150"/>
      <c r="K11" s="149">
        <v>140</v>
      </c>
      <c r="L11" s="150"/>
      <c r="M11" s="52">
        <v>101</v>
      </c>
      <c r="N11" s="52">
        <v>195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52</v>
      </c>
      <c r="D12" s="209"/>
      <c r="E12" s="210">
        <v>20</v>
      </c>
      <c r="F12" s="210"/>
      <c r="G12" s="210">
        <v>8</v>
      </c>
      <c r="H12" s="210"/>
      <c r="I12" s="149">
        <v>23</v>
      </c>
      <c r="J12" s="150"/>
      <c r="K12" s="149">
        <v>54</v>
      </c>
      <c r="L12" s="150"/>
      <c r="M12" s="52">
        <v>48</v>
      </c>
      <c r="N12" s="52">
        <v>61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214</v>
      </c>
      <c r="D13" s="150"/>
      <c r="E13" s="149">
        <v>55</v>
      </c>
      <c r="F13" s="150"/>
      <c r="G13" s="149">
        <v>0</v>
      </c>
      <c r="H13" s="150"/>
      <c r="I13" s="149">
        <v>125</v>
      </c>
      <c r="J13" s="150"/>
      <c r="K13" s="149">
        <v>0</v>
      </c>
      <c r="L13" s="150"/>
      <c r="M13" s="52">
        <v>111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149</v>
      </c>
      <c r="D14" s="206"/>
      <c r="E14" s="205">
        <v>22</v>
      </c>
      <c r="F14" s="206"/>
      <c r="G14" s="205">
        <v>11</v>
      </c>
      <c r="H14" s="206"/>
      <c r="I14" s="149">
        <v>7</v>
      </c>
      <c r="J14" s="150"/>
      <c r="K14" s="205">
        <v>143</v>
      </c>
      <c r="L14" s="206"/>
      <c r="M14" s="59">
        <v>223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1606</v>
      </c>
      <c r="P15" s="52">
        <v>1942</v>
      </c>
      <c r="Q15" s="63">
        <v>1397</v>
      </c>
    </row>
    <row r="16" spans="1:17" ht="15" thickBot="1" x14ac:dyDescent="0.35">
      <c r="A16" s="199" t="s">
        <v>20</v>
      </c>
      <c r="B16" s="200"/>
      <c r="C16" s="201">
        <f>SUM(C5:D15)</f>
        <v>7994</v>
      </c>
      <c r="D16" s="202"/>
      <c r="E16" s="201">
        <f>SUM(E5:F15)</f>
        <v>343</v>
      </c>
      <c r="F16" s="202"/>
      <c r="G16" s="201">
        <f>SUM(G5:H15)</f>
        <v>692</v>
      </c>
      <c r="H16" s="202"/>
      <c r="I16" s="201">
        <f>SUM(I5:J15)</f>
        <v>5457</v>
      </c>
      <c r="J16" s="202"/>
      <c r="K16" s="201">
        <f>SUM(K5:L15)</f>
        <v>1367</v>
      </c>
      <c r="L16" s="202"/>
      <c r="M16" s="4">
        <f>SUM(M5:M15)</f>
        <v>8378</v>
      </c>
      <c r="N16" s="4">
        <f>SUM(N5:N15)</f>
        <v>2055</v>
      </c>
      <c r="O16" s="4">
        <f>SUM(O5:O15)</f>
        <v>3750</v>
      </c>
      <c r="P16" s="4">
        <f>SUM(P5:P15)</f>
        <v>13964</v>
      </c>
      <c r="Q16" s="33">
        <f>SUM(Q5:Q15)</f>
        <v>12911</v>
      </c>
    </row>
    <row r="17" spans="1:17" ht="15" thickBot="1" x14ac:dyDescent="0.35">
      <c r="A17" s="190" t="s">
        <v>21</v>
      </c>
      <c r="B17" s="191"/>
      <c r="C17" s="192">
        <v>4156</v>
      </c>
      <c r="D17" s="192"/>
      <c r="E17" s="193">
        <v>0</v>
      </c>
      <c r="F17" s="194"/>
      <c r="G17" s="195">
        <v>357</v>
      </c>
      <c r="H17" s="196"/>
      <c r="I17" s="195">
        <v>4461</v>
      </c>
      <c r="J17" s="196"/>
      <c r="K17" s="197">
        <v>94</v>
      </c>
      <c r="L17" s="198"/>
      <c r="M17" s="36">
        <v>6810</v>
      </c>
      <c r="N17" s="30">
        <v>1600</v>
      </c>
      <c r="O17" s="86">
        <v>0</v>
      </c>
      <c r="P17" s="37">
        <v>0</v>
      </c>
      <c r="Q17" s="87">
        <v>0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738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370</v>
      </c>
      <c r="D25" s="162"/>
      <c r="E25" s="185" t="s">
        <v>714</v>
      </c>
      <c r="F25" s="186"/>
      <c r="G25" s="161">
        <v>0</v>
      </c>
      <c r="H25" s="162"/>
      <c r="I25" s="161">
        <v>9</v>
      </c>
      <c r="J25" s="162"/>
      <c r="K25" s="70">
        <v>0</v>
      </c>
      <c r="L25" s="78">
        <v>25</v>
      </c>
      <c r="M25" s="78">
        <v>10</v>
      </c>
    </row>
    <row r="26" spans="1:17" x14ac:dyDescent="0.3">
      <c r="A26" s="101" t="s">
        <v>13</v>
      </c>
      <c r="B26" s="102"/>
      <c r="C26" s="149">
        <v>12</v>
      </c>
      <c r="D26" s="150"/>
      <c r="E26" s="165" t="s">
        <v>25</v>
      </c>
      <c r="F26" s="166"/>
      <c r="G26" s="149">
        <v>0</v>
      </c>
      <c r="H26" s="150"/>
      <c r="I26" s="149">
        <v>147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327</v>
      </c>
      <c r="D27" s="150"/>
      <c r="E27" s="165" t="s">
        <v>706</v>
      </c>
      <c r="F27" s="166"/>
      <c r="G27" s="149">
        <v>32</v>
      </c>
      <c r="H27" s="150"/>
      <c r="I27" s="149">
        <v>84</v>
      </c>
      <c r="J27" s="150"/>
      <c r="K27" s="52">
        <v>4</v>
      </c>
      <c r="L27" s="79">
        <v>18</v>
      </c>
      <c r="M27" s="79">
        <v>3</v>
      </c>
    </row>
    <row r="28" spans="1:17" x14ac:dyDescent="0.3">
      <c r="A28" s="101" t="s">
        <v>15</v>
      </c>
      <c r="B28" s="102"/>
      <c r="C28" s="165" t="s">
        <v>732</v>
      </c>
      <c r="D28" s="166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2</v>
      </c>
      <c r="L28" s="81">
        <v>15</v>
      </c>
      <c r="M28" s="79">
        <v>0</v>
      </c>
    </row>
    <row r="29" spans="1:17" x14ac:dyDescent="0.3">
      <c r="A29" s="101" t="s">
        <v>16</v>
      </c>
      <c r="B29" s="102"/>
      <c r="C29" s="183" t="s">
        <v>739</v>
      </c>
      <c r="D29" s="184"/>
      <c r="E29" s="165" t="s">
        <v>25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5</v>
      </c>
      <c r="D30" s="153"/>
      <c r="E30" s="165" t="s">
        <v>274</v>
      </c>
      <c r="F30" s="166"/>
      <c r="G30" s="149">
        <v>0</v>
      </c>
      <c r="H30" s="150"/>
      <c r="I30" s="149">
        <v>10</v>
      </c>
      <c r="J30" s="150"/>
      <c r="K30" s="52">
        <v>0</v>
      </c>
      <c r="L30" s="79">
        <v>6</v>
      </c>
      <c r="M30" s="79">
        <v>0</v>
      </c>
    </row>
    <row r="31" spans="1:17" x14ac:dyDescent="0.3">
      <c r="A31" s="101" t="s">
        <v>18</v>
      </c>
      <c r="B31" s="102"/>
      <c r="C31" s="183" t="s">
        <v>116</v>
      </c>
      <c r="D31" s="184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738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>
        <v>13</v>
      </c>
      <c r="D38" s="162"/>
      <c r="E38" s="163" t="s">
        <v>615</v>
      </c>
      <c r="F38" s="164"/>
      <c r="G38" s="161">
        <v>0</v>
      </c>
      <c r="H38" s="162"/>
      <c r="I38" s="161">
        <v>5</v>
      </c>
      <c r="J38" s="162"/>
      <c r="K38" s="70">
        <v>0</v>
      </c>
      <c r="L38" s="78">
        <v>26</v>
      </c>
      <c r="M38" s="78">
        <v>7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720</v>
      </c>
      <c r="F39" s="155"/>
      <c r="G39" s="149">
        <v>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726</v>
      </c>
      <c r="D40" s="150"/>
      <c r="E40" s="154" t="s">
        <v>727</v>
      </c>
      <c r="F40" s="155"/>
      <c r="G40" s="149">
        <v>36</v>
      </c>
      <c r="H40" s="150"/>
      <c r="I40" s="149" t="s">
        <v>310</v>
      </c>
      <c r="J40" s="150"/>
      <c r="K40" s="52" t="s">
        <v>437</v>
      </c>
      <c r="L40" s="79">
        <v>13</v>
      </c>
      <c r="M40" s="79">
        <v>3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650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740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>
        <v>2</v>
      </c>
      <c r="D44" s="153"/>
      <c r="E44" s="149" t="s">
        <v>741</v>
      </c>
      <c r="F44" s="150"/>
      <c r="G44" s="149">
        <v>0</v>
      </c>
      <c r="H44" s="150"/>
      <c r="I44" s="149">
        <v>2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718</v>
      </c>
      <c r="D49" s="146"/>
      <c r="E49" s="145" t="s">
        <v>724</v>
      </c>
      <c r="F49" s="146"/>
      <c r="G49" s="145" t="s">
        <v>731</v>
      </c>
      <c r="H49" s="146"/>
      <c r="I49" s="145" t="s">
        <v>738</v>
      </c>
      <c r="J49" s="146"/>
    </row>
    <row r="50" spans="1:10" x14ac:dyDescent="0.3">
      <c r="A50" s="120" t="s">
        <v>30</v>
      </c>
      <c r="B50" s="121"/>
      <c r="C50" s="136">
        <v>10741</v>
      </c>
      <c r="D50" s="137"/>
      <c r="E50" s="136">
        <v>10678</v>
      </c>
      <c r="F50" s="137"/>
      <c r="G50" s="136">
        <v>10653</v>
      </c>
      <c r="H50" s="137"/>
      <c r="I50" s="136">
        <v>10609</v>
      </c>
      <c r="J50" s="137"/>
    </row>
    <row r="51" spans="1:10" x14ac:dyDescent="0.3">
      <c r="A51" s="120" t="s">
        <v>31</v>
      </c>
      <c r="B51" s="121"/>
      <c r="C51" s="136">
        <v>11013</v>
      </c>
      <c r="D51" s="137"/>
      <c r="E51" s="136">
        <v>11064</v>
      </c>
      <c r="F51" s="137"/>
      <c r="G51" s="136">
        <v>11129</v>
      </c>
      <c r="H51" s="137"/>
      <c r="I51" s="136">
        <v>11166</v>
      </c>
      <c r="J51" s="137"/>
    </row>
    <row r="52" spans="1:10" x14ac:dyDescent="0.3">
      <c r="A52" s="120" t="s">
        <v>32</v>
      </c>
      <c r="B52" s="121"/>
      <c r="C52" s="136">
        <v>111460</v>
      </c>
      <c r="D52" s="137"/>
      <c r="E52" s="136">
        <v>111351</v>
      </c>
      <c r="F52" s="137"/>
      <c r="G52" s="136">
        <v>111330</v>
      </c>
      <c r="H52" s="137"/>
      <c r="I52" s="136">
        <v>111228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0" x14ac:dyDescent="0.3">
      <c r="A54" s="120" t="s">
        <v>34</v>
      </c>
      <c r="B54" s="121"/>
      <c r="C54" s="136">
        <v>49270</v>
      </c>
      <c r="D54" s="137"/>
      <c r="E54" s="136">
        <v>49224</v>
      </c>
      <c r="F54" s="137"/>
      <c r="G54" s="136">
        <v>49193</v>
      </c>
      <c r="H54" s="137"/>
      <c r="I54" s="136">
        <v>49148</v>
      </c>
      <c r="J54" s="137"/>
    </row>
    <row r="55" spans="1:10" x14ac:dyDescent="0.3">
      <c r="A55" s="120" t="s">
        <v>53</v>
      </c>
      <c r="B55" s="121"/>
      <c r="C55" s="138">
        <v>4393</v>
      </c>
      <c r="D55" s="139"/>
      <c r="E55" s="138">
        <v>4494</v>
      </c>
      <c r="F55" s="139"/>
      <c r="G55" s="138">
        <v>4647</v>
      </c>
      <c r="H55" s="139"/>
      <c r="I55" s="138">
        <v>4821</v>
      </c>
      <c r="J55" s="139"/>
    </row>
    <row r="56" spans="1:10" x14ac:dyDescent="0.3">
      <c r="A56" s="120" t="s">
        <v>49</v>
      </c>
      <c r="B56" s="121"/>
      <c r="C56" s="136">
        <v>22217</v>
      </c>
      <c r="D56" s="137"/>
      <c r="E56" s="136">
        <v>22245</v>
      </c>
      <c r="F56" s="137"/>
      <c r="G56" s="136">
        <v>22289</v>
      </c>
      <c r="H56" s="137"/>
      <c r="I56" s="136">
        <v>22332</v>
      </c>
      <c r="J56" s="137"/>
    </row>
    <row r="57" spans="1:10" x14ac:dyDescent="0.3">
      <c r="A57" s="120" t="s">
        <v>35</v>
      </c>
      <c r="B57" s="121"/>
      <c r="C57" s="138">
        <v>3624</v>
      </c>
      <c r="D57" s="139"/>
      <c r="E57" s="138">
        <v>3686</v>
      </c>
      <c r="F57" s="139"/>
      <c r="G57" s="138">
        <v>3716</v>
      </c>
      <c r="H57" s="139"/>
      <c r="I57" s="138">
        <v>3742</v>
      </c>
      <c r="J57" s="139"/>
    </row>
    <row r="58" spans="1:10" x14ac:dyDescent="0.3">
      <c r="A58" s="120" t="s">
        <v>36</v>
      </c>
      <c r="B58" s="121"/>
      <c r="C58" s="122">
        <f>SUM(C50:D57)</f>
        <v>212958</v>
      </c>
      <c r="D58" s="123"/>
      <c r="E58" s="122">
        <f>SUM(E50:F57)</f>
        <v>212982</v>
      </c>
      <c r="F58" s="123"/>
      <c r="G58" s="122">
        <f>SUM(G50:H57)</f>
        <v>213197</v>
      </c>
      <c r="H58" s="123"/>
      <c r="I58" s="122">
        <f>SUM(I50:J57)</f>
        <v>213286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718</v>
      </c>
      <c r="D60" s="131"/>
      <c r="E60" s="130" t="s">
        <v>724</v>
      </c>
      <c r="F60" s="131"/>
      <c r="G60" s="130" t="s">
        <v>731</v>
      </c>
      <c r="H60" s="131"/>
      <c r="I60" s="130" t="s">
        <v>738</v>
      </c>
      <c r="J60" s="131"/>
    </row>
    <row r="61" spans="1:10" x14ac:dyDescent="0.3">
      <c r="A61" s="126"/>
      <c r="B61" s="127"/>
      <c r="C61" s="132">
        <v>140086</v>
      </c>
      <c r="D61" s="133"/>
      <c r="E61" s="132">
        <v>140078</v>
      </c>
      <c r="F61" s="133"/>
      <c r="G61" s="132">
        <v>140129</v>
      </c>
      <c r="H61" s="133"/>
      <c r="I61" s="132">
        <v>140165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628</v>
      </c>
      <c r="D66" s="115"/>
      <c r="E66" s="114" t="s">
        <v>671</v>
      </c>
      <c r="F66" s="115"/>
      <c r="G66" s="114" t="s">
        <v>702</v>
      </c>
      <c r="H66" s="115"/>
      <c r="I66" s="114" t="s">
        <v>718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30944</v>
      </c>
      <c r="D69" s="104"/>
      <c r="E69" s="103">
        <v>31898</v>
      </c>
      <c r="F69" s="104"/>
      <c r="G69" s="103">
        <v>32193</v>
      </c>
      <c r="H69" s="104"/>
      <c r="I69" s="103">
        <v>32418</v>
      </c>
      <c r="J69" s="104"/>
    </row>
    <row r="70" spans="1:10" x14ac:dyDescent="0.3">
      <c r="A70" s="101" t="s">
        <v>13</v>
      </c>
      <c r="B70" s="102"/>
      <c r="C70" s="103">
        <v>7193</v>
      </c>
      <c r="D70" s="104"/>
      <c r="E70" s="103">
        <v>7570</v>
      </c>
      <c r="F70" s="104"/>
      <c r="G70" s="103">
        <v>7323</v>
      </c>
      <c r="H70" s="104"/>
      <c r="I70" s="103">
        <v>7352</v>
      </c>
      <c r="J70" s="104"/>
    </row>
    <row r="71" spans="1:10" x14ac:dyDescent="0.3">
      <c r="A71" s="107" t="s">
        <v>14</v>
      </c>
      <c r="B71" s="108"/>
      <c r="C71" s="103">
        <v>6345</v>
      </c>
      <c r="D71" s="104"/>
      <c r="E71" s="103">
        <v>6438</v>
      </c>
      <c r="F71" s="104"/>
      <c r="G71" s="103">
        <v>6486</v>
      </c>
      <c r="H71" s="104"/>
      <c r="I71" s="103">
        <v>6558</v>
      </c>
      <c r="J71" s="104"/>
    </row>
    <row r="72" spans="1:10" x14ac:dyDescent="0.3">
      <c r="A72" s="107" t="s">
        <v>41</v>
      </c>
      <c r="B72" s="108"/>
      <c r="C72" s="103">
        <v>1519</v>
      </c>
      <c r="D72" s="104"/>
      <c r="E72" s="103">
        <v>1545</v>
      </c>
      <c r="F72" s="104"/>
      <c r="G72" s="103">
        <v>1587</v>
      </c>
      <c r="H72" s="104"/>
      <c r="I72" s="103">
        <v>1621</v>
      </c>
      <c r="J72" s="104"/>
    </row>
    <row r="73" spans="1:10" x14ac:dyDescent="0.3">
      <c r="A73" s="101" t="s">
        <v>15</v>
      </c>
      <c r="B73" s="102"/>
      <c r="C73" s="103">
        <v>4837</v>
      </c>
      <c r="D73" s="104"/>
      <c r="E73" s="103">
        <v>4907</v>
      </c>
      <c r="F73" s="104"/>
      <c r="G73" s="103">
        <v>5035</v>
      </c>
      <c r="H73" s="104"/>
      <c r="I73" s="103">
        <v>5117</v>
      </c>
      <c r="J73" s="104"/>
    </row>
    <row r="74" spans="1:10" x14ac:dyDescent="0.3">
      <c r="A74" s="107" t="s">
        <v>16</v>
      </c>
      <c r="B74" s="108"/>
      <c r="C74" s="103">
        <v>5008</v>
      </c>
      <c r="D74" s="104"/>
      <c r="E74" s="103">
        <v>5039</v>
      </c>
      <c r="F74" s="104"/>
      <c r="G74" s="103">
        <v>5051</v>
      </c>
      <c r="H74" s="104"/>
      <c r="I74" s="103">
        <v>5068</v>
      </c>
      <c r="J74" s="104"/>
    </row>
    <row r="75" spans="1:10" x14ac:dyDescent="0.3">
      <c r="A75" s="101" t="s">
        <v>17</v>
      </c>
      <c r="B75" s="102"/>
      <c r="C75" s="103">
        <v>7930</v>
      </c>
      <c r="D75" s="104"/>
      <c r="E75" s="103">
        <v>8036</v>
      </c>
      <c r="F75" s="104"/>
      <c r="G75" s="103">
        <v>8141</v>
      </c>
      <c r="H75" s="104"/>
      <c r="I75" s="103">
        <v>8163</v>
      </c>
      <c r="J75" s="104"/>
    </row>
    <row r="76" spans="1:10" x14ac:dyDescent="0.3">
      <c r="A76" s="107" t="s">
        <v>18</v>
      </c>
      <c r="B76" s="108"/>
      <c r="C76" s="103">
        <v>1634</v>
      </c>
      <c r="D76" s="104"/>
      <c r="E76" s="103">
        <v>1656</v>
      </c>
      <c r="F76" s="104"/>
      <c r="G76" s="103">
        <v>1666</v>
      </c>
      <c r="H76" s="104"/>
      <c r="I76" s="103">
        <v>1679</v>
      </c>
      <c r="J76" s="104"/>
    </row>
    <row r="77" spans="1:10" x14ac:dyDescent="0.3">
      <c r="A77" s="101" t="s">
        <v>19</v>
      </c>
      <c r="B77" s="102"/>
      <c r="C77" s="103">
        <v>6006</v>
      </c>
      <c r="D77" s="104"/>
      <c r="E77" s="103">
        <v>6113</v>
      </c>
      <c r="F77" s="104"/>
      <c r="G77" s="103">
        <v>6245</v>
      </c>
      <c r="H77" s="104"/>
      <c r="I77" s="103">
        <v>6309</v>
      </c>
      <c r="J77" s="104"/>
    </row>
    <row r="78" spans="1:10" x14ac:dyDescent="0.3">
      <c r="A78" s="105" t="s">
        <v>42</v>
      </c>
      <c r="B78" s="106"/>
      <c r="C78" s="103">
        <f>SUM(C69:C77)</f>
        <v>71416</v>
      </c>
      <c r="D78" s="104"/>
      <c r="E78" s="103">
        <f>SUM(E69:E77)</f>
        <v>73202</v>
      </c>
      <c r="F78" s="104"/>
      <c r="G78" s="103">
        <f>SUM(G69:G77)</f>
        <v>73727</v>
      </c>
      <c r="H78" s="104"/>
      <c r="I78" s="103">
        <f>SUM(I69:I77)</f>
        <v>74285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78"/>
  <sheetViews>
    <sheetView workbookViewId="0">
      <selection activeCell="P23" sqref="P23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27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742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4056</v>
      </c>
      <c r="D5" s="215"/>
      <c r="E5" s="215">
        <v>0</v>
      </c>
      <c r="F5" s="215"/>
      <c r="G5" s="215">
        <v>357</v>
      </c>
      <c r="H5" s="215"/>
      <c r="I5" s="213">
        <v>4353</v>
      </c>
      <c r="J5" s="214"/>
      <c r="K5" s="216">
        <v>94</v>
      </c>
      <c r="L5" s="217"/>
      <c r="M5" s="56">
        <v>6760</v>
      </c>
      <c r="N5" s="53">
        <v>1600</v>
      </c>
      <c r="O5" s="88">
        <v>757</v>
      </c>
      <c r="P5" s="53">
        <v>11222</v>
      </c>
      <c r="Q5" s="89">
        <v>10691</v>
      </c>
    </row>
    <row r="6" spans="1:17" x14ac:dyDescent="0.3">
      <c r="A6" s="211" t="s">
        <v>11</v>
      </c>
      <c r="B6" s="212"/>
      <c r="C6" s="213">
        <v>1070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425</v>
      </c>
      <c r="D7" s="210"/>
      <c r="E7" s="210">
        <v>97</v>
      </c>
      <c r="F7" s="210"/>
      <c r="G7" s="210">
        <v>240</v>
      </c>
      <c r="H7" s="210"/>
      <c r="I7" s="149">
        <v>184</v>
      </c>
      <c r="J7" s="150"/>
      <c r="K7" s="149">
        <v>453</v>
      </c>
      <c r="L7" s="150"/>
      <c r="M7" s="52">
        <v>267</v>
      </c>
      <c r="N7" s="52">
        <v>36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122</v>
      </c>
      <c r="D8" s="210"/>
      <c r="E8" s="210">
        <v>20</v>
      </c>
      <c r="F8" s="210"/>
      <c r="G8" s="210">
        <v>0</v>
      </c>
      <c r="H8" s="210"/>
      <c r="I8" s="149">
        <v>25</v>
      </c>
      <c r="J8" s="150"/>
      <c r="K8" s="149">
        <v>110</v>
      </c>
      <c r="L8" s="150"/>
      <c r="M8" s="52">
        <v>92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276</v>
      </c>
      <c r="D9" s="210"/>
      <c r="E9" s="210">
        <v>20</v>
      </c>
      <c r="F9" s="210"/>
      <c r="G9" s="210">
        <v>24</v>
      </c>
      <c r="H9" s="210"/>
      <c r="I9" s="149">
        <v>163</v>
      </c>
      <c r="J9" s="150"/>
      <c r="K9" s="149">
        <v>110</v>
      </c>
      <c r="L9" s="150"/>
      <c r="M9" s="52">
        <v>392</v>
      </c>
      <c r="N9" s="52">
        <v>28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300</v>
      </c>
      <c r="D10" s="210"/>
      <c r="E10" s="210">
        <v>66</v>
      </c>
      <c r="F10" s="210"/>
      <c r="G10" s="210">
        <v>36</v>
      </c>
      <c r="H10" s="210"/>
      <c r="I10" s="149">
        <v>200</v>
      </c>
      <c r="J10" s="150"/>
      <c r="K10" s="149">
        <v>160</v>
      </c>
      <c r="L10" s="150"/>
      <c r="M10" s="52">
        <v>220</v>
      </c>
      <c r="N10" s="52">
        <v>50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450</v>
      </c>
      <c r="D11" s="209"/>
      <c r="E11" s="210">
        <v>27</v>
      </c>
      <c r="F11" s="210"/>
      <c r="G11" s="210">
        <v>12</v>
      </c>
      <c r="H11" s="210"/>
      <c r="I11" s="149">
        <v>150</v>
      </c>
      <c r="J11" s="150"/>
      <c r="K11" s="149">
        <v>132</v>
      </c>
      <c r="L11" s="150"/>
      <c r="M11" s="52">
        <v>99</v>
      </c>
      <c r="N11" s="52">
        <v>191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47</v>
      </c>
      <c r="D12" s="209"/>
      <c r="E12" s="210">
        <v>10</v>
      </c>
      <c r="F12" s="210"/>
      <c r="G12" s="210">
        <v>6</v>
      </c>
      <c r="H12" s="210"/>
      <c r="I12" s="149">
        <v>20</v>
      </c>
      <c r="J12" s="150"/>
      <c r="K12" s="149">
        <v>34</v>
      </c>
      <c r="L12" s="150"/>
      <c r="M12" s="52">
        <v>48</v>
      </c>
      <c r="N12" s="52">
        <v>61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185</v>
      </c>
      <c r="D13" s="150"/>
      <c r="E13" s="149">
        <v>50</v>
      </c>
      <c r="F13" s="150"/>
      <c r="G13" s="149">
        <v>0</v>
      </c>
      <c r="H13" s="150"/>
      <c r="I13" s="149">
        <v>121</v>
      </c>
      <c r="J13" s="150"/>
      <c r="K13" s="149">
        <v>0</v>
      </c>
      <c r="L13" s="150"/>
      <c r="M13" s="52">
        <v>104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233</v>
      </c>
      <c r="D14" s="206"/>
      <c r="E14" s="205">
        <v>4</v>
      </c>
      <c r="F14" s="206"/>
      <c r="G14" s="205">
        <v>0</v>
      </c>
      <c r="H14" s="206"/>
      <c r="I14" s="149">
        <v>110</v>
      </c>
      <c r="J14" s="150"/>
      <c r="K14" s="205">
        <v>64</v>
      </c>
      <c r="L14" s="206"/>
      <c r="M14" s="59">
        <v>175</v>
      </c>
      <c r="N14" s="59">
        <v>15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2405</v>
      </c>
      <c r="P15" s="52">
        <v>2448</v>
      </c>
      <c r="Q15" s="63">
        <v>1874</v>
      </c>
    </row>
    <row r="16" spans="1:17" ht="15" thickBot="1" x14ac:dyDescent="0.35">
      <c r="A16" s="199" t="s">
        <v>20</v>
      </c>
      <c r="B16" s="200"/>
      <c r="C16" s="201">
        <f>SUM(C5:D15)</f>
        <v>7164</v>
      </c>
      <c r="D16" s="202"/>
      <c r="E16" s="201">
        <f>SUM(E5:F15)</f>
        <v>294</v>
      </c>
      <c r="F16" s="202"/>
      <c r="G16" s="201">
        <f>SUM(G5:H15)</f>
        <v>675</v>
      </c>
      <c r="H16" s="202"/>
      <c r="I16" s="201">
        <f>SUM(I5:J15)</f>
        <v>5326</v>
      </c>
      <c r="J16" s="202"/>
      <c r="K16" s="201">
        <f>SUM(K5:L15)</f>
        <v>1157</v>
      </c>
      <c r="L16" s="202"/>
      <c r="M16" s="4">
        <f>SUM(M5:M15)</f>
        <v>8157</v>
      </c>
      <c r="N16" s="4">
        <f>SUM(N5:N15)</f>
        <v>2031</v>
      </c>
      <c r="O16" s="4">
        <f>SUM(O5:O15)</f>
        <v>3244</v>
      </c>
      <c r="P16" s="4">
        <f>SUM(P5:P15)</f>
        <v>13705</v>
      </c>
      <c r="Q16" s="33">
        <f>SUM(Q5:Q15)</f>
        <v>12573</v>
      </c>
    </row>
    <row r="17" spans="1:17" ht="15" thickBot="1" x14ac:dyDescent="0.35">
      <c r="A17" s="190" t="s">
        <v>21</v>
      </c>
      <c r="B17" s="191"/>
      <c r="C17" s="192">
        <v>4056</v>
      </c>
      <c r="D17" s="192"/>
      <c r="E17" s="193">
        <v>0</v>
      </c>
      <c r="F17" s="194"/>
      <c r="G17" s="195">
        <v>357</v>
      </c>
      <c r="H17" s="196"/>
      <c r="I17" s="195">
        <v>4352</v>
      </c>
      <c r="J17" s="196"/>
      <c r="K17" s="197">
        <v>94</v>
      </c>
      <c r="L17" s="198"/>
      <c r="M17" s="36">
        <v>6760</v>
      </c>
      <c r="N17" s="30">
        <v>1600</v>
      </c>
      <c r="O17" s="86">
        <v>757</v>
      </c>
      <c r="P17" s="37">
        <v>11222</v>
      </c>
      <c r="Q17" s="87">
        <v>10691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742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110</v>
      </c>
      <c r="D25" s="162"/>
      <c r="E25" s="185" t="s">
        <v>729</v>
      </c>
      <c r="F25" s="186"/>
      <c r="G25" s="161">
        <v>9</v>
      </c>
      <c r="H25" s="162"/>
      <c r="I25" s="161">
        <v>0</v>
      </c>
      <c r="J25" s="162"/>
      <c r="K25" s="70">
        <v>0</v>
      </c>
      <c r="L25" s="78">
        <v>25</v>
      </c>
      <c r="M25" s="78">
        <v>10</v>
      </c>
    </row>
    <row r="26" spans="1:17" x14ac:dyDescent="0.3">
      <c r="A26" s="101" t="s">
        <v>13</v>
      </c>
      <c r="B26" s="102"/>
      <c r="C26" s="149">
        <v>5</v>
      </c>
      <c r="D26" s="150"/>
      <c r="E26" s="165" t="s">
        <v>25</v>
      </c>
      <c r="F26" s="166"/>
      <c r="G26" s="149">
        <v>0</v>
      </c>
      <c r="H26" s="150"/>
      <c r="I26" s="149">
        <v>145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325</v>
      </c>
      <c r="D27" s="150"/>
      <c r="E27" s="165" t="s">
        <v>706</v>
      </c>
      <c r="F27" s="166"/>
      <c r="G27" s="149">
        <v>32</v>
      </c>
      <c r="H27" s="150"/>
      <c r="I27" s="149">
        <v>84</v>
      </c>
      <c r="J27" s="150"/>
      <c r="K27" s="52">
        <v>4</v>
      </c>
      <c r="L27" s="79">
        <v>19</v>
      </c>
      <c r="M27" s="79">
        <v>3</v>
      </c>
    </row>
    <row r="28" spans="1:17" x14ac:dyDescent="0.3">
      <c r="A28" s="101" t="s">
        <v>15</v>
      </c>
      <c r="B28" s="102"/>
      <c r="C28" s="165" t="s">
        <v>732</v>
      </c>
      <c r="D28" s="166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2</v>
      </c>
      <c r="L28" s="81">
        <v>15</v>
      </c>
      <c r="M28" s="79">
        <v>0</v>
      </c>
    </row>
    <row r="29" spans="1:17" x14ac:dyDescent="0.3">
      <c r="A29" s="101" t="s">
        <v>16</v>
      </c>
      <c r="B29" s="102"/>
      <c r="C29" s="183" t="s">
        <v>739</v>
      </c>
      <c r="D29" s="184"/>
      <c r="E29" s="165" t="s">
        <v>25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25</v>
      </c>
      <c r="D30" s="153"/>
      <c r="E30" s="165" t="s">
        <v>274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6</v>
      </c>
      <c r="M30" s="79">
        <v>0</v>
      </c>
    </row>
    <row r="31" spans="1:17" x14ac:dyDescent="0.3">
      <c r="A31" s="101" t="s">
        <v>18</v>
      </c>
      <c r="B31" s="102"/>
      <c r="C31" s="183" t="s">
        <v>743</v>
      </c>
      <c r="D31" s="184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742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445</v>
      </c>
      <c r="D38" s="162"/>
      <c r="E38" s="163" t="s">
        <v>615</v>
      </c>
      <c r="F38" s="164"/>
      <c r="G38" s="161">
        <v>0</v>
      </c>
      <c r="H38" s="162"/>
      <c r="I38" s="161" t="s">
        <v>517</v>
      </c>
      <c r="J38" s="162"/>
      <c r="K38" s="70">
        <v>0</v>
      </c>
      <c r="L38" s="78">
        <v>33</v>
      </c>
      <c r="M38" s="78">
        <v>8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749</v>
      </c>
      <c r="F39" s="155"/>
      <c r="G39" s="149" t="s">
        <v>750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537</v>
      </c>
      <c r="D40" s="150"/>
      <c r="E40" s="154" t="s">
        <v>744</v>
      </c>
      <c r="F40" s="155"/>
      <c r="G40" s="149" t="s">
        <v>751</v>
      </c>
      <c r="H40" s="150"/>
      <c r="I40" s="149" t="s">
        <v>310</v>
      </c>
      <c r="J40" s="150"/>
      <c r="K40" s="52" t="s">
        <v>437</v>
      </c>
      <c r="L40" s="79">
        <v>14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745</v>
      </c>
      <c r="F41" s="155"/>
      <c r="G41" s="149">
        <v>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650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740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746</v>
      </c>
      <c r="D44" s="153"/>
      <c r="E44" s="149" t="s">
        <v>747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724</v>
      </c>
      <c r="D49" s="146"/>
      <c r="E49" s="145" t="s">
        <v>731</v>
      </c>
      <c r="F49" s="146"/>
      <c r="G49" s="145" t="s">
        <v>738</v>
      </c>
      <c r="H49" s="146"/>
      <c r="I49" s="145" t="s">
        <v>742</v>
      </c>
      <c r="J49" s="146"/>
    </row>
    <row r="50" spans="1:10" x14ac:dyDescent="0.3">
      <c r="A50" s="120" t="s">
        <v>30</v>
      </c>
      <c r="B50" s="121"/>
      <c r="C50" s="136">
        <v>10678</v>
      </c>
      <c r="D50" s="137"/>
      <c r="E50" s="136">
        <v>10653</v>
      </c>
      <c r="F50" s="137"/>
      <c r="G50" s="136">
        <v>10609</v>
      </c>
      <c r="H50" s="137"/>
      <c r="I50" s="136">
        <v>10550</v>
      </c>
      <c r="J50" s="137"/>
    </row>
    <row r="51" spans="1:10" x14ac:dyDescent="0.3">
      <c r="A51" s="120" t="s">
        <v>31</v>
      </c>
      <c r="B51" s="121"/>
      <c r="C51" s="136">
        <v>11064</v>
      </c>
      <c r="D51" s="137"/>
      <c r="E51" s="136">
        <v>11129</v>
      </c>
      <c r="F51" s="137"/>
      <c r="G51" s="136">
        <v>11166</v>
      </c>
      <c r="H51" s="137"/>
      <c r="I51" s="136">
        <v>11185</v>
      </c>
      <c r="J51" s="137"/>
    </row>
    <row r="52" spans="1:10" x14ac:dyDescent="0.3">
      <c r="A52" s="120" t="s">
        <v>32</v>
      </c>
      <c r="B52" s="121"/>
      <c r="C52" s="136">
        <v>111351</v>
      </c>
      <c r="D52" s="137"/>
      <c r="E52" s="136">
        <v>111330</v>
      </c>
      <c r="F52" s="137"/>
      <c r="G52" s="136">
        <v>111228</v>
      </c>
      <c r="H52" s="137"/>
      <c r="I52" s="136">
        <v>111170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0" x14ac:dyDescent="0.3">
      <c r="A54" s="120" t="s">
        <v>34</v>
      </c>
      <c r="B54" s="121"/>
      <c r="C54" s="136">
        <v>49224</v>
      </c>
      <c r="D54" s="137"/>
      <c r="E54" s="136">
        <v>49193</v>
      </c>
      <c r="F54" s="137"/>
      <c r="G54" s="136">
        <v>49148</v>
      </c>
      <c r="H54" s="137"/>
      <c r="I54" s="136">
        <v>49148</v>
      </c>
      <c r="J54" s="137"/>
    </row>
    <row r="55" spans="1:10" x14ac:dyDescent="0.3">
      <c r="A55" s="120" t="s">
        <v>53</v>
      </c>
      <c r="B55" s="121"/>
      <c r="C55" s="138">
        <v>4494</v>
      </c>
      <c r="D55" s="139"/>
      <c r="E55" s="138">
        <v>4647</v>
      </c>
      <c r="F55" s="139"/>
      <c r="G55" s="138">
        <v>4821</v>
      </c>
      <c r="H55" s="139"/>
      <c r="I55" s="138">
        <v>4958</v>
      </c>
      <c r="J55" s="139"/>
    </row>
    <row r="56" spans="1:10" x14ac:dyDescent="0.3">
      <c r="A56" s="120" t="s">
        <v>49</v>
      </c>
      <c r="B56" s="121"/>
      <c r="C56" s="136">
        <v>22245</v>
      </c>
      <c r="D56" s="137"/>
      <c r="E56" s="136">
        <v>22289</v>
      </c>
      <c r="F56" s="137"/>
      <c r="G56" s="136">
        <v>22332</v>
      </c>
      <c r="H56" s="137"/>
      <c r="I56" s="136">
        <v>22360</v>
      </c>
      <c r="J56" s="137"/>
    </row>
    <row r="57" spans="1:10" x14ac:dyDescent="0.3">
      <c r="A57" s="120" t="s">
        <v>35</v>
      </c>
      <c r="B57" s="121"/>
      <c r="C57" s="138">
        <v>3686</v>
      </c>
      <c r="D57" s="139"/>
      <c r="E57" s="138">
        <v>3716</v>
      </c>
      <c r="F57" s="139"/>
      <c r="G57" s="138">
        <v>3742</v>
      </c>
      <c r="H57" s="139"/>
      <c r="I57" s="138">
        <v>3765</v>
      </c>
      <c r="J57" s="139"/>
    </row>
    <row r="58" spans="1:10" x14ac:dyDescent="0.3">
      <c r="A58" s="120" t="s">
        <v>36</v>
      </c>
      <c r="B58" s="121"/>
      <c r="C58" s="122">
        <f>SUM(C50:D57)</f>
        <v>212982</v>
      </c>
      <c r="D58" s="123"/>
      <c r="E58" s="122">
        <f>SUM(E50:F57)</f>
        <v>213197</v>
      </c>
      <c r="F58" s="123"/>
      <c r="G58" s="122">
        <f>SUM(G50:H57)</f>
        <v>213286</v>
      </c>
      <c r="H58" s="123"/>
      <c r="I58" s="122">
        <f>SUM(I50:J57)</f>
        <v>213376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724</v>
      </c>
      <c r="D60" s="131"/>
      <c r="E60" s="130" t="s">
        <v>731</v>
      </c>
      <c r="F60" s="131"/>
      <c r="G60" s="130" t="s">
        <v>738</v>
      </c>
      <c r="H60" s="131"/>
      <c r="I60" s="130" t="s">
        <v>742</v>
      </c>
      <c r="J60" s="131"/>
    </row>
    <row r="61" spans="1:10" x14ac:dyDescent="0.3">
      <c r="A61" s="126"/>
      <c r="B61" s="127"/>
      <c r="C61" s="132">
        <v>140078</v>
      </c>
      <c r="D61" s="133"/>
      <c r="E61" s="132">
        <v>140129</v>
      </c>
      <c r="F61" s="133"/>
      <c r="G61" s="132">
        <v>140165</v>
      </c>
      <c r="H61" s="133"/>
      <c r="I61" s="132">
        <v>140269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628</v>
      </c>
      <c r="D66" s="115"/>
      <c r="E66" s="114" t="s">
        <v>671</v>
      </c>
      <c r="F66" s="115"/>
      <c r="G66" s="114" t="s">
        <v>702</v>
      </c>
      <c r="H66" s="115"/>
      <c r="I66" s="114" t="s">
        <v>718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30944</v>
      </c>
      <c r="D69" s="104"/>
      <c r="E69" s="103">
        <v>31898</v>
      </c>
      <c r="F69" s="104"/>
      <c r="G69" s="103">
        <v>32193</v>
      </c>
      <c r="H69" s="104"/>
      <c r="I69" s="103">
        <v>32418</v>
      </c>
      <c r="J69" s="104"/>
    </row>
    <row r="70" spans="1:10" x14ac:dyDescent="0.3">
      <c r="A70" s="101" t="s">
        <v>13</v>
      </c>
      <c r="B70" s="102"/>
      <c r="C70" s="103">
        <v>7193</v>
      </c>
      <c r="D70" s="104"/>
      <c r="E70" s="103">
        <v>7570</v>
      </c>
      <c r="F70" s="104"/>
      <c r="G70" s="103">
        <v>7323</v>
      </c>
      <c r="H70" s="104"/>
      <c r="I70" s="103">
        <v>7352</v>
      </c>
      <c r="J70" s="104"/>
    </row>
    <row r="71" spans="1:10" x14ac:dyDescent="0.3">
      <c r="A71" s="107" t="s">
        <v>14</v>
      </c>
      <c r="B71" s="108"/>
      <c r="C71" s="103">
        <v>6345</v>
      </c>
      <c r="D71" s="104"/>
      <c r="E71" s="103">
        <v>6438</v>
      </c>
      <c r="F71" s="104"/>
      <c r="G71" s="103">
        <v>6486</v>
      </c>
      <c r="H71" s="104"/>
      <c r="I71" s="103">
        <v>6558</v>
      </c>
      <c r="J71" s="104"/>
    </row>
    <row r="72" spans="1:10" x14ac:dyDescent="0.3">
      <c r="A72" s="107" t="s">
        <v>41</v>
      </c>
      <c r="B72" s="108"/>
      <c r="C72" s="103">
        <v>1519</v>
      </c>
      <c r="D72" s="104"/>
      <c r="E72" s="103">
        <v>1545</v>
      </c>
      <c r="F72" s="104"/>
      <c r="G72" s="103">
        <v>1587</v>
      </c>
      <c r="H72" s="104"/>
      <c r="I72" s="103">
        <v>1621</v>
      </c>
      <c r="J72" s="104"/>
    </row>
    <row r="73" spans="1:10" x14ac:dyDescent="0.3">
      <c r="A73" s="101" t="s">
        <v>15</v>
      </c>
      <c r="B73" s="102"/>
      <c r="C73" s="103">
        <v>4837</v>
      </c>
      <c r="D73" s="104"/>
      <c r="E73" s="103">
        <v>4907</v>
      </c>
      <c r="F73" s="104"/>
      <c r="G73" s="103">
        <v>5035</v>
      </c>
      <c r="H73" s="104"/>
      <c r="I73" s="103">
        <v>5117</v>
      </c>
      <c r="J73" s="104"/>
    </row>
    <row r="74" spans="1:10" x14ac:dyDescent="0.3">
      <c r="A74" s="107" t="s">
        <v>16</v>
      </c>
      <c r="B74" s="108"/>
      <c r="C74" s="103">
        <v>5008</v>
      </c>
      <c r="D74" s="104"/>
      <c r="E74" s="103">
        <v>5039</v>
      </c>
      <c r="F74" s="104"/>
      <c r="G74" s="103">
        <v>5051</v>
      </c>
      <c r="H74" s="104"/>
      <c r="I74" s="103">
        <v>5068</v>
      </c>
      <c r="J74" s="104"/>
    </row>
    <row r="75" spans="1:10" x14ac:dyDescent="0.3">
      <c r="A75" s="101" t="s">
        <v>17</v>
      </c>
      <c r="B75" s="102"/>
      <c r="C75" s="103">
        <v>7930</v>
      </c>
      <c r="D75" s="104"/>
      <c r="E75" s="103">
        <v>8036</v>
      </c>
      <c r="F75" s="104"/>
      <c r="G75" s="103">
        <v>8141</v>
      </c>
      <c r="H75" s="104"/>
      <c r="I75" s="103">
        <v>8163</v>
      </c>
      <c r="J75" s="104"/>
    </row>
    <row r="76" spans="1:10" x14ac:dyDescent="0.3">
      <c r="A76" s="107" t="s">
        <v>18</v>
      </c>
      <c r="B76" s="108"/>
      <c r="C76" s="103">
        <v>1634</v>
      </c>
      <c r="D76" s="104"/>
      <c r="E76" s="103">
        <v>1656</v>
      </c>
      <c r="F76" s="104"/>
      <c r="G76" s="103">
        <v>1666</v>
      </c>
      <c r="H76" s="104"/>
      <c r="I76" s="103">
        <v>1679</v>
      </c>
      <c r="J76" s="104"/>
    </row>
    <row r="77" spans="1:10" x14ac:dyDescent="0.3">
      <c r="A77" s="101" t="s">
        <v>19</v>
      </c>
      <c r="B77" s="102"/>
      <c r="C77" s="103">
        <v>6006</v>
      </c>
      <c r="D77" s="104"/>
      <c r="E77" s="103">
        <v>6113</v>
      </c>
      <c r="F77" s="104"/>
      <c r="G77" s="103">
        <v>6245</v>
      </c>
      <c r="H77" s="104"/>
      <c r="I77" s="103">
        <v>6309</v>
      </c>
      <c r="J77" s="104"/>
    </row>
    <row r="78" spans="1:10" x14ac:dyDescent="0.3">
      <c r="A78" s="105" t="s">
        <v>42</v>
      </c>
      <c r="B78" s="106"/>
      <c r="C78" s="103">
        <f>SUM(C69:C77)</f>
        <v>71416</v>
      </c>
      <c r="D78" s="104"/>
      <c r="E78" s="103">
        <f>SUM(E69:E77)</f>
        <v>73202</v>
      </c>
      <c r="F78" s="104"/>
      <c r="G78" s="103">
        <f>SUM(G69:G77)</f>
        <v>73727</v>
      </c>
      <c r="H78" s="104"/>
      <c r="I78" s="103">
        <f>SUM(I69:I77)</f>
        <v>74285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78"/>
  <sheetViews>
    <sheetView topLeftCell="A7" workbookViewId="0">
      <selection activeCell="A64" sqref="A64:J78"/>
    </sheetView>
  </sheetViews>
  <sheetFormatPr defaultRowHeight="14.4" x14ac:dyDescent="0.3"/>
  <cols>
    <col min="13" max="13" width="12.6640625" customWidth="1"/>
  </cols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33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752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2606</v>
      </c>
      <c r="D5" s="215"/>
      <c r="E5" s="215">
        <v>10</v>
      </c>
      <c r="F5" s="215"/>
      <c r="G5" s="215">
        <v>357</v>
      </c>
      <c r="H5" s="215"/>
      <c r="I5" s="213">
        <v>3773</v>
      </c>
      <c r="J5" s="214"/>
      <c r="K5" s="216">
        <v>58</v>
      </c>
      <c r="L5" s="217"/>
      <c r="M5" s="56">
        <v>6600</v>
      </c>
      <c r="N5" s="53">
        <v>1550</v>
      </c>
      <c r="O5" s="88">
        <v>757</v>
      </c>
      <c r="P5" s="53">
        <v>11222</v>
      </c>
      <c r="Q5" s="89">
        <v>10691</v>
      </c>
    </row>
    <row r="6" spans="1:17" x14ac:dyDescent="0.3">
      <c r="A6" s="211" t="s">
        <v>11</v>
      </c>
      <c r="B6" s="212"/>
      <c r="C6" s="213">
        <v>1025</v>
      </c>
      <c r="D6" s="214"/>
      <c r="E6" s="213">
        <v>13</v>
      </c>
      <c r="F6" s="214"/>
      <c r="G6" s="213">
        <v>0</v>
      </c>
      <c r="H6" s="214"/>
      <c r="I6" s="213">
        <v>10</v>
      </c>
      <c r="J6" s="214"/>
      <c r="K6" s="213">
        <v>0</v>
      </c>
      <c r="L6" s="214"/>
      <c r="M6" s="53">
        <v>9</v>
      </c>
      <c r="N6" s="53">
        <v>15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776</v>
      </c>
      <c r="D7" s="210"/>
      <c r="E7" s="210">
        <v>95</v>
      </c>
      <c r="F7" s="210"/>
      <c r="G7" s="210">
        <v>240</v>
      </c>
      <c r="H7" s="210"/>
      <c r="I7" s="149">
        <v>109</v>
      </c>
      <c r="J7" s="150"/>
      <c r="K7" s="149">
        <v>425</v>
      </c>
      <c r="L7" s="150"/>
      <c r="M7" s="52">
        <v>169</v>
      </c>
      <c r="N7" s="52">
        <v>35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322</v>
      </c>
      <c r="D8" s="210"/>
      <c r="E8" s="210">
        <v>0</v>
      </c>
      <c r="F8" s="210"/>
      <c r="G8" s="210">
        <v>20</v>
      </c>
      <c r="H8" s="210"/>
      <c r="I8" s="149">
        <v>73</v>
      </c>
      <c r="J8" s="150"/>
      <c r="K8" s="149">
        <v>22</v>
      </c>
      <c r="L8" s="150"/>
      <c r="M8" s="52">
        <v>94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457</v>
      </c>
      <c r="D9" s="210"/>
      <c r="E9" s="210">
        <v>19</v>
      </c>
      <c r="F9" s="210"/>
      <c r="G9" s="210">
        <v>21</v>
      </c>
      <c r="H9" s="210"/>
      <c r="I9" s="149">
        <v>176</v>
      </c>
      <c r="J9" s="150"/>
      <c r="K9" s="149">
        <v>101</v>
      </c>
      <c r="L9" s="150"/>
      <c r="M9" s="52">
        <v>373</v>
      </c>
      <c r="N9" s="52">
        <v>27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346</v>
      </c>
      <c r="D10" s="210"/>
      <c r="E10" s="210">
        <v>50</v>
      </c>
      <c r="F10" s="210"/>
      <c r="G10" s="210">
        <v>26</v>
      </c>
      <c r="H10" s="210"/>
      <c r="I10" s="149">
        <v>330</v>
      </c>
      <c r="J10" s="150"/>
      <c r="K10" s="149">
        <v>172</v>
      </c>
      <c r="L10" s="150"/>
      <c r="M10" s="52">
        <v>275</v>
      </c>
      <c r="N10" s="52">
        <v>90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412</v>
      </c>
      <c r="D11" s="209"/>
      <c r="E11" s="210">
        <v>25</v>
      </c>
      <c r="F11" s="210"/>
      <c r="G11" s="210">
        <v>11</v>
      </c>
      <c r="H11" s="210"/>
      <c r="I11" s="149">
        <v>142</v>
      </c>
      <c r="J11" s="150"/>
      <c r="K11" s="149">
        <v>129</v>
      </c>
      <c r="L11" s="150"/>
      <c r="M11" s="52">
        <v>97</v>
      </c>
      <c r="N11" s="52">
        <v>177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138</v>
      </c>
      <c r="D12" s="209"/>
      <c r="E12" s="210">
        <v>10</v>
      </c>
      <c r="F12" s="210"/>
      <c r="G12" s="210">
        <v>6</v>
      </c>
      <c r="H12" s="210"/>
      <c r="I12" s="149">
        <v>310</v>
      </c>
      <c r="J12" s="150"/>
      <c r="K12" s="149">
        <v>34</v>
      </c>
      <c r="L12" s="150"/>
      <c r="M12" s="52">
        <v>135</v>
      </c>
      <c r="N12" s="52">
        <v>61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164</v>
      </c>
      <c r="D13" s="150"/>
      <c r="E13" s="149">
        <v>36</v>
      </c>
      <c r="F13" s="150"/>
      <c r="G13" s="149">
        <v>0</v>
      </c>
      <c r="H13" s="150"/>
      <c r="I13" s="149">
        <v>114</v>
      </c>
      <c r="J13" s="150"/>
      <c r="K13" s="149">
        <v>0</v>
      </c>
      <c r="L13" s="150"/>
      <c r="M13" s="52">
        <v>99</v>
      </c>
      <c r="N13" s="52">
        <v>35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229</v>
      </c>
      <c r="D14" s="206"/>
      <c r="E14" s="205">
        <v>22</v>
      </c>
      <c r="F14" s="206"/>
      <c r="G14" s="205">
        <v>6</v>
      </c>
      <c r="H14" s="206"/>
      <c r="I14" s="149">
        <v>14</v>
      </c>
      <c r="J14" s="150"/>
      <c r="K14" s="205">
        <v>178</v>
      </c>
      <c r="L14" s="206"/>
      <c r="M14" s="59">
        <v>203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2153</v>
      </c>
      <c r="P15" s="52">
        <v>2288</v>
      </c>
      <c r="Q15" s="63">
        <v>1668</v>
      </c>
    </row>
    <row r="16" spans="1:17" ht="15" thickBot="1" x14ac:dyDescent="0.35">
      <c r="A16" s="199" t="s">
        <v>20</v>
      </c>
      <c r="B16" s="200"/>
      <c r="C16" s="201">
        <f>SUM(C5:D15)</f>
        <v>6475</v>
      </c>
      <c r="D16" s="202"/>
      <c r="E16" s="201">
        <f>SUM(E5:F15)</f>
        <v>280</v>
      </c>
      <c r="F16" s="202"/>
      <c r="G16" s="201">
        <f>SUM(G5:H15)</f>
        <v>687</v>
      </c>
      <c r="H16" s="202"/>
      <c r="I16" s="201">
        <f>SUM(I5:J15)</f>
        <v>5051</v>
      </c>
      <c r="J16" s="202"/>
      <c r="K16" s="201">
        <f>SUM(K5:L15)</f>
        <v>1119</v>
      </c>
      <c r="L16" s="202"/>
      <c r="M16" s="4">
        <f>SUM(M5:M15)</f>
        <v>8054</v>
      </c>
      <c r="N16" s="4">
        <f>SUM(N5:N15)</f>
        <v>2031</v>
      </c>
      <c r="O16" s="4">
        <f>SUM(O5:O15)</f>
        <v>2992</v>
      </c>
      <c r="P16" s="4">
        <f>SUM(P5:P15)</f>
        <v>13545</v>
      </c>
      <c r="Q16" s="33">
        <f>SUM(Q5:Q15)</f>
        <v>12367</v>
      </c>
    </row>
    <row r="17" spans="1:17" ht="15" thickBot="1" x14ac:dyDescent="0.35">
      <c r="A17" s="190" t="s">
        <v>21</v>
      </c>
      <c r="B17" s="191"/>
      <c r="C17" s="192">
        <v>2606</v>
      </c>
      <c r="D17" s="192"/>
      <c r="E17" s="193">
        <v>10</v>
      </c>
      <c r="F17" s="194"/>
      <c r="G17" s="195">
        <v>356</v>
      </c>
      <c r="H17" s="196"/>
      <c r="I17" s="195">
        <v>3448</v>
      </c>
      <c r="J17" s="196"/>
      <c r="K17" s="197">
        <v>58</v>
      </c>
      <c r="L17" s="198"/>
      <c r="M17" s="36">
        <v>6460</v>
      </c>
      <c r="N17" s="30">
        <v>1550</v>
      </c>
      <c r="O17" s="86">
        <v>757</v>
      </c>
      <c r="P17" s="37">
        <v>11222</v>
      </c>
      <c r="Q17" s="87">
        <v>10691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  <c r="Q23">
        <v>1</v>
      </c>
    </row>
    <row r="24" spans="1:17" x14ac:dyDescent="0.3">
      <c r="A24" s="105" t="s">
        <v>9</v>
      </c>
      <c r="B24" s="158"/>
      <c r="C24" s="159" t="s">
        <v>752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120</v>
      </c>
      <c r="D25" s="162"/>
      <c r="E25" s="185" t="s">
        <v>706</v>
      </c>
      <c r="F25" s="186"/>
      <c r="G25" s="161">
        <v>0</v>
      </c>
      <c r="H25" s="162"/>
      <c r="I25" s="161">
        <v>9</v>
      </c>
      <c r="J25" s="162"/>
      <c r="K25" s="70">
        <v>0</v>
      </c>
      <c r="L25" s="78">
        <v>29</v>
      </c>
      <c r="M25" s="78">
        <v>10</v>
      </c>
    </row>
    <row r="26" spans="1:17" x14ac:dyDescent="0.3">
      <c r="A26" s="101" t="s">
        <v>13</v>
      </c>
      <c r="B26" s="102"/>
      <c r="C26" s="149">
        <v>12</v>
      </c>
      <c r="D26" s="150"/>
      <c r="E26" s="165" t="s">
        <v>25</v>
      </c>
      <c r="F26" s="166"/>
      <c r="G26" s="149">
        <v>0</v>
      </c>
      <c r="H26" s="150"/>
      <c r="I26" s="149">
        <v>142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314</v>
      </c>
      <c r="D27" s="150"/>
      <c r="E27" s="165" t="s">
        <v>112</v>
      </c>
      <c r="F27" s="166"/>
      <c r="G27" s="149">
        <v>23</v>
      </c>
      <c r="H27" s="150"/>
      <c r="I27" s="149">
        <v>82</v>
      </c>
      <c r="J27" s="150"/>
      <c r="K27" s="52">
        <v>4</v>
      </c>
      <c r="L27" s="79">
        <v>45</v>
      </c>
      <c r="M27" s="79">
        <v>3</v>
      </c>
    </row>
    <row r="28" spans="1:17" x14ac:dyDescent="0.3">
      <c r="A28" s="101" t="s">
        <v>15</v>
      </c>
      <c r="B28" s="102"/>
      <c r="C28" s="165" t="s">
        <v>758</v>
      </c>
      <c r="D28" s="166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2</v>
      </c>
      <c r="L28" s="81">
        <v>15</v>
      </c>
      <c r="M28" s="79">
        <v>0</v>
      </c>
    </row>
    <row r="29" spans="1:17" x14ac:dyDescent="0.3">
      <c r="A29" s="101" t="s">
        <v>16</v>
      </c>
      <c r="B29" s="102"/>
      <c r="C29" s="183" t="s">
        <v>739</v>
      </c>
      <c r="D29" s="184"/>
      <c r="E29" s="165" t="s">
        <v>25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23</v>
      </c>
      <c r="D30" s="153"/>
      <c r="E30" s="165" t="s">
        <v>274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5</v>
      </c>
      <c r="M30" s="79">
        <v>0</v>
      </c>
    </row>
    <row r="31" spans="1:17" x14ac:dyDescent="0.3">
      <c r="A31" s="101" t="s">
        <v>18</v>
      </c>
      <c r="B31" s="102"/>
      <c r="C31" s="183" t="s">
        <v>274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752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517</v>
      </c>
      <c r="D38" s="162"/>
      <c r="E38" s="163" t="s">
        <v>757</v>
      </c>
      <c r="F38" s="164"/>
      <c r="G38" s="161">
        <v>0</v>
      </c>
      <c r="H38" s="162"/>
      <c r="I38" s="161" t="s">
        <v>517</v>
      </c>
      <c r="J38" s="162"/>
      <c r="K38" s="70">
        <v>0</v>
      </c>
      <c r="L38" s="78">
        <v>36</v>
      </c>
      <c r="M38" s="78">
        <v>10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754</v>
      </c>
      <c r="F39" s="155"/>
      <c r="G39" s="149" t="s">
        <v>750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755</v>
      </c>
      <c r="D40" s="150"/>
      <c r="E40" s="154" t="s">
        <v>756</v>
      </c>
      <c r="F40" s="155"/>
      <c r="G40" s="149" t="s">
        <v>321</v>
      </c>
      <c r="H40" s="150"/>
      <c r="I40" s="149" t="s">
        <v>447</v>
      </c>
      <c r="J40" s="150"/>
      <c r="K40" s="52" t="s">
        <v>437</v>
      </c>
      <c r="L40" s="79">
        <v>19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700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759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748</v>
      </c>
      <c r="D44" s="153"/>
      <c r="E44" s="149" t="s">
        <v>753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1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731</v>
      </c>
      <c r="D49" s="146"/>
      <c r="E49" s="145" t="s">
        <v>738</v>
      </c>
      <c r="F49" s="146"/>
      <c r="G49" s="145" t="s">
        <v>742</v>
      </c>
      <c r="H49" s="146"/>
      <c r="I49" s="145" t="s">
        <v>752</v>
      </c>
      <c r="J49" s="146"/>
    </row>
    <row r="50" spans="1:10" x14ac:dyDescent="0.3">
      <c r="A50" s="120" t="s">
        <v>30</v>
      </c>
      <c r="B50" s="121"/>
      <c r="C50" s="136">
        <v>10653</v>
      </c>
      <c r="D50" s="137"/>
      <c r="E50" s="136">
        <v>10609</v>
      </c>
      <c r="F50" s="137"/>
      <c r="G50" s="136">
        <v>10550</v>
      </c>
      <c r="H50" s="137"/>
      <c r="I50" s="136">
        <v>10462</v>
      </c>
      <c r="J50" s="137"/>
    </row>
    <row r="51" spans="1:10" x14ac:dyDescent="0.3">
      <c r="A51" s="120" t="s">
        <v>31</v>
      </c>
      <c r="B51" s="121"/>
      <c r="C51" s="136">
        <v>11129</v>
      </c>
      <c r="D51" s="137"/>
      <c r="E51" s="136">
        <v>11166</v>
      </c>
      <c r="F51" s="137"/>
      <c r="G51" s="136">
        <v>11185</v>
      </c>
      <c r="H51" s="137"/>
      <c r="I51" s="136">
        <v>11204</v>
      </c>
      <c r="J51" s="137"/>
    </row>
    <row r="52" spans="1:10" x14ac:dyDescent="0.3">
      <c r="A52" s="120" t="s">
        <v>32</v>
      </c>
      <c r="B52" s="121"/>
      <c r="C52" s="136">
        <v>111330</v>
      </c>
      <c r="D52" s="137"/>
      <c r="E52" s="136">
        <v>111228</v>
      </c>
      <c r="F52" s="137"/>
      <c r="G52" s="136">
        <v>111170</v>
      </c>
      <c r="H52" s="137"/>
      <c r="I52" s="136">
        <v>111029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240</v>
      </c>
      <c r="J53" s="139"/>
    </row>
    <row r="54" spans="1:10" x14ac:dyDescent="0.3">
      <c r="A54" s="120" t="s">
        <v>34</v>
      </c>
      <c r="B54" s="121"/>
      <c r="C54" s="136">
        <v>49193</v>
      </c>
      <c r="D54" s="137"/>
      <c r="E54" s="136">
        <v>49148</v>
      </c>
      <c r="F54" s="137"/>
      <c r="G54" s="136">
        <v>49148</v>
      </c>
      <c r="H54" s="137"/>
      <c r="I54" s="136">
        <v>49108</v>
      </c>
      <c r="J54" s="137"/>
    </row>
    <row r="55" spans="1:10" x14ac:dyDescent="0.3">
      <c r="A55" s="120" t="s">
        <v>53</v>
      </c>
      <c r="B55" s="121"/>
      <c r="C55" s="138">
        <v>4647</v>
      </c>
      <c r="D55" s="139"/>
      <c r="E55" s="138">
        <v>4821</v>
      </c>
      <c r="F55" s="139"/>
      <c r="G55" s="138">
        <v>4958</v>
      </c>
      <c r="H55" s="139"/>
      <c r="I55" s="138">
        <v>5100</v>
      </c>
      <c r="J55" s="139"/>
    </row>
    <row r="56" spans="1:10" x14ac:dyDescent="0.3">
      <c r="A56" s="120" t="s">
        <v>49</v>
      </c>
      <c r="B56" s="121"/>
      <c r="C56" s="136">
        <v>22289</v>
      </c>
      <c r="D56" s="137"/>
      <c r="E56" s="136">
        <v>22332</v>
      </c>
      <c r="F56" s="137"/>
      <c r="G56" s="136">
        <v>22360</v>
      </c>
      <c r="H56" s="137"/>
      <c r="I56" s="136">
        <v>22493</v>
      </c>
      <c r="J56" s="137"/>
    </row>
    <row r="57" spans="1:10" x14ac:dyDescent="0.3">
      <c r="A57" s="120" t="s">
        <v>35</v>
      </c>
      <c r="B57" s="121"/>
      <c r="C57" s="138">
        <v>3716</v>
      </c>
      <c r="D57" s="139"/>
      <c r="E57" s="138">
        <v>3742</v>
      </c>
      <c r="F57" s="139"/>
      <c r="G57" s="138">
        <v>3765</v>
      </c>
      <c r="H57" s="139"/>
      <c r="I57" s="138">
        <v>3798</v>
      </c>
      <c r="J57" s="139"/>
    </row>
    <row r="58" spans="1:10" x14ac:dyDescent="0.3">
      <c r="A58" s="120" t="s">
        <v>36</v>
      </c>
      <c r="B58" s="121"/>
      <c r="C58" s="122">
        <f>SUM(C50:D57)</f>
        <v>213197</v>
      </c>
      <c r="D58" s="123"/>
      <c r="E58" s="122">
        <f>SUM(E50:F57)</f>
        <v>213286</v>
      </c>
      <c r="F58" s="123"/>
      <c r="G58" s="122">
        <f>SUM(G50:H57)</f>
        <v>213376</v>
      </c>
      <c r="H58" s="123"/>
      <c r="I58" s="122">
        <f>SUM(I50:J57)</f>
        <v>213434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731</v>
      </c>
      <c r="D60" s="131"/>
      <c r="E60" s="130" t="s">
        <v>738</v>
      </c>
      <c r="F60" s="131"/>
      <c r="G60" s="130" t="s">
        <v>742</v>
      </c>
      <c r="H60" s="131"/>
      <c r="I60" s="130" t="s">
        <v>752</v>
      </c>
      <c r="J60" s="131"/>
    </row>
    <row r="61" spans="1:10" x14ac:dyDescent="0.3">
      <c r="A61" s="126"/>
      <c r="B61" s="127"/>
      <c r="C61" s="132">
        <v>140129</v>
      </c>
      <c r="D61" s="133"/>
      <c r="E61" s="132">
        <v>140165</v>
      </c>
      <c r="F61" s="133"/>
      <c r="G61" s="132">
        <v>140269</v>
      </c>
      <c r="H61" s="133"/>
      <c r="I61" s="132">
        <v>140333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1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1" x14ac:dyDescent="0.3">
      <c r="A66" s="112" t="s">
        <v>9</v>
      </c>
      <c r="B66" s="113"/>
      <c r="C66" s="114" t="s">
        <v>671</v>
      </c>
      <c r="D66" s="115"/>
      <c r="E66" s="114" t="s">
        <v>702</v>
      </c>
      <c r="F66" s="115"/>
      <c r="G66" s="114" t="s">
        <v>718</v>
      </c>
      <c r="H66" s="115"/>
      <c r="I66" s="114" t="s">
        <v>760</v>
      </c>
      <c r="J66" s="115"/>
    </row>
    <row r="67" spans="1:1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1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1" x14ac:dyDescent="0.3">
      <c r="A69" s="107" t="s">
        <v>12</v>
      </c>
      <c r="B69" s="108"/>
      <c r="C69" s="103">
        <v>31898</v>
      </c>
      <c r="D69" s="104"/>
      <c r="E69" s="103">
        <v>32193</v>
      </c>
      <c r="F69" s="104"/>
      <c r="G69" s="103">
        <v>32418</v>
      </c>
      <c r="H69" s="104"/>
      <c r="I69" s="103">
        <v>33056</v>
      </c>
      <c r="J69" s="104"/>
      <c r="K69" s="90"/>
    </row>
    <row r="70" spans="1:11" x14ac:dyDescent="0.3">
      <c r="A70" s="101" t="s">
        <v>13</v>
      </c>
      <c r="B70" s="102"/>
      <c r="C70" s="103">
        <v>7570</v>
      </c>
      <c r="D70" s="104"/>
      <c r="E70" s="103">
        <v>7323</v>
      </c>
      <c r="F70" s="104"/>
      <c r="G70" s="103">
        <v>7352</v>
      </c>
      <c r="H70" s="104"/>
      <c r="I70" s="103">
        <v>7380</v>
      </c>
      <c r="J70" s="104"/>
    </row>
    <row r="71" spans="1:11" x14ac:dyDescent="0.3">
      <c r="A71" s="107" t="s">
        <v>14</v>
      </c>
      <c r="B71" s="108"/>
      <c r="C71" s="103">
        <v>6438</v>
      </c>
      <c r="D71" s="104"/>
      <c r="E71" s="103">
        <v>6486</v>
      </c>
      <c r="F71" s="104"/>
      <c r="G71" s="103">
        <v>6558</v>
      </c>
      <c r="H71" s="104"/>
      <c r="I71" s="103">
        <v>6610</v>
      </c>
      <c r="J71" s="104"/>
    </row>
    <row r="72" spans="1:11" x14ac:dyDescent="0.3">
      <c r="A72" s="107" t="s">
        <v>41</v>
      </c>
      <c r="B72" s="108"/>
      <c r="C72" s="103">
        <v>1545</v>
      </c>
      <c r="D72" s="104"/>
      <c r="E72" s="103">
        <v>1587</v>
      </c>
      <c r="F72" s="104"/>
      <c r="G72" s="103">
        <v>1621</v>
      </c>
      <c r="H72" s="104"/>
      <c r="I72" s="103">
        <v>1653</v>
      </c>
      <c r="J72" s="104"/>
    </row>
    <row r="73" spans="1:11" x14ac:dyDescent="0.3">
      <c r="A73" s="101" t="s">
        <v>15</v>
      </c>
      <c r="B73" s="102"/>
      <c r="C73" s="103">
        <v>4907</v>
      </c>
      <c r="D73" s="104"/>
      <c r="E73" s="103">
        <v>5035</v>
      </c>
      <c r="F73" s="104"/>
      <c r="G73" s="103">
        <v>5117</v>
      </c>
      <c r="H73" s="104"/>
      <c r="I73" s="103">
        <v>5163</v>
      </c>
      <c r="J73" s="104"/>
    </row>
    <row r="74" spans="1:11" x14ac:dyDescent="0.3">
      <c r="A74" s="107" t="s">
        <v>16</v>
      </c>
      <c r="B74" s="108"/>
      <c r="C74" s="103">
        <v>5039</v>
      </c>
      <c r="D74" s="104"/>
      <c r="E74" s="103">
        <v>5051</v>
      </c>
      <c r="F74" s="104"/>
      <c r="G74" s="103">
        <v>5068</v>
      </c>
      <c r="H74" s="104"/>
      <c r="I74" s="103">
        <v>5103</v>
      </c>
      <c r="J74" s="104"/>
    </row>
    <row r="75" spans="1:11" x14ac:dyDescent="0.3">
      <c r="A75" s="101" t="s">
        <v>17</v>
      </c>
      <c r="B75" s="102"/>
      <c r="C75" s="103">
        <v>8036</v>
      </c>
      <c r="D75" s="104"/>
      <c r="E75" s="103">
        <v>8141</v>
      </c>
      <c r="F75" s="104"/>
      <c r="G75" s="103">
        <v>8163</v>
      </c>
      <c r="H75" s="104"/>
      <c r="I75" s="103">
        <v>8230</v>
      </c>
      <c r="J75" s="104"/>
    </row>
    <row r="76" spans="1:11" x14ac:dyDescent="0.3">
      <c r="A76" s="107" t="s">
        <v>18</v>
      </c>
      <c r="B76" s="108"/>
      <c r="C76" s="103">
        <v>1656</v>
      </c>
      <c r="D76" s="104"/>
      <c r="E76" s="103">
        <v>1666</v>
      </c>
      <c r="F76" s="104"/>
      <c r="G76" s="103">
        <v>1679</v>
      </c>
      <c r="H76" s="104"/>
      <c r="I76" s="103">
        <v>1683</v>
      </c>
      <c r="J76" s="104"/>
    </row>
    <row r="77" spans="1:11" x14ac:dyDescent="0.3">
      <c r="A77" s="101" t="s">
        <v>19</v>
      </c>
      <c r="B77" s="102"/>
      <c r="C77" s="103">
        <v>6113</v>
      </c>
      <c r="D77" s="104"/>
      <c r="E77" s="103">
        <v>6245</v>
      </c>
      <c r="F77" s="104"/>
      <c r="G77" s="103">
        <v>6309</v>
      </c>
      <c r="H77" s="104"/>
      <c r="I77" s="103">
        <v>6449</v>
      </c>
      <c r="J77" s="104"/>
    </row>
    <row r="78" spans="1:11" x14ac:dyDescent="0.3">
      <c r="A78" s="105" t="s">
        <v>42</v>
      </c>
      <c r="B78" s="106"/>
      <c r="C78" s="103">
        <f>SUM(C69:C77)</f>
        <v>73202</v>
      </c>
      <c r="D78" s="104"/>
      <c r="E78" s="103">
        <f>SUM(E69:E77)</f>
        <v>73727</v>
      </c>
      <c r="F78" s="104"/>
      <c r="G78" s="103">
        <f>SUM(G69:G77)</f>
        <v>74285</v>
      </c>
      <c r="H78" s="104"/>
      <c r="I78" s="103">
        <f>SUM(I69:I77)</f>
        <v>75327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78"/>
  <sheetViews>
    <sheetView workbookViewId="0">
      <selection activeCell="W23" sqref="W23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761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2246</v>
      </c>
      <c r="D5" s="215"/>
      <c r="E5" s="215">
        <v>10</v>
      </c>
      <c r="F5" s="215"/>
      <c r="G5" s="215">
        <v>356</v>
      </c>
      <c r="H5" s="215"/>
      <c r="I5" s="213">
        <v>3269</v>
      </c>
      <c r="J5" s="214"/>
      <c r="K5" s="216">
        <v>58</v>
      </c>
      <c r="L5" s="217"/>
      <c r="M5" s="56">
        <v>6200</v>
      </c>
      <c r="N5" s="53">
        <v>1550</v>
      </c>
      <c r="O5" s="88">
        <v>757</v>
      </c>
      <c r="P5" s="53">
        <v>11222</v>
      </c>
      <c r="Q5" s="89">
        <v>10691</v>
      </c>
    </row>
    <row r="6" spans="1:17" x14ac:dyDescent="0.3">
      <c r="A6" s="211" t="s">
        <v>11</v>
      </c>
      <c r="B6" s="212"/>
      <c r="C6" s="213">
        <v>770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691</v>
      </c>
      <c r="D7" s="210"/>
      <c r="E7" s="210">
        <v>93</v>
      </c>
      <c r="F7" s="210"/>
      <c r="G7" s="210">
        <v>240</v>
      </c>
      <c r="H7" s="210"/>
      <c r="I7" s="149">
        <v>290</v>
      </c>
      <c r="J7" s="150"/>
      <c r="K7" s="149">
        <v>408</v>
      </c>
      <c r="L7" s="150"/>
      <c r="M7" s="52">
        <v>275</v>
      </c>
      <c r="N7" s="52">
        <v>32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282</v>
      </c>
      <c r="D8" s="210"/>
      <c r="E8" s="210">
        <v>0</v>
      </c>
      <c r="F8" s="210"/>
      <c r="G8" s="210">
        <v>4</v>
      </c>
      <c r="H8" s="210"/>
      <c r="I8" s="149">
        <v>274</v>
      </c>
      <c r="J8" s="150"/>
      <c r="K8" s="149">
        <v>0</v>
      </c>
      <c r="L8" s="150"/>
      <c r="M8" s="52">
        <v>211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363</v>
      </c>
      <c r="D9" s="210"/>
      <c r="E9" s="210">
        <v>19</v>
      </c>
      <c r="F9" s="210"/>
      <c r="G9" s="210">
        <v>19</v>
      </c>
      <c r="H9" s="210"/>
      <c r="I9" s="149">
        <v>157</v>
      </c>
      <c r="J9" s="150"/>
      <c r="K9" s="149">
        <v>89</v>
      </c>
      <c r="L9" s="150"/>
      <c r="M9" s="52">
        <v>350</v>
      </c>
      <c r="N9" s="52">
        <v>26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500</v>
      </c>
      <c r="D10" s="210"/>
      <c r="E10" s="210">
        <v>40</v>
      </c>
      <c r="F10" s="210"/>
      <c r="G10" s="210">
        <v>20</v>
      </c>
      <c r="H10" s="210"/>
      <c r="I10" s="149">
        <v>500</v>
      </c>
      <c r="J10" s="150"/>
      <c r="K10" s="149">
        <v>75</v>
      </c>
      <c r="L10" s="150"/>
      <c r="M10" s="52">
        <v>270</v>
      </c>
      <c r="N10" s="52">
        <v>80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385</v>
      </c>
      <c r="D11" s="209"/>
      <c r="E11" s="210">
        <v>25</v>
      </c>
      <c r="F11" s="210"/>
      <c r="G11" s="210">
        <v>11</v>
      </c>
      <c r="H11" s="210"/>
      <c r="I11" s="149">
        <v>130</v>
      </c>
      <c r="J11" s="150"/>
      <c r="K11" s="149">
        <v>125</v>
      </c>
      <c r="L11" s="150"/>
      <c r="M11" s="52">
        <v>92</v>
      </c>
      <c r="N11" s="52">
        <v>174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126</v>
      </c>
      <c r="D12" s="209"/>
      <c r="E12" s="210">
        <v>10</v>
      </c>
      <c r="F12" s="210"/>
      <c r="G12" s="210">
        <v>6</v>
      </c>
      <c r="H12" s="210"/>
      <c r="I12" s="149">
        <v>241</v>
      </c>
      <c r="J12" s="150"/>
      <c r="K12" s="149">
        <v>30</v>
      </c>
      <c r="L12" s="150"/>
      <c r="M12" s="52">
        <v>131</v>
      </c>
      <c r="N12" s="52">
        <v>61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243</v>
      </c>
      <c r="D13" s="150"/>
      <c r="E13" s="149">
        <v>30</v>
      </c>
      <c r="F13" s="150"/>
      <c r="G13" s="149">
        <v>0</v>
      </c>
      <c r="H13" s="150"/>
      <c r="I13" s="149">
        <v>174</v>
      </c>
      <c r="J13" s="150"/>
      <c r="K13" s="149">
        <v>0</v>
      </c>
      <c r="L13" s="150"/>
      <c r="M13" s="52">
        <v>96</v>
      </c>
      <c r="N13" s="52">
        <v>34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203</v>
      </c>
      <c r="D14" s="206"/>
      <c r="E14" s="205">
        <v>20</v>
      </c>
      <c r="F14" s="206"/>
      <c r="G14" s="205">
        <v>6</v>
      </c>
      <c r="H14" s="206"/>
      <c r="I14" s="149">
        <v>12</v>
      </c>
      <c r="J14" s="150"/>
      <c r="K14" s="205">
        <v>161</v>
      </c>
      <c r="L14" s="206"/>
      <c r="M14" s="59">
        <v>179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1930</v>
      </c>
      <c r="P15" s="52">
        <v>2144</v>
      </c>
      <c r="Q15" s="63">
        <v>1537</v>
      </c>
    </row>
    <row r="16" spans="1:17" ht="15" thickBot="1" x14ac:dyDescent="0.35">
      <c r="A16" s="199" t="s">
        <v>20</v>
      </c>
      <c r="B16" s="200"/>
      <c r="C16" s="201">
        <f>SUM(C5:D15)</f>
        <v>5809</v>
      </c>
      <c r="D16" s="202"/>
      <c r="E16" s="201">
        <f>SUM(E5:F15)</f>
        <v>247</v>
      </c>
      <c r="F16" s="202"/>
      <c r="G16" s="201">
        <f>SUM(G5:H15)</f>
        <v>662</v>
      </c>
      <c r="H16" s="202"/>
      <c r="I16" s="201">
        <f>SUM(I5:J15)</f>
        <v>5047</v>
      </c>
      <c r="J16" s="202"/>
      <c r="K16" s="201">
        <f>SUM(K5:L15)</f>
        <v>946</v>
      </c>
      <c r="L16" s="202"/>
      <c r="M16" s="4">
        <f>SUM(M5:M15)</f>
        <v>7804</v>
      </c>
      <c r="N16" s="4">
        <f>SUM(N5:N15)</f>
        <v>1998</v>
      </c>
      <c r="O16" s="4">
        <f>SUM(O5:O15)</f>
        <v>2769</v>
      </c>
      <c r="P16" s="4">
        <f>SUM(P5:P15)</f>
        <v>13401</v>
      </c>
      <c r="Q16" s="33">
        <f>SUM(Q5:Q15)</f>
        <v>12236</v>
      </c>
    </row>
    <row r="17" spans="1:17" ht="15" thickBot="1" x14ac:dyDescent="0.35">
      <c r="A17" s="190" t="s">
        <v>21</v>
      </c>
      <c r="B17" s="191"/>
      <c r="C17" s="192">
        <v>2166</v>
      </c>
      <c r="D17" s="192"/>
      <c r="E17" s="193">
        <v>10</v>
      </c>
      <c r="F17" s="194"/>
      <c r="G17" s="195">
        <v>356</v>
      </c>
      <c r="H17" s="196"/>
      <c r="I17" s="195">
        <v>3266</v>
      </c>
      <c r="J17" s="196"/>
      <c r="K17" s="197">
        <v>58</v>
      </c>
      <c r="L17" s="198"/>
      <c r="M17" s="36">
        <v>6200</v>
      </c>
      <c r="N17" s="30">
        <v>1550</v>
      </c>
      <c r="O17" s="86">
        <v>757</v>
      </c>
      <c r="P17" s="37">
        <v>11222</v>
      </c>
      <c r="Q17" s="87">
        <v>10691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761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123</v>
      </c>
      <c r="D25" s="162"/>
      <c r="E25" s="185" t="s">
        <v>112</v>
      </c>
      <c r="F25" s="186"/>
      <c r="G25" s="161">
        <v>0</v>
      </c>
      <c r="H25" s="162"/>
      <c r="I25" s="161">
        <v>17</v>
      </c>
      <c r="J25" s="162"/>
      <c r="K25" s="70">
        <v>0</v>
      </c>
      <c r="L25" s="78">
        <v>29</v>
      </c>
      <c r="M25" s="78">
        <v>10</v>
      </c>
    </row>
    <row r="26" spans="1:17" x14ac:dyDescent="0.3">
      <c r="A26" s="101" t="s">
        <v>13</v>
      </c>
      <c r="B26" s="102"/>
      <c r="C26" s="149">
        <v>13</v>
      </c>
      <c r="D26" s="150"/>
      <c r="E26" s="165" t="s">
        <v>25</v>
      </c>
      <c r="F26" s="166"/>
      <c r="G26" s="149">
        <v>0</v>
      </c>
      <c r="H26" s="150"/>
      <c r="I26" s="149">
        <v>142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270</v>
      </c>
      <c r="D27" s="150"/>
      <c r="E27" s="165" t="s">
        <v>762</v>
      </c>
      <c r="F27" s="166"/>
      <c r="G27" s="149">
        <v>31</v>
      </c>
      <c r="H27" s="150"/>
      <c r="I27" s="149">
        <v>87</v>
      </c>
      <c r="J27" s="150"/>
      <c r="K27" s="52">
        <v>4</v>
      </c>
      <c r="L27" s="79">
        <v>20</v>
      </c>
      <c r="M27" s="79">
        <v>3</v>
      </c>
    </row>
    <row r="28" spans="1:17" x14ac:dyDescent="0.3">
      <c r="A28" s="101" t="s">
        <v>15</v>
      </c>
      <c r="B28" s="102"/>
      <c r="C28" s="165" t="s">
        <v>758</v>
      </c>
      <c r="D28" s="166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2</v>
      </c>
      <c r="L28" s="81">
        <v>15</v>
      </c>
      <c r="M28" s="79">
        <v>0</v>
      </c>
    </row>
    <row r="29" spans="1:17" x14ac:dyDescent="0.3">
      <c r="A29" s="101" t="s">
        <v>16</v>
      </c>
      <c r="B29" s="102"/>
      <c r="C29" s="183" t="s">
        <v>739</v>
      </c>
      <c r="D29" s="184"/>
      <c r="E29" s="165" t="s">
        <v>25</v>
      </c>
      <c r="F29" s="166"/>
      <c r="G29" s="149">
        <v>0</v>
      </c>
      <c r="H29" s="150"/>
      <c r="I29" s="149">
        <v>13</v>
      </c>
      <c r="J29" s="150"/>
      <c r="K29" s="52">
        <v>3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24</v>
      </c>
      <c r="D30" s="153"/>
      <c r="E30" s="165" t="s">
        <v>274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7</v>
      </c>
      <c r="M30" s="79">
        <v>0</v>
      </c>
    </row>
    <row r="31" spans="1:17" x14ac:dyDescent="0.3">
      <c r="A31" s="101" t="s">
        <v>18</v>
      </c>
      <c r="B31" s="102"/>
      <c r="C31" s="183" t="s">
        <v>319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761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475</v>
      </c>
      <c r="D38" s="162"/>
      <c r="E38" s="163" t="s">
        <v>763</v>
      </c>
      <c r="F38" s="164"/>
      <c r="G38" s="161">
        <v>0</v>
      </c>
      <c r="H38" s="162"/>
      <c r="I38" s="161" t="s">
        <v>517</v>
      </c>
      <c r="J38" s="162"/>
      <c r="K38" s="70">
        <v>0</v>
      </c>
      <c r="L38" s="78">
        <v>40</v>
      </c>
      <c r="M38" s="78">
        <v>11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764</v>
      </c>
      <c r="F39" s="155"/>
      <c r="G39" s="149" t="s">
        <v>750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339</v>
      </c>
      <c r="D40" s="150"/>
      <c r="E40" s="154" t="s">
        <v>765</v>
      </c>
      <c r="F40" s="155"/>
      <c r="G40" s="149" t="s">
        <v>766</v>
      </c>
      <c r="H40" s="150"/>
      <c r="I40" s="149" t="s">
        <v>310</v>
      </c>
      <c r="J40" s="150"/>
      <c r="K40" s="52" t="s">
        <v>437</v>
      </c>
      <c r="L40" s="79">
        <v>16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700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767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558</v>
      </c>
      <c r="D44" s="153"/>
      <c r="E44" s="149" t="s">
        <v>768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2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738</v>
      </c>
      <c r="D49" s="146"/>
      <c r="E49" s="145" t="s">
        <v>742</v>
      </c>
      <c r="F49" s="146"/>
      <c r="G49" s="145" t="s">
        <v>752</v>
      </c>
      <c r="H49" s="146"/>
      <c r="I49" s="145" t="s">
        <v>761</v>
      </c>
      <c r="J49" s="146"/>
    </row>
    <row r="50" spans="1:10" x14ac:dyDescent="0.3">
      <c r="A50" s="120" t="s">
        <v>30</v>
      </c>
      <c r="B50" s="121"/>
      <c r="C50" s="136">
        <v>10609</v>
      </c>
      <c r="D50" s="137"/>
      <c r="E50" s="136">
        <v>10550</v>
      </c>
      <c r="F50" s="137"/>
      <c r="G50" s="136">
        <v>10462</v>
      </c>
      <c r="H50" s="137"/>
      <c r="I50" s="136">
        <v>10408</v>
      </c>
      <c r="J50" s="137"/>
    </row>
    <row r="51" spans="1:10" x14ac:dyDescent="0.3">
      <c r="A51" s="120" t="s">
        <v>31</v>
      </c>
      <c r="B51" s="121"/>
      <c r="C51" s="136">
        <v>11166</v>
      </c>
      <c r="D51" s="137"/>
      <c r="E51" s="136">
        <v>11185</v>
      </c>
      <c r="F51" s="137"/>
      <c r="G51" s="136">
        <v>11204</v>
      </c>
      <c r="H51" s="137"/>
      <c r="I51" s="136">
        <v>11225</v>
      </c>
      <c r="J51" s="137"/>
    </row>
    <row r="52" spans="1:10" x14ac:dyDescent="0.3">
      <c r="A52" s="120" t="s">
        <v>32</v>
      </c>
      <c r="B52" s="121"/>
      <c r="C52" s="136">
        <v>111228</v>
      </c>
      <c r="D52" s="137"/>
      <c r="E52" s="136">
        <v>111170</v>
      </c>
      <c r="F52" s="137"/>
      <c r="G52" s="136">
        <v>111029</v>
      </c>
      <c r="H52" s="137"/>
      <c r="I52" s="136">
        <v>110968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240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49148</v>
      </c>
      <c r="D54" s="137"/>
      <c r="E54" s="136">
        <v>49148</v>
      </c>
      <c r="F54" s="137"/>
      <c r="G54" s="136">
        <v>49108</v>
      </c>
      <c r="H54" s="137"/>
      <c r="I54" s="136">
        <v>49086</v>
      </c>
      <c r="J54" s="137"/>
    </row>
    <row r="55" spans="1:10" x14ac:dyDescent="0.3">
      <c r="A55" s="120" t="s">
        <v>53</v>
      </c>
      <c r="B55" s="121"/>
      <c r="C55" s="138">
        <v>4821</v>
      </c>
      <c r="D55" s="139"/>
      <c r="E55" s="138">
        <v>4958</v>
      </c>
      <c r="F55" s="139"/>
      <c r="G55" s="138">
        <v>5100</v>
      </c>
      <c r="H55" s="139"/>
      <c r="I55" s="138">
        <v>5205</v>
      </c>
      <c r="J55" s="139"/>
    </row>
    <row r="56" spans="1:10" x14ac:dyDescent="0.3">
      <c r="A56" s="120" t="s">
        <v>49</v>
      </c>
      <c r="B56" s="121"/>
      <c r="C56" s="136">
        <v>22332</v>
      </c>
      <c r="D56" s="137"/>
      <c r="E56" s="136">
        <v>22360</v>
      </c>
      <c r="F56" s="137"/>
      <c r="G56" s="136">
        <v>22493</v>
      </c>
      <c r="H56" s="137"/>
      <c r="I56" s="136">
        <v>22348</v>
      </c>
      <c r="J56" s="137"/>
    </row>
    <row r="57" spans="1:10" x14ac:dyDescent="0.3">
      <c r="A57" s="120" t="s">
        <v>35</v>
      </c>
      <c r="B57" s="121"/>
      <c r="C57" s="138">
        <v>3742</v>
      </c>
      <c r="D57" s="139"/>
      <c r="E57" s="138">
        <v>3765</v>
      </c>
      <c r="F57" s="139"/>
      <c r="G57" s="138">
        <v>3798</v>
      </c>
      <c r="H57" s="139"/>
      <c r="I57" s="138">
        <v>3820</v>
      </c>
      <c r="J57" s="139"/>
    </row>
    <row r="58" spans="1:10" x14ac:dyDescent="0.3">
      <c r="A58" s="120" t="s">
        <v>36</v>
      </c>
      <c r="B58" s="121"/>
      <c r="C58" s="122">
        <f>SUM(C50:D57)</f>
        <v>213286</v>
      </c>
      <c r="D58" s="123"/>
      <c r="E58" s="122">
        <f>SUM(E50:F57)</f>
        <v>213376</v>
      </c>
      <c r="F58" s="123"/>
      <c r="G58" s="122">
        <f>SUM(G50:H57)</f>
        <v>213434</v>
      </c>
      <c r="H58" s="123"/>
      <c r="I58" s="122">
        <f>SUM(I50:J57)</f>
        <v>213296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738</v>
      </c>
      <c r="D60" s="131"/>
      <c r="E60" s="130" t="s">
        <v>742</v>
      </c>
      <c r="F60" s="131"/>
      <c r="G60" s="130" t="s">
        <v>752</v>
      </c>
      <c r="H60" s="131"/>
      <c r="I60" s="130" t="s">
        <v>761</v>
      </c>
      <c r="J60" s="131"/>
    </row>
    <row r="61" spans="1:10" x14ac:dyDescent="0.3">
      <c r="A61" s="126"/>
      <c r="B61" s="127"/>
      <c r="C61" s="132">
        <v>140165</v>
      </c>
      <c r="D61" s="133"/>
      <c r="E61" s="132">
        <v>140269</v>
      </c>
      <c r="F61" s="133"/>
      <c r="G61" s="132">
        <v>140333</v>
      </c>
      <c r="H61" s="133"/>
      <c r="I61" s="132">
        <v>140382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671</v>
      </c>
      <c r="D66" s="115"/>
      <c r="E66" s="114" t="s">
        <v>702</v>
      </c>
      <c r="F66" s="115"/>
      <c r="G66" s="114" t="s">
        <v>718</v>
      </c>
      <c r="H66" s="115"/>
      <c r="I66" s="114" t="s">
        <v>760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31898</v>
      </c>
      <c r="D69" s="104"/>
      <c r="E69" s="103">
        <v>32193</v>
      </c>
      <c r="F69" s="104"/>
      <c r="G69" s="103">
        <v>32418</v>
      </c>
      <c r="H69" s="104"/>
      <c r="I69" s="103">
        <v>33056</v>
      </c>
      <c r="J69" s="104"/>
    </row>
    <row r="70" spans="1:10" x14ac:dyDescent="0.3">
      <c r="A70" s="101" t="s">
        <v>13</v>
      </c>
      <c r="B70" s="102"/>
      <c r="C70" s="103">
        <v>7570</v>
      </c>
      <c r="D70" s="104"/>
      <c r="E70" s="103">
        <v>7323</v>
      </c>
      <c r="F70" s="104"/>
      <c r="G70" s="103">
        <v>7352</v>
      </c>
      <c r="H70" s="104"/>
      <c r="I70" s="103">
        <v>7380</v>
      </c>
      <c r="J70" s="104"/>
    </row>
    <row r="71" spans="1:10" x14ac:dyDescent="0.3">
      <c r="A71" s="107" t="s">
        <v>14</v>
      </c>
      <c r="B71" s="108"/>
      <c r="C71" s="103">
        <v>6438</v>
      </c>
      <c r="D71" s="104"/>
      <c r="E71" s="103">
        <v>6486</v>
      </c>
      <c r="F71" s="104"/>
      <c r="G71" s="103">
        <v>6558</v>
      </c>
      <c r="H71" s="104"/>
      <c r="I71" s="103">
        <v>6610</v>
      </c>
      <c r="J71" s="104"/>
    </row>
    <row r="72" spans="1:10" x14ac:dyDescent="0.3">
      <c r="A72" s="107" t="s">
        <v>41</v>
      </c>
      <c r="B72" s="108"/>
      <c r="C72" s="103">
        <v>1545</v>
      </c>
      <c r="D72" s="104"/>
      <c r="E72" s="103">
        <v>1587</v>
      </c>
      <c r="F72" s="104"/>
      <c r="G72" s="103">
        <v>1621</v>
      </c>
      <c r="H72" s="104"/>
      <c r="I72" s="103">
        <v>1653</v>
      </c>
      <c r="J72" s="104"/>
    </row>
    <row r="73" spans="1:10" x14ac:dyDescent="0.3">
      <c r="A73" s="101" t="s">
        <v>15</v>
      </c>
      <c r="B73" s="102"/>
      <c r="C73" s="103">
        <v>4907</v>
      </c>
      <c r="D73" s="104"/>
      <c r="E73" s="103">
        <v>5035</v>
      </c>
      <c r="F73" s="104"/>
      <c r="G73" s="103">
        <v>5117</v>
      </c>
      <c r="H73" s="104"/>
      <c r="I73" s="103">
        <v>5163</v>
      </c>
      <c r="J73" s="104"/>
    </row>
    <row r="74" spans="1:10" x14ac:dyDescent="0.3">
      <c r="A74" s="107" t="s">
        <v>16</v>
      </c>
      <c r="B74" s="108"/>
      <c r="C74" s="103">
        <v>5039</v>
      </c>
      <c r="D74" s="104"/>
      <c r="E74" s="103">
        <v>5051</v>
      </c>
      <c r="F74" s="104"/>
      <c r="G74" s="103">
        <v>5068</v>
      </c>
      <c r="H74" s="104"/>
      <c r="I74" s="103">
        <v>5103</v>
      </c>
      <c r="J74" s="104"/>
    </row>
    <row r="75" spans="1:10" x14ac:dyDescent="0.3">
      <c r="A75" s="101" t="s">
        <v>17</v>
      </c>
      <c r="B75" s="102"/>
      <c r="C75" s="103">
        <v>8036</v>
      </c>
      <c r="D75" s="104"/>
      <c r="E75" s="103">
        <v>8141</v>
      </c>
      <c r="F75" s="104"/>
      <c r="G75" s="103">
        <v>8163</v>
      </c>
      <c r="H75" s="104"/>
      <c r="I75" s="103">
        <v>8230</v>
      </c>
      <c r="J75" s="104"/>
    </row>
    <row r="76" spans="1:10" x14ac:dyDescent="0.3">
      <c r="A76" s="107" t="s">
        <v>18</v>
      </c>
      <c r="B76" s="108"/>
      <c r="C76" s="103">
        <v>1656</v>
      </c>
      <c r="D76" s="104"/>
      <c r="E76" s="103">
        <v>1666</v>
      </c>
      <c r="F76" s="104"/>
      <c r="G76" s="103">
        <v>1679</v>
      </c>
      <c r="H76" s="104"/>
      <c r="I76" s="103">
        <v>1683</v>
      </c>
      <c r="J76" s="104"/>
    </row>
    <row r="77" spans="1:10" x14ac:dyDescent="0.3">
      <c r="A77" s="101" t="s">
        <v>19</v>
      </c>
      <c r="B77" s="102"/>
      <c r="C77" s="103">
        <v>6113</v>
      </c>
      <c r="D77" s="104"/>
      <c r="E77" s="103">
        <v>6245</v>
      </c>
      <c r="F77" s="104"/>
      <c r="G77" s="103">
        <v>6309</v>
      </c>
      <c r="H77" s="104"/>
      <c r="I77" s="103">
        <v>6449</v>
      </c>
      <c r="J77" s="104"/>
    </row>
    <row r="78" spans="1:10" x14ac:dyDescent="0.3">
      <c r="A78" s="105" t="s">
        <v>42</v>
      </c>
      <c r="B78" s="106"/>
      <c r="C78" s="103">
        <f>SUM(C69:C77)</f>
        <v>73202</v>
      </c>
      <c r="D78" s="104"/>
      <c r="E78" s="103">
        <f>SUM(E69:E77)</f>
        <v>73727</v>
      </c>
      <c r="F78" s="104"/>
      <c r="G78" s="103">
        <f>SUM(G69:G77)</f>
        <v>74285</v>
      </c>
      <c r="H78" s="104"/>
      <c r="I78" s="103">
        <f>SUM(I69:I77)</f>
        <v>75327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78"/>
  <sheetViews>
    <sheetView workbookViewId="0">
      <selection activeCell="A18" sqref="A18:Q19"/>
    </sheetView>
  </sheetViews>
  <sheetFormatPr defaultRowHeight="14.4" x14ac:dyDescent="0.3"/>
  <cols>
    <col min="13" max="13" width="11.44140625" customWidth="1"/>
  </cols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ht="27.75" customHeight="1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26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ht="18" customHeight="1" x14ac:dyDescent="0.3">
      <c r="A4" s="105" t="s">
        <v>9</v>
      </c>
      <c r="B4" s="106"/>
      <c r="C4" s="221" t="s">
        <v>769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2216</v>
      </c>
      <c r="D5" s="215"/>
      <c r="E5" s="215">
        <v>10</v>
      </c>
      <c r="F5" s="215"/>
      <c r="G5" s="215">
        <v>356</v>
      </c>
      <c r="H5" s="215"/>
      <c r="I5" s="213">
        <v>3146</v>
      </c>
      <c r="J5" s="214"/>
      <c r="K5" s="216">
        <v>34</v>
      </c>
      <c r="L5" s="217"/>
      <c r="M5" s="56">
        <v>6010</v>
      </c>
      <c r="N5" s="53">
        <v>1550</v>
      </c>
      <c r="O5" s="88">
        <v>657</v>
      </c>
      <c r="P5" s="53">
        <v>11142</v>
      </c>
      <c r="Q5" s="89">
        <v>10611</v>
      </c>
    </row>
    <row r="6" spans="1:17" ht="27.75" customHeight="1" x14ac:dyDescent="0.3">
      <c r="A6" s="211" t="s">
        <v>11</v>
      </c>
      <c r="B6" s="212"/>
      <c r="C6" s="213">
        <v>770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587</v>
      </c>
      <c r="D7" s="210"/>
      <c r="E7" s="210">
        <v>92</v>
      </c>
      <c r="F7" s="210"/>
      <c r="G7" s="210">
        <v>240</v>
      </c>
      <c r="H7" s="210"/>
      <c r="I7" s="149">
        <v>238</v>
      </c>
      <c r="J7" s="150"/>
      <c r="K7" s="149">
        <v>382</v>
      </c>
      <c r="L7" s="150"/>
      <c r="M7" s="52">
        <v>200</v>
      </c>
      <c r="N7" s="52">
        <v>31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228</v>
      </c>
      <c r="D8" s="210"/>
      <c r="E8" s="210">
        <v>0</v>
      </c>
      <c r="F8" s="210"/>
      <c r="G8" s="210">
        <v>4</v>
      </c>
      <c r="H8" s="210"/>
      <c r="I8" s="149">
        <v>244</v>
      </c>
      <c r="J8" s="150"/>
      <c r="K8" s="149">
        <v>0</v>
      </c>
      <c r="L8" s="150"/>
      <c r="M8" s="52">
        <v>187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295</v>
      </c>
      <c r="D9" s="210"/>
      <c r="E9" s="210">
        <v>19</v>
      </c>
      <c r="F9" s="210"/>
      <c r="G9" s="210">
        <v>17</v>
      </c>
      <c r="H9" s="210"/>
      <c r="I9" s="149">
        <v>116</v>
      </c>
      <c r="J9" s="150"/>
      <c r="K9" s="149">
        <v>81</v>
      </c>
      <c r="L9" s="150"/>
      <c r="M9" s="52">
        <v>328</v>
      </c>
      <c r="N9" s="52">
        <v>25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500</v>
      </c>
      <c r="D10" s="210"/>
      <c r="E10" s="210">
        <v>34</v>
      </c>
      <c r="F10" s="210"/>
      <c r="G10" s="210">
        <v>15</v>
      </c>
      <c r="H10" s="210"/>
      <c r="I10" s="149">
        <v>400</v>
      </c>
      <c r="J10" s="150"/>
      <c r="K10" s="149">
        <v>152</v>
      </c>
      <c r="L10" s="150"/>
      <c r="M10" s="52">
        <v>235</v>
      </c>
      <c r="N10" s="52">
        <v>55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365</v>
      </c>
      <c r="D11" s="209"/>
      <c r="E11" s="210">
        <v>25</v>
      </c>
      <c r="F11" s="210"/>
      <c r="G11" s="210">
        <v>8</v>
      </c>
      <c r="H11" s="210"/>
      <c r="I11" s="149">
        <v>122</v>
      </c>
      <c r="J11" s="150"/>
      <c r="K11" s="149">
        <v>121</v>
      </c>
      <c r="L11" s="150"/>
      <c r="M11" s="52">
        <v>90</v>
      </c>
      <c r="N11" s="52">
        <v>164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112</v>
      </c>
      <c r="D12" s="209"/>
      <c r="E12" s="210">
        <v>10</v>
      </c>
      <c r="F12" s="210"/>
      <c r="G12" s="210">
        <v>6</v>
      </c>
      <c r="H12" s="210"/>
      <c r="I12" s="149">
        <v>197</v>
      </c>
      <c r="J12" s="150"/>
      <c r="K12" s="149">
        <v>30</v>
      </c>
      <c r="L12" s="150"/>
      <c r="M12" s="52">
        <v>122</v>
      </c>
      <c r="N12" s="52">
        <v>61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239</v>
      </c>
      <c r="D13" s="150"/>
      <c r="E13" s="149">
        <v>30</v>
      </c>
      <c r="F13" s="150"/>
      <c r="G13" s="149">
        <v>0</v>
      </c>
      <c r="H13" s="150"/>
      <c r="I13" s="149">
        <v>168</v>
      </c>
      <c r="J13" s="150"/>
      <c r="K13" s="149">
        <v>0</v>
      </c>
      <c r="L13" s="150"/>
      <c r="M13" s="52">
        <v>94</v>
      </c>
      <c r="N13" s="52">
        <v>34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172</v>
      </c>
      <c r="D14" s="206"/>
      <c r="E14" s="205">
        <v>8</v>
      </c>
      <c r="F14" s="206"/>
      <c r="G14" s="205">
        <v>18</v>
      </c>
      <c r="H14" s="206"/>
      <c r="I14" s="149">
        <v>41</v>
      </c>
      <c r="J14" s="150"/>
      <c r="K14" s="205">
        <v>183</v>
      </c>
      <c r="L14" s="206"/>
      <c r="M14" s="59">
        <v>273</v>
      </c>
      <c r="N14" s="59">
        <v>26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1786</v>
      </c>
      <c r="P15" s="59">
        <v>2080</v>
      </c>
      <c r="Q15" s="91">
        <v>1447</v>
      </c>
    </row>
    <row r="16" spans="1:17" ht="15" thickBot="1" x14ac:dyDescent="0.35">
      <c r="A16" s="199" t="s">
        <v>20</v>
      </c>
      <c r="B16" s="200"/>
      <c r="C16" s="201">
        <f>SUM(C5:D15)</f>
        <v>5484</v>
      </c>
      <c r="D16" s="202"/>
      <c r="E16" s="201">
        <f>SUM(E5:F15)</f>
        <v>228</v>
      </c>
      <c r="F16" s="202"/>
      <c r="G16" s="201">
        <f>SUM(G5:H15)</f>
        <v>664</v>
      </c>
      <c r="H16" s="202"/>
      <c r="I16" s="201">
        <f>SUM(I5:J15)</f>
        <v>4672</v>
      </c>
      <c r="J16" s="202"/>
      <c r="K16" s="201">
        <f>SUM(K5:L15)</f>
        <v>983</v>
      </c>
      <c r="L16" s="202"/>
      <c r="M16" s="4">
        <f>SUM(M5:M15)</f>
        <v>7539</v>
      </c>
      <c r="N16" s="4">
        <f>SUM(N5:N15)</f>
        <v>1961</v>
      </c>
      <c r="O16" s="4">
        <f>SUM(O5:O15)</f>
        <v>2525</v>
      </c>
      <c r="P16" s="4">
        <f>SUM(P5:P15)</f>
        <v>13257</v>
      </c>
      <c r="Q16" s="5">
        <f>SUM(Q5:Q15)</f>
        <v>12066</v>
      </c>
    </row>
    <row r="17" spans="1:17" ht="15" thickBot="1" x14ac:dyDescent="0.35">
      <c r="A17" s="190" t="s">
        <v>21</v>
      </c>
      <c r="B17" s="191"/>
      <c r="C17" s="192">
        <v>2016</v>
      </c>
      <c r="D17" s="192"/>
      <c r="E17" s="193">
        <v>10</v>
      </c>
      <c r="F17" s="194"/>
      <c r="G17" s="195">
        <v>356</v>
      </c>
      <c r="H17" s="196"/>
      <c r="I17" s="195">
        <v>2942</v>
      </c>
      <c r="J17" s="196"/>
      <c r="K17" s="197">
        <v>34</v>
      </c>
      <c r="L17" s="198"/>
      <c r="M17" s="36">
        <v>6010</v>
      </c>
      <c r="N17" s="30">
        <v>1550</v>
      </c>
      <c r="O17" s="86">
        <v>657</v>
      </c>
      <c r="P17" s="37">
        <v>11142</v>
      </c>
      <c r="Q17" s="87">
        <v>10611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769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83</v>
      </c>
      <c r="D25" s="162"/>
      <c r="E25" s="185" t="s">
        <v>327</v>
      </c>
      <c r="F25" s="186"/>
      <c r="G25" s="161">
        <v>0</v>
      </c>
      <c r="H25" s="162"/>
      <c r="I25" s="161">
        <v>22</v>
      </c>
      <c r="J25" s="162"/>
      <c r="K25" s="70">
        <v>0</v>
      </c>
      <c r="L25" s="78">
        <v>25</v>
      </c>
      <c r="M25" s="78">
        <v>9</v>
      </c>
    </row>
    <row r="26" spans="1:17" x14ac:dyDescent="0.3">
      <c r="A26" s="101" t="s">
        <v>13</v>
      </c>
      <c r="B26" s="102"/>
      <c r="C26" s="149">
        <v>18</v>
      </c>
      <c r="D26" s="150"/>
      <c r="E26" s="165" t="s">
        <v>25</v>
      </c>
      <c r="F26" s="166"/>
      <c r="G26" s="149">
        <v>0</v>
      </c>
      <c r="H26" s="150"/>
      <c r="I26" s="149">
        <v>142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238</v>
      </c>
      <c r="D27" s="150"/>
      <c r="E27" s="165" t="s">
        <v>112</v>
      </c>
      <c r="F27" s="166"/>
      <c r="G27" s="149">
        <v>31</v>
      </c>
      <c r="H27" s="150"/>
      <c r="I27" s="149">
        <v>78</v>
      </c>
      <c r="J27" s="150"/>
      <c r="K27" s="52">
        <v>4</v>
      </c>
      <c r="L27" s="79">
        <v>19</v>
      </c>
      <c r="M27" s="79">
        <v>3</v>
      </c>
    </row>
    <row r="28" spans="1:17" x14ac:dyDescent="0.3">
      <c r="A28" s="101" t="s">
        <v>15</v>
      </c>
      <c r="B28" s="102"/>
      <c r="C28" s="165" t="s">
        <v>771</v>
      </c>
      <c r="D28" s="166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2</v>
      </c>
      <c r="L28" s="81">
        <v>20</v>
      </c>
      <c r="M28" s="79">
        <v>1</v>
      </c>
    </row>
    <row r="29" spans="1:17" x14ac:dyDescent="0.3">
      <c r="A29" s="101" t="s">
        <v>16</v>
      </c>
      <c r="B29" s="102"/>
      <c r="C29" s="183" t="s">
        <v>772</v>
      </c>
      <c r="D29" s="184"/>
      <c r="E29" s="165" t="s">
        <v>25</v>
      </c>
      <c r="F29" s="166"/>
      <c r="G29" s="149">
        <v>0</v>
      </c>
      <c r="H29" s="150"/>
      <c r="I29" s="149">
        <v>7</v>
      </c>
      <c r="J29" s="150"/>
      <c r="K29" s="52">
        <v>4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29</v>
      </c>
      <c r="D30" s="153"/>
      <c r="E30" s="165" t="s">
        <v>274</v>
      </c>
      <c r="F30" s="166"/>
      <c r="G30" s="149">
        <v>0</v>
      </c>
      <c r="H30" s="150"/>
      <c r="I30" s="149">
        <v>11</v>
      </c>
      <c r="J30" s="150"/>
      <c r="K30" s="52">
        <v>0</v>
      </c>
      <c r="L30" s="79">
        <v>7</v>
      </c>
      <c r="M30" s="79">
        <v>0</v>
      </c>
    </row>
    <row r="31" spans="1:17" x14ac:dyDescent="0.3">
      <c r="A31" s="101" t="s">
        <v>18</v>
      </c>
      <c r="B31" s="102"/>
      <c r="C31" s="183" t="s">
        <v>319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769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445</v>
      </c>
      <c r="D38" s="162"/>
      <c r="E38" s="163" t="s">
        <v>111</v>
      </c>
      <c r="F38" s="164"/>
      <c r="G38" s="161">
        <v>0</v>
      </c>
      <c r="H38" s="162"/>
      <c r="I38" s="161" t="s">
        <v>571</v>
      </c>
      <c r="J38" s="162"/>
      <c r="K38" s="70">
        <v>0</v>
      </c>
      <c r="L38" s="78">
        <v>41</v>
      </c>
      <c r="M38" s="78">
        <v>9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735</v>
      </c>
      <c r="F39" s="155"/>
      <c r="G39" s="149" t="s">
        <v>750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417</v>
      </c>
      <c r="D40" s="150"/>
      <c r="E40" s="154" t="s">
        <v>756</v>
      </c>
      <c r="F40" s="155"/>
      <c r="G40" s="149" t="s">
        <v>770</v>
      </c>
      <c r="H40" s="150"/>
      <c r="I40" s="149" t="s">
        <v>499</v>
      </c>
      <c r="J40" s="150"/>
      <c r="K40" s="52" t="s">
        <v>437</v>
      </c>
      <c r="L40" s="79">
        <v>13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611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94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558</v>
      </c>
      <c r="D44" s="153"/>
      <c r="E44" s="149" t="s">
        <v>768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2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742</v>
      </c>
      <c r="D49" s="146"/>
      <c r="E49" s="145" t="s">
        <v>752</v>
      </c>
      <c r="F49" s="146"/>
      <c r="G49" s="145" t="s">
        <v>761</v>
      </c>
      <c r="H49" s="146"/>
      <c r="I49" s="145" t="s">
        <v>769</v>
      </c>
      <c r="J49" s="146"/>
    </row>
    <row r="50" spans="1:10" x14ac:dyDescent="0.3">
      <c r="A50" s="120" t="s">
        <v>30</v>
      </c>
      <c r="B50" s="121"/>
      <c r="C50" s="136">
        <v>10550</v>
      </c>
      <c r="D50" s="137"/>
      <c r="E50" s="136">
        <v>10462</v>
      </c>
      <c r="F50" s="137"/>
      <c r="G50" s="136">
        <v>10408</v>
      </c>
      <c r="H50" s="137"/>
      <c r="I50" s="136">
        <v>10359</v>
      </c>
      <c r="J50" s="137"/>
    </row>
    <row r="51" spans="1:10" x14ac:dyDescent="0.3">
      <c r="A51" s="120" t="s">
        <v>31</v>
      </c>
      <c r="B51" s="121"/>
      <c r="C51" s="136">
        <v>11185</v>
      </c>
      <c r="D51" s="137"/>
      <c r="E51" s="136">
        <v>11204</v>
      </c>
      <c r="F51" s="137"/>
      <c r="G51" s="136">
        <v>11225</v>
      </c>
      <c r="H51" s="137"/>
      <c r="I51" s="136">
        <v>11260</v>
      </c>
      <c r="J51" s="137"/>
    </row>
    <row r="52" spans="1:10" x14ac:dyDescent="0.3">
      <c r="A52" s="120" t="s">
        <v>32</v>
      </c>
      <c r="B52" s="121"/>
      <c r="C52" s="136">
        <v>111170</v>
      </c>
      <c r="D52" s="137"/>
      <c r="E52" s="136">
        <v>111029</v>
      </c>
      <c r="F52" s="137"/>
      <c r="G52" s="136">
        <v>110968</v>
      </c>
      <c r="H52" s="137"/>
      <c r="I52" s="136">
        <v>111024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240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49148</v>
      </c>
      <c r="D54" s="137"/>
      <c r="E54" s="136">
        <v>49108</v>
      </c>
      <c r="F54" s="137"/>
      <c r="G54" s="136">
        <v>49086</v>
      </c>
      <c r="H54" s="137"/>
      <c r="I54" s="136">
        <v>49102</v>
      </c>
      <c r="J54" s="137"/>
    </row>
    <row r="55" spans="1:10" x14ac:dyDescent="0.3">
      <c r="A55" s="120" t="s">
        <v>53</v>
      </c>
      <c r="B55" s="121"/>
      <c r="C55" s="138">
        <v>4958</v>
      </c>
      <c r="D55" s="139"/>
      <c r="E55" s="138">
        <v>5100</v>
      </c>
      <c r="F55" s="139"/>
      <c r="G55" s="138">
        <v>5205</v>
      </c>
      <c r="H55" s="139"/>
      <c r="I55" s="138">
        <v>5283</v>
      </c>
      <c r="J55" s="139"/>
    </row>
    <row r="56" spans="1:10" x14ac:dyDescent="0.3">
      <c r="A56" s="120" t="s">
        <v>49</v>
      </c>
      <c r="B56" s="121"/>
      <c r="C56" s="136">
        <v>22360</v>
      </c>
      <c r="D56" s="137"/>
      <c r="E56" s="136">
        <v>22493</v>
      </c>
      <c r="F56" s="137"/>
      <c r="G56" s="136">
        <v>22348</v>
      </c>
      <c r="H56" s="137"/>
      <c r="I56" s="136">
        <v>22366</v>
      </c>
      <c r="J56" s="137"/>
    </row>
    <row r="57" spans="1:10" x14ac:dyDescent="0.3">
      <c r="A57" s="120" t="s">
        <v>35</v>
      </c>
      <c r="B57" s="121"/>
      <c r="C57" s="138">
        <v>3765</v>
      </c>
      <c r="D57" s="139"/>
      <c r="E57" s="138">
        <v>3798</v>
      </c>
      <c r="F57" s="139"/>
      <c r="G57" s="138">
        <v>3820</v>
      </c>
      <c r="H57" s="139"/>
      <c r="I57" s="138">
        <v>3854</v>
      </c>
      <c r="J57" s="139"/>
    </row>
    <row r="58" spans="1:10" x14ac:dyDescent="0.3">
      <c r="A58" s="120" t="s">
        <v>36</v>
      </c>
      <c r="B58" s="121"/>
      <c r="C58" s="122">
        <f>SUM(C50:D57)</f>
        <v>213376</v>
      </c>
      <c r="D58" s="123"/>
      <c r="E58" s="122">
        <f>SUM(E50:F57)</f>
        <v>213434</v>
      </c>
      <c r="F58" s="123"/>
      <c r="G58" s="122">
        <f>SUM(G50:H57)</f>
        <v>213296</v>
      </c>
      <c r="H58" s="123"/>
      <c r="I58" s="122">
        <f>SUM(I50:J57)</f>
        <v>213484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742</v>
      </c>
      <c r="D60" s="131"/>
      <c r="E60" s="130" t="s">
        <v>752</v>
      </c>
      <c r="F60" s="131"/>
      <c r="G60" s="130" t="s">
        <v>761</v>
      </c>
      <c r="H60" s="131"/>
      <c r="I60" s="130" t="s">
        <v>769</v>
      </c>
      <c r="J60" s="131"/>
    </row>
    <row r="61" spans="1:10" x14ac:dyDescent="0.3">
      <c r="A61" s="126"/>
      <c r="B61" s="127"/>
      <c r="C61" s="132">
        <v>140269</v>
      </c>
      <c r="D61" s="133"/>
      <c r="E61" s="132">
        <v>140333</v>
      </c>
      <c r="F61" s="133"/>
      <c r="G61" s="132">
        <v>140382</v>
      </c>
      <c r="H61" s="133"/>
      <c r="I61" s="132">
        <v>140492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671</v>
      </c>
      <c r="D66" s="115"/>
      <c r="E66" s="114" t="s">
        <v>702</v>
      </c>
      <c r="F66" s="115"/>
      <c r="G66" s="114" t="s">
        <v>718</v>
      </c>
      <c r="H66" s="115"/>
      <c r="I66" s="114" t="s">
        <v>760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31898</v>
      </c>
      <c r="D69" s="104"/>
      <c r="E69" s="103">
        <v>32193</v>
      </c>
      <c r="F69" s="104"/>
      <c r="G69" s="103">
        <v>32418</v>
      </c>
      <c r="H69" s="104"/>
      <c r="I69" s="103">
        <v>33056</v>
      </c>
      <c r="J69" s="104"/>
    </row>
    <row r="70" spans="1:10" x14ac:dyDescent="0.3">
      <c r="A70" s="101" t="s">
        <v>13</v>
      </c>
      <c r="B70" s="102"/>
      <c r="C70" s="103">
        <v>7570</v>
      </c>
      <c r="D70" s="104"/>
      <c r="E70" s="103">
        <v>7323</v>
      </c>
      <c r="F70" s="104"/>
      <c r="G70" s="103">
        <v>7352</v>
      </c>
      <c r="H70" s="104"/>
      <c r="I70" s="103">
        <v>7380</v>
      </c>
      <c r="J70" s="104"/>
    </row>
    <row r="71" spans="1:10" x14ac:dyDescent="0.3">
      <c r="A71" s="107" t="s">
        <v>14</v>
      </c>
      <c r="B71" s="108"/>
      <c r="C71" s="103">
        <v>6438</v>
      </c>
      <c r="D71" s="104"/>
      <c r="E71" s="103">
        <v>6486</v>
      </c>
      <c r="F71" s="104"/>
      <c r="G71" s="103">
        <v>6558</v>
      </c>
      <c r="H71" s="104"/>
      <c r="I71" s="103">
        <v>6610</v>
      </c>
      <c r="J71" s="104"/>
    </row>
    <row r="72" spans="1:10" x14ac:dyDescent="0.3">
      <c r="A72" s="107" t="s">
        <v>41</v>
      </c>
      <c r="B72" s="108"/>
      <c r="C72" s="103">
        <v>1545</v>
      </c>
      <c r="D72" s="104"/>
      <c r="E72" s="103">
        <v>1587</v>
      </c>
      <c r="F72" s="104"/>
      <c r="G72" s="103">
        <v>1621</v>
      </c>
      <c r="H72" s="104"/>
      <c r="I72" s="103">
        <v>1653</v>
      </c>
      <c r="J72" s="104"/>
    </row>
    <row r="73" spans="1:10" x14ac:dyDescent="0.3">
      <c r="A73" s="101" t="s">
        <v>15</v>
      </c>
      <c r="B73" s="102"/>
      <c r="C73" s="103">
        <v>4907</v>
      </c>
      <c r="D73" s="104"/>
      <c r="E73" s="103">
        <v>5035</v>
      </c>
      <c r="F73" s="104"/>
      <c r="G73" s="103">
        <v>5117</v>
      </c>
      <c r="H73" s="104"/>
      <c r="I73" s="103">
        <v>5163</v>
      </c>
      <c r="J73" s="104"/>
    </row>
    <row r="74" spans="1:10" x14ac:dyDescent="0.3">
      <c r="A74" s="107" t="s">
        <v>16</v>
      </c>
      <c r="B74" s="108"/>
      <c r="C74" s="103">
        <v>5039</v>
      </c>
      <c r="D74" s="104"/>
      <c r="E74" s="103">
        <v>5051</v>
      </c>
      <c r="F74" s="104"/>
      <c r="G74" s="103">
        <v>5068</v>
      </c>
      <c r="H74" s="104"/>
      <c r="I74" s="103">
        <v>5103</v>
      </c>
      <c r="J74" s="104"/>
    </row>
    <row r="75" spans="1:10" x14ac:dyDescent="0.3">
      <c r="A75" s="101" t="s">
        <v>17</v>
      </c>
      <c r="B75" s="102"/>
      <c r="C75" s="103">
        <v>8036</v>
      </c>
      <c r="D75" s="104"/>
      <c r="E75" s="103">
        <v>8141</v>
      </c>
      <c r="F75" s="104"/>
      <c r="G75" s="103">
        <v>8163</v>
      </c>
      <c r="H75" s="104"/>
      <c r="I75" s="103">
        <v>8230</v>
      </c>
      <c r="J75" s="104"/>
    </row>
    <row r="76" spans="1:10" x14ac:dyDescent="0.3">
      <c r="A76" s="107" t="s">
        <v>18</v>
      </c>
      <c r="B76" s="108"/>
      <c r="C76" s="103">
        <v>1656</v>
      </c>
      <c r="D76" s="104"/>
      <c r="E76" s="103">
        <v>1666</v>
      </c>
      <c r="F76" s="104"/>
      <c r="G76" s="103">
        <v>1679</v>
      </c>
      <c r="H76" s="104"/>
      <c r="I76" s="103">
        <v>1683</v>
      </c>
      <c r="J76" s="104"/>
    </row>
    <row r="77" spans="1:10" x14ac:dyDescent="0.3">
      <c r="A77" s="101" t="s">
        <v>19</v>
      </c>
      <c r="B77" s="102"/>
      <c r="C77" s="103">
        <v>6113</v>
      </c>
      <c r="D77" s="104"/>
      <c r="E77" s="103">
        <v>6245</v>
      </c>
      <c r="F77" s="104"/>
      <c r="G77" s="103">
        <v>6309</v>
      </c>
      <c r="H77" s="104"/>
      <c r="I77" s="103">
        <v>6449</v>
      </c>
      <c r="J77" s="104"/>
    </row>
    <row r="78" spans="1:10" x14ac:dyDescent="0.3">
      <c r="A78" s="105" t="s">
        <v>42</v>
      </c>
      <c r="B78" s="106"/>
      <c r="C78" s="103">
        <f>SUM(C69:C77)</f>
        <v>73202</v>
      </c>
      <c r="D78" s="104"/>
      <c r="E78" s="103">
        <f>SUM(E69:E77)</f>
        <v>73727</v>
      </c>
      <c r="F78" s="104"/>
      <c r="G78" s="103">
        <f>SUM(G69:G77)</f>
        <v>74285</v>
      </c>
      <c r="H78" s="104"/>
      <c r="I78" s="103">
        <f>SUM(I69:I77)</f>
        <v>75327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78"/>
  <sheetViews>
    <sheetView workbookViewId="0">
      <selection activeCell="O16" sqref="O16"/>
    </sheetView>
  </sheetViews>
  <sheetFormatPr defaultRowHeight="14.4" x14ac:dyDescent="0.3"/>
  <cols>
    <col min="13" max="13" width="11.44140625" customWidth="1"/>
  </cols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ht="27.75" customHeight="1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ht="17.25" customHeight="1" x14ac:dyDescent="0.3">
      <c r="A4" s="105" t="s">
        <v>9</v>
      </c>
      <c r="B4" s="106"/>
      <c r="C4" s="221" t="s">
        <v>773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1136</v>
      </c>
      <c r="D5" s="215"/>
      <c r="E5" s="215">
        <v>10</v>
      </c>
      <c r="F5" s="215"/>
      <c r="G5" s="215">
        <v>356</v>
      </c>
      <c r="H5" s="215"/>
      <c r="I5" s="213">
        <v>2762</v>
      </c>
      <c r="J5" s="214"/>
      <c r="K5" s="216">
        <v>34</v>
      </c>
      <c r="L5" s="217"/>
      <c r="M5" s="56">
        <v>5710</v>
      </c>
      <c r="N5" s="53">
        <v>1450</v>
      </c>
      <c r="O5" s="88">
        <v>457</v>
      </c>
      <c r="P5" s="53">
        <v>11022</v>
      </c>
      <c r="Q5" s="89">
        <v>10491</v>
      </c>
    </row>
    <row r="6" spans="1:17" ht="27.75" customHeight="1" x14ac:dyDescent="0.3">
      <c r="A6" s="211" t="s">
        <v>11</v>
      </c>
      <c r="B6" s="212"/>
      <c r="C6" s="213">
        <v>770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411</v>
      </c>
      <c r="D7" s="210"/>
      <c r="E7" s="210">
        <v>89</v>
      </c>
      <c r="F7" s="210"/>
      <c r="G7" s="210">
        <v>240</v>
      </c>
      <c r="H7" s="210"/>
      <c r="I7" s="149">
        <v>178</v>
      </c>
      <c r="J7" s="150"/>
      <c r="K7" s="149">
        <v>353</v>
      </c>
      <c r="L7" s="150"/>
      <c r="M7" s="52">
        <v>317</v>
      </c>
      <c r="N7" s="52">
        <v>29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96</v>
      </c>
      <c r="D8" s="210"/>
      <c r="E8" s="210">
        <v>0</v>
      </c>
      <c r="F8" s="210"/>
      <c r="G8" s="210">
        <v>4</v>
      </c>
      <c r="H8" s="210"/>
      <c r="I8" s="149">
        <v>196</v>
      </c>
      <c r="J8" s="150"/>
      <c r="K8" s="149">
        <v>0</v>
      </c>
      <c r="L8" s="150"/>
      <c r="M8" s="52">
        <v>154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384</v>
      </c>
      <c r="D9" s="210"/>
      <c r="E9" s="210">
        <v>19</v>
      </c>
      <c r="F9" s="210"/>
      <c r="G9" s="210">
        <v>15</v>
      </c>
      <c r="H9" s="210"/>
      <c r="I9" s="149">
        <v>307</v>
      </c>
      <c r="J9" s="150"/>
      <c r="K9" s="149">
        <v>85</v>
      </c>
      <c r="L9" s="150"/>
      <c r="M9" s="52">
        <v>306</v>
      </c>
      <c r="N9" s="52">
        <v>22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463</v>
      </c>
      <c r="D10" s="210"/>
      <c r="E10" s="210">
        <v>28</v>
      </c>
      <c r="F10" s="210"/>
      <c r="G10" s="210">
        <v>14</v>
      </c>
      <c r="H10" s="210"/>
      <c r="I10" s="149">
        <v>350</v>
      </c>
      <c r="J10" s="150"/>
      <c r="K10" s="149">
        <v>152</v>
      </c>
      <c r="L10" s="150"/>
      <c r="M10" s="52">
        <v>220</v>
      </c>
      <c r="N10" s="52">
        <v>30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282</v>
      </c>
      <c r="D11" s="209"/>
      <c r="E11" s="210">
        <v>23</v>
      </c>
      <c r="F11" s="210"/>
      <c r="G11" s="210">
        <v>8</v>
      </c>
      <c r="H11" s="210"/>
      <c r="I11" s="149">
        <v>117</v>
      </c>
      <c r="J11" s="150"/>
      <c r="K11" s="149">
        <v>119</v>
      </c>
      <c r="L11" s="150"/>
      <c r="M11" s="52">
        <v>87</v>
      </c>
      <c r="N11" s="52">
        <v>161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95</v>
      </c>
      <c r="D12" s="209"/>
      <c r="E12" s="210">
        <v>7</v>
      </c>
      <c r="F12" s="210"/>
      <c r="G12" s="210">
        <v>4</v>
      </c>
      <c r="H12" s="210"/>
      <c r="I12" s="149">
        <v>187</v>
      </c>
      <c r="J12" s="150"/>
      <c r="K12" s="149">
        <v>28</v>
      </c>
      <c r="L12" s="150"/>
      <c r="M12" s="52">
        <v>117</v>
      </c>
      <c r="N12" s="52">
        <v>60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187</v>
      </c>
      <c r="D13" s="150"/>
      <c r="E13" s="149">
        <v>28</v>
      </c>
      <c r="F13" s="150"/>
      <c r="G13" s="149">
        <v>0</v>
      </c>
      <c r="H13" s="150"/>
      <c r="I13" s="149">
        <v>154</v>
      </c>
      <c r="J13" s="150"/>
      <c r="K13" s="149">
        <v>0</v>
      </c>
      <c r="L13" s="150"/>
      <c r="M13" s="52">
        <v>94</v>
      </c>
      <c r="N13" s="52">
        <v>34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141</v>
      </c>
      <c r="D14" s="206"/>
      <c r="E14" s="205">
        <v>7</v>
      </c>
      <c r="F14" s="206"/>
      <c r="G14" s="205">
        <v>16</v>
      </c>
      <c r="H14" s="206"/>
      <c r="I14" s="149">
        <v>38</v>
      </c>
      <c r="J14" s="150"/>
      <c r="K14" s="205">
        <v>203</v>
      </c>
      <c r="L14" s="206"/>
      <c r="M14" s="59">
        <v>234</v>
      </c>
      <c r="N14" s="59">
        <v>25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1702</v>
      </c>
      <c r="P15" s="59">
        <v>2042</v>
      </c>
      <c r="Q15" s="91">
        <v>1376</v>
      </c>
    </row>
    <row r="16" spans="1:17" ht="15" thickBot="1" x14ac:dyDescent="0.35">
      <c r="A16" s="199" t="s">
        <v>20</v>
      </c>
      <c r="B16" s="200"/>
      <c r="C16" s="201">
        <f>SUM(C5:D15)</f>
        <v>3965</v>
      </c>
      <c r="D16" s="202"/>
      <c r="E16" s="201">
        <f>SUM(E5:F15)</f>
        <v>211</v>
      </c>
      <c r="F16" s="202"/>
      <c r="G16" s="201">
        <f>SUM(G5:H15)</f>
        <v>657</v>
      </c>
      <c r="H16" s="202"/>
      <c r="I16" s="201">
        <f>SUM(I5:J15)</f>
        <v>4289</v>
      </c>
      <c r="J16" s="202"/>
      <c r="K16" s="201">
        <f>SUM(K5:L15)</f>
        <v>974</v>
      </c>
      <c r="L16" s="202"/>
      <c r="M16" s="4">
        <f>SUM(M5:M15)</f>
        <v>7239</v>
      </c>
      <c r="N16" s="4">
        <f>SUM(N5:N15)</f>
        <v>1826</v>
      </c>
      <c r="O16" s="4">
        <f>SUM(O5:O15)</f>
        <v>2241</v>
      </c>
      <c r="P16" s="4">
        <f>SUM(P5:P15)</f>
        <v>13099</v>
      </c>
      <c r="Q16" s="5">
        <f>SUM(Q5:Q15)</f>
        <v>11875</v>
      </c>
    </row>
    <row r="17" spans="1:17" ht="15" thickBot="1" x14ac:dyDescent="0.35">
      <c r="A17" s="190" t="s">
        <v>21</v>
      </c>
      <c r="B17" s="191"/>
      <c r="C17" s="192">
        <v>1136</v>
      </c>
      <c r="D17" s="192"/>
      <c r="E17" s="193">
        <v>10</v>
      </c>
      <c r="F17" s="194"/>
      <c r="G17" s="195">
        <v>356</v>
      </c>
      <c r="H17" s="196"/>
      <c r="I17" s="195">
        <v>2762</v>
      </c>
      <c r="J17" s="196"/>
      <c r="K17" s="197">
        <v>34</v>
      </c>
      <c r="L17" s="198"/>
      <c r="M17" s="36">
        <v>5710</v>
      </c>
      <c r="N17" s="30">
        <v>1450</v>
      </c>
      <c r="O17" s="86">
        <v>457</v>
      </c>
      <c r="P17" s="37">
        <v>11022</v>
      </c>
      <c r="Q17" s="87">
        <v>10491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773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87</v>
      </c>
      <c r="D25" s="162"/>
      <c r="E25" s="185" t="s">
        <v>644</v>
      </c>
      <c r="F25" s="186"/>
      <c r="G25" s="161">
        <v>0</v>
      </c>
      <c r="H25" s="162"/>
      <c r="I25" s="161">
        <v>25</v>
      </c>
      <c r="J25" s="162"/>
      <c r="K25" s="70">
        <v>0</v>
      </c>
      <c r="L25" s="78">
        <v>26</v>
      </c>
      <c r="M25" s="78">
        <v>9</v>
      </c>
    </row>
    <row r="26" spans="1:17" x14ac:dyDescent="0.3">
      <c r="A26" s="101" t="s">
        <v>13</v>
      </c>
      <c r="B26" s="102"/>
      <c r="C26" s="149">
        <v>6</v>
      </c>
      <c r="D26" s="150"/>
      <c r="E26" s="165" t="s">
        <v>25</v>
      </c>
      <c r="F26" s="166"/>
      <c r="G26" s="149">
        <v>0</v>
      </c>
      <c r="H26" s="150"/>
      <c r="I26" s="149">
        <v>143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178</v>
      </c>
      <c r="D27" s="150"/>
      <c r="E27" s="165" t="s">
        <v>112</v>
      </c>
      <c r="F27" s="166"/>
      <c r="G27" s="149">
        <v>31</v>
      </c>
      <c r="H27" s="150"/>
      <c r="I27" s="149">
        <v>67</v>
      </c>
      <c r="J27" s="150"/>
      <c r="K27" s="52">
        <v>4</v>
      </c>
      <c r="L27" s="79">
        <v>19</v>
      </c>
      <c r="M27" s="79">
        <v>3</v>
      </c>
    </row>
    <row r="28" spans="1:17" x14ac:dyDescent="0.3">
      <c r="A28" s="101" t="s">
        <v>15</v>
      </c>
      <c r="B28" s="102"/>
      <c r="C28" s="165" t="s">
        <v>775</v>
      </c>
      <c r="D28" s="166"/>
      <c r="E28" s="165" t="s">
        <v>25</v>
      </c>
      <c r="F28" s="166"/>
      <c r="G28" s="149">
        <v>0</v>
      </c>
      <c r="H28" s="150"/>
      <c r="I28" s="149">
        <v>20</v>
      </c>
      <c r="J28" s="150"/>
      <c r="K28" s="52">
        <v>2</v>
      </c>
      <c r="L28" s="81">
        <v>20</v>
      </c>
      <c r="M28" s="79">
        <v>1</v>
      </c>
    </row>
    <row r="29" spans="1:17" x14ac:dyDescent="0.3">
      <c r="A29" s="101" t="s">
        <v>16</v>
      </c>
      <c r="B29" s="102"/>
      <c r="C29" s="183" t="s">
        <v>772</v>
      </c>
      <c r="D29" s="184"/>
      <c r="E29" s="165" t="s">
        <v>25</v>
      </c>
      <c r="F29" s="166"/>
      <c r="G29" s="149">
        <v>0</v>
      </c>
      <c r="H29" s="150"/>
      <c r="I29" s="149">
        <v>17</v>
      </c>
      <c r="J29" s="150"/>
      <c r="K29" s="52">
        <v>4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21</v>
      </c>
      <c r="D30" s="153"/>
      <c r="E30" s="165" t="s">
        <v>177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5</v>
      </c>
      <c r="M30" s="79">
        <v>0</v>
      </c>
    </row>
    <row r="31" spans="1:17" x14ac:dyDescent="0.3">
      <c r="A31" s="101" t="s">
        <v>18</v>
      </c>
      <c r="B31" s="102"/>
      <c r="C31" s="183" t="s">
        <v>696</v>
      </c>
      <c r="D31" s="184"/>
      <c r="E31" s="165" t="s">
        <v>25</v>
      </c>
      <c r="F31" s="166"/>
      <c r="G31" s="149">
        <v>0</v>
      </c>
      <c r="H31" s="150"/>
      <c r="I31" s="149">
        <v>7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773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445</v>
      </c>
      <c r="D38" s="162"/>
      <c r="E38" s="163" t="s">
        <v>111</v>
      </c>
      <c r="F38" s="164"/>
      <c r="G38" s="161">
        <v>0</v>
      </c>
      <c r="H38" s="162"/>
      <c r="I38" s="161" t="s">
        <v>571</v>
      </c>
      <c r="J38" s="162"/>
      <c r="K38" s="70">
        <v>0</v>
      </c>
      <c r="L38" s="78">
        <v>43</v>
      </c>
      <c r="M38" s="78">
        <v>10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774</v>
      </c>
      <c r="F39" s="155"/>
      <c r="G39" s="149" t="s">
        <v>750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417</v>
      </c>
      <c r="D40" s="150"/>
      <c r="E40" s="154" t="s">
        <v>756</v>
      </c>
      <c r="F40" s="155"/>
      <c r="G40" s="149" t="s">
        <v>770</v>
      </c>
      <c r="H40" s="150"/>
      <c r="I40" s="149" t="s">
        <v>499</v>
      </c>
      <c r="J40" s="150"/>
      <c r="K40" s="52" t="s">
        <v>437</v>
      </c>
      <c r="L40" s="79">
        <v>13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611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94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558</v>
      </c>
      <c r="D44" s="153"/>
      <c r="E44" s="149" t="s">
        <v>768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2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752</v>
      </c>
      <c r="D49" s="146"/>
      <c r="E49" s="145" t="s">
        <v>761</v>
      </c>
      <c r="F49" s="146"/>
      <c r="G49" s="145" t="s">
        <v>769</v>
      </c>
      <c r="H49" s="146"/>
      <c r="I49" s="145" t="s">
        <v>773</v>
      </c>
      <c r="J49" s="146"/>
    </row>
    <row r="50" spans="1:10" x14ac:dyDescent="0.3">
      <c r="A50" s="120" t="s">
        <v>30</v>
      </c>
      <c r="B50" s="121"/>
      <c r="C50" s="136">
        <v>10462</v>
      </c>
      <c r="D50" s="137"/>
      <c r="E50" s="136">
        <v>10408</v>
      </c>
      <c r="F50" s="137"/>
      <c r="G50" s="136">
        <v>10359</v>
      </c>
      <c r="H50" s="137"/>
      <c r="I50" s="136">
        <v>10316</v>
      </c>
      <c r="J50" s="137"/>
    </row>
    <row r="51" spans="1:10" x14ac:dyDescent="0.3">
      <c r="A51" s="120" t="s">
        <v>31</v>
      </c>
      <c r="B51" s="121"/>
      <c r="C51" s="136">
        <v>11204</v>
      </c>
      <c r="D51" s="137"/>
      <c r="E51" s="136">
        <v>11225</v>
      </c>
      <c r="F51" s="137"/>
      <c r="G51" s="136">
        <v>11260</v>
      </c>
      <c r="H51" s="137"/>
      <c r="I51" s="136">
        <v>11269</v>
      </c>
      <c r="J51" s="137"/>
    </row>
    <row r="52" spans="1:10" x14ac:dyDescent="0.3">
      <c r="A52" s="120" t="s">
        <v>32</v>
      </c>
      <c r="B52" s="121"/>
      <c r="C52" s="136">
        <v>111029</v>
      </c>
      <c r="D52" s="137"/>
      <c r="E52" s="136">
        <v>110968</v>
      </c>
      <c r="F52" s="137"/>
      <c r="G52" s="136">
        <v>111024</v>
      </c>
      <c r="H52" s="137"/>
      <c r="I52" s="136">
        <v>110931</v>
      </c>
      <c r="J52" s="137"/>
    </row>
    <row r="53" spans="1:10" x14ac:dyDescent="0.3">
      <c r="A53" s="120" t="s">
        <v>33</v>
      </c>
      <c r="B53" s="121"/>
      <c r="C53" s="138">
        <v>240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49108</v>
      </c>
      <c r="D54" s="137"/>
      <c r="E54" s="136">
        <v>49086</v>
      </c>
      <c r="F54" s="137"/>
      <c r="G54" s="136">
        <v>49102</v>
      </c>
      <c r="H54" s="137"/>
      <c r="I54" s="136">
        <v>49110</v>
      </c>
      <c r="J54" s="137"/>
    </row>
    <row r="55" spans="1:10" x14ac:dyDescent="0.3">
      <c r="A55" s="120" t="s">
        <v>53</v>
      </c>
      <c r="B55" s="121"/>
      <c r="C55" s="138">
        <v>5100</v>
      </c>
      <c r="D55" s="139"/>
      <c r="E55" s="138">
        <v>5205</v>
      </c>
      <c r="F55" s="139"/>
      <c r="G55" s="138">
        <v>5283</v>
      </c>
      <c r="H55" s="139"/>
      <c r="I55" s="138">
        <v>5345</v>
      </c>
      <c r="J55" s="139"/>
    </row>
    <row r="56" spans="1:10" x14ac:dyDescent="0.3">
      <c r="A56" s="120" t="s">
        <v>49</v>
      </c>
      <c r="B56" s="121"/>
      <c r="C56" s="136">
        <v>22493</v>
      </c>
      <c r="D56" s="137"/>
      <c r="E56" s="136">
        <v>22348</v>
      </c>
      <c r="F56" s="137"/>
      <c r="G56" s="136">
        <v>22366</v>
      </c>
      <c r="H56" s="137"/>
      <c r="I56" s="136">
        <v>22379</v>
      </c>
      <c r="J56" s="137"/>
    </row>
    <row r="57" spans="1:10" x14ac:dyDescent="0.3">
      <c r="A57" s="120" t="s">
        <v>35</v>
      </c>
      <c r="B57" s="121"/>
      <c r="C57" s="138">
        <v>3798</v>
      </c>
      <c r="D57" s="139"/>
      <c r="E57" s="138">
        <v>3820</v>
      </c>
      <c r="F57" s="139"/>
      <c r="G57" s="138">
        <v>3854</v>
      </c>
      <c r="H57" s="139"/>
      <c r="I57" s="138">
        <v>3870</v>
      </c>
      <c r="J57" s="139"/>
    </row>
    <row r="58" spans="1:10" x14ac:dyDescent="0.3">
      <c r="A58" s="120" t="s">
        <v>36</v>
      </c>
      <c r="B58" s="121"/>
      <c r="C58" s="122">
        <f>SUM(C50:D57)</f>
        <v>213434</v>
      </c>
      <c r="D58" s="123"/>
      <c r="E58" s="122">
        <f>SUM(E50:F57)</f>
        <v>213296</v>
      </c>
      <c r="F58" s="123"/>
      <c r="G58" s="122">
        <f>SUM(G50:H57)</f>
        <v>213484</v>
      </c>
      <c r="H58" s="123"/>
      <c r="I58" s="122">
        <f>SUM(I50:J57)</f>
        <v>213456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752</v>
      </c>
      <c r="D60" s="131"/>
      <c r="E60" s="130" t="s">
        <v>761</v>
      </c>
      <c r="F60" s="131"/>
      <c r="G60" s="130" t="s">
        <v>769</v>
      </c>
      <c r="H60" s="131"/>
      <c r="I60" s="130" t="s">
        <v>773</v>
      </c>
      <c r="J60" s="131"/>
    </row>
    <row r="61" spans="1:10" x14ac:dyDescent="0.3">
      <c r="A61" s="126"/>
      <c r="B61" s="127"/>
      <c r="C61" s="132">
        <v>140333</v>
      </c>
      <c r="D61" s="133"/>
      <c r="E61" s="132">
        <v>140382</v>
      </c>
      <c r="F61" s="133"/>
      <c r="G61" s="132">
        <v>140492</v>
      </c>
      <c r="H61" s="133"/>
      <c r="I61" s="132">
        <v>140586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671</v>
      </c>
      <c r="D66" s="115"/>
      <c r="E66" s="114" t="s">
        <v>702</v>
      </c>
      <c r="F66" s="115"/>
      <c r="G66" s="114" t="s">
        <v>718</v>
      </c>
      <c r="H66" s="115"/>
      <c r="I66" s="114" t="s">
        <v>760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31898</v>
      </c>
      <c r="D69" s="104"/>
      <c r="E69" s="103">
        <v>32193</v>
      </c>
      <c r="F69" s="104"/>
      <c r="G69" s="103">
        <v>32418</v>
      </c>
      <c r="H69" s="104"/>
      <c r="I69" s="103">
        <v>33056</v>
      </c>
      <c r="J69" s="104"/>
    </row>
    <row r="70" spans="1:10" x14ac:dyDescent="0.3">
      <c r="A70" s="101" t="s">
        <v>13</v>
      </c>
      <c r="B70" s="102"/>
      <c r="C70" s="103">
        <v>7570</v>
      </c>
      <c r="D70" s="104"/>
      <c r="E70" s="103">
        <v>7323</v>
      </c>
      <c r="F70" s="104"/>
      <c r="G70" s="103">
        <v>7352</v>
      </c>
      <c r="H70" s="104"/>
      <c r="I70" s="103">
        <v>7380</v>
      </c>
      <c r="J70" s="104"/>
    </row>
    <row r="71" spans="1:10" x14ac:dyDescent="0.3">
      <c r="A71" s="107" t="s">
        <v>14</v>
      </c>
      <c r="B71" s="108"/>
      <c r="C71" s="103">
        <v>6438</v>
      </c>
      <c r="D71" s="104"/>
      <c r="E71" s="103">
        <v>6486</v>
      </c>
      <c r="F71" s="104"/>
      <c r="G71" s="103">
        <v>6558</v>
      </c>
      <c r="H71" s="104"/>
      <c r="I71" s="103">
        <v>6610</v>
      </c>
      <c r="J71" s="104"/>
    </row>
    <row r="72" spans="1:10" x14ac:dyDescent="0.3">
      <c r="A72" s="107" t="s">
        <v>41</v>
      </c>
      <c r="B72" s="108"/>
      <c r="C72" s="103">
        <v>1545</v>
      </c>
      <c r="D72" s="104"/>
      <c r="E72" s="103">
        <v>1587</v>
      </c>
      <c r="F72" s="104"/>
      <c r="G72" s="103">
        <v>1621</v>
      </c>
      <c r="H72" s="104"/>
      <c r="I72" s="103">
        <v>1653</v>
      </c>
      <c r="J72" s="104"/>
    </row>
    <row r="73" spans="1:10" x14ac:dyDescent="0.3">
      <c r="A73" s="101" t="s">
        <v>15</v>
      </c>
      <c r="B73" s="102"/>
      <c r="C73" s="103">
        <v>4907</v>
      </c>
      <c r="D73" s="104"/>
      <c r="E73" s="103">
        <v>5035</v>
      </c>
      <c r="F73" s="104"/>
      <c r="G73" s="103">
        <v>5117</v>
      </c>
      <c r="H73" s="104"/>
      <c r="I73" s="103">
        <v>5163</v>
      </c>
      <c r="J73" s="104"/>
    </row>
    <row r="74" spans="1:10" x14ac:dyDescent="0.3">
      <c r="A74" s="107" t="s">
        <v>16</v>
      </c>
      <c r="B74" s="108"/>
      <c r="C74" s="103">
        <v>5039</v>
      </c>
      <c r="D74" s="104"/>
      <c r="E74" s="103">
        <v>5051</v>
      </c>
      <c r="F74" s="104"/>
      <c r="G74" s="103">
        <v>5068</v>
      </c>
      <c r="H74" s="104"/>
      <c r="I74" s="103">
        <v>5103</v>
      </c>
      <c r="J74" s="104"/>
    </row>
    <row r="75" spans="1:10" x14ac:dyDescent="0.3">
      <c r="A75" s="101" t="s">
        <v>17</v>
      </c>
      <c r="B75" s="102"/>
      <c r="C75" s="103">
        <v>8036</v>
      </c>
      <c r="D75" s="104"/>
      <c r="E75" s="103">
        <v>8141</v>
      </c>
      <c r="F75" s="104"/>
      <c r="G75" s="103">
        <v>8163</v>
      </c>
      <c r="H75" s="104"/>
      <c r="I75" s="103">
        <v>8230</v>
      </c>
      <c r="J75" s="104"/>
    </row>
    <row r="76" spans="1:10" x14ac:dyDescent="0.3">
      <c r="A76" s="107" t="s">
        <v>18</v>
      </c>
      <c r="B76" s="108"/>
      <c r="C76" s="103">
        <v>1656</v>
      </c>
      <c r="D76" s="104"/>
      <c r="E76" s="103">
        <v>1666</v>
      </c>
      <c r="F76" s="104"/>
      <c r="G76" s="103">
        <v>1679</v>
      </c>
      <c r="H76" s="104"/>
      <c r="I76" s="103">
        <v>1683</v>
      </c>
      <c r="J76" s="104"/>
    </row>
    <row r="77" spans="1:10" x14ac:dyDescent="0.3">
      <c r="A77" s="101" t="s">
        <v>19</v>
      </c>
      <c r="B77" s="102"/>
      <c r="C77" s="103">
        <v>6113</v>
      </c>
      <c r="D77" s="104"/>
      <c r="E77" s="103">
        <v>6245</v>
      </c>
      <c r="F77" s="104"/>
      <c r="G77" s="103">
        <v>6309</v>
      </c>
      <c r="H77" s="104"/>
      <c r="I77" s="103">
        <v>6449</v>
      </c>
      <c r="J77" s="104"/>
    </row>
    <row r="78" spans="1:10" x14ac:dyDescent="0.3">
      <c r="A78" s="105" t="s">
        <v>42</v>
      </c>
      <c r="B78" s="106"/>
      <c r="C78" s="103">
        <f>SUM(C69:C77)</f>
        <v>73202</v>
      </c>
      <c r="D78" s="104"/>
      <c r="E78" s="103">
        <f>SUM(E69:E77)</f>
        <v>73727</v>
      </c>
      <c r="F78" s="104"/>
      <c r="G78" s="103">
        <f>SUM(G69:G77)</f>
        <v>74285</v>
      </c>
      <c r="H78" s="104"/>
      <c r="I78" s="103">
        <f>SUM(I69:I77)</f>
        <v>75327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Q78"/>
  <sheetViews>
    <sheetView workbookViewId="0">
      <selection activeCell="O16" sqref="O16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777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1336</v>
      </c>
      <c r="D5" s="215"/>
      <c r="E5" s="215">
        <v>10</v>
      </c>
      <c r="F5" s="215"/>
      <c r="G5" s="215">
        <v>356</v>
      </c>
      <c r="H5" s="215"/>
      <c r="I5" s="213">
        <v>2142</v>
      </c>
      <c r="J5" s="214"/>
      <c r="K5" s="216">
        <v>34</v>
      </c>
      <c r="L5" s="217"/>
      <c r="M5" s="56">
        <v>4760</v>
      </c>
      <c r="N5" s="53">
        <v>1150</v>
      </c>
      <c r="O5" s="88">
        <v>261</v>
      </c>
      <c r="P5" s="53">
        <v>10527</v>
      </c>
      <c r="Q5" s="89">
        <v>9956</v>
      </c>
    </row>
    <row r="6" spans="1:17" x14ac:dyDescent="0.3">
      <c r="A6" s="211" t="s">
        <v>11</v>
      </c>
      <c r="B6" s="212"/>
      <c r="C6" s="213">
        <v>770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525</v>
      </c>
      <c r="D7" s="210"/>
      <c r="E7" s="210">
        <v>84</v>
      </c>
      <c r="F7" s="210"/>
      <c r="G7" s="210">
        <v>240</v>
      </c>
      <c r="H7" s="210"/>
      <c r="I7" s="149">
        <v>447</v>
      </c>
      <c r="J7" s="150"/>
      <c r="K7" s="149">
        <v>290</v>
      </c>
      <c r="L7" s="150"/>
      <c r="M7" s="52">
        <v>908</v>
      </c>
      <c r="N7" s="52">
        <v>27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52</v>
      </c>
      <c r="D8" s="210"/>
      <c r="E8" s="210">
        <v>0</v>
      </c>
      <c r="F8" s="210"/>
      <c r="G8" s="210">
        <v>4</v>
      </c>
      <c r="H8" s="210"/>
      <c r="I8" s="149">
        <v>164</v>
      </c>
      <c r="J8" s="150"/>
      <c r="K8" s="149">
        <v>0</v>
      </c>
      <c r="L8" s="150"/>
      <c r="M8" s="52">
        <v>208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292</v>
      </c>
      <c r="D9" s="210"/>
      <c r="E9" s="210">
        <v>15</v>
      </c>
      <c r="F9" s="210"/>
      <c r="G9" s="210">
        <v>14</v>
      </c>
      <c r="H9" s="210"/>
      <c r="I9" s="149">
        <v>307</v>
      </c>
      <c r="J9" s="150"/>
      <c r="K9" s="149">
        <v>45</v>
      </c>
      <c r="L9" s="150"/>
      <c r="M9" s="52">
        <v>345</v>
      </c>
      <c r="N9" s="52">
        <v>20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400</v>
      </c>
      <c r="D10" s="210"/>
      <c r="E10" s="210">
        <v>21</v>
      </c>
      <c r="F10" s="210"/>
      <c r="G10" s="210">
        <v>12</v>
      </c>
      <c r="H10" s="210"/>
      <c r="I10" s="149">
        <v>340</v>
      </c>
      <c r="J10" s="150"/>
      <c r="K10" s="149">
        <v>142</v>
      </c>
      <c r="L10" s="150"/>
      <c r="M10" s="52">
        <v>204</v>
      </c>
      <c r="N10" s="52">
        <v>20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52</v>
      </c>
      <c r="D11" s="209"/>
      <c r="E11" s="210">
        <v>21</v>
      </c>
      <c r="F11" s="210"/>
      <c r="G11" s="210">
        <v>8</v>
      </c>
      <c r="H11" s="210"/>
      <c r="I11" s="149">
        <v>305</v>
      </c>
      <c r="J11" s="150"/>
      <c r="K11" s="149">
        <v>115</v>
      </c>
      <c r="L11" s="150"/>
      <c r="M11" s="52">
        <v>350</v>
      </c>
      <c r="N11" s="52">
        <v>550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88</v>
      </c>
      <c r="D12" s="209"/>
      <c r="E12" s="210">
        <v>6</v>
      </c>
      <c r="F12" s="210"/>
      <c r="G12" s="210">
        <v>3</v>
      </c>
      <c r="H12" s="210"/>
      <c r="I12" s="149">
        <v>180</v>
      </c>
      <c r="J12" s="150"/>
      <c r="K12" s="149">
        <v>26</v>
      </c>
      <c r="L12" s="150"/>
      <c r="M12" s="52">
        <v>114</v>
      </c>
      <c r="N12" s="52">
        <v>60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332</v>
      </c>
      <c r="D13" s="150"/>
      <c r="E13" s="149">
        <v>8</v>
      </c>
      <c r="F13" s="150"/>
      <c r="G13" s="149">
        <v>20</v>
      </c>
      <c r="H13" s="150"/>
      <c r="I13" s="149">
        <v>280</v>
      </c>
      <c r="J13" s="150"/>
      <c r="K13" s="149">
        <v>24</v>
      </c>
      <c r="L13" s="150"/>
      <c r="M13" s="52">
        <v>293</v>
      </c>
      <c r="N13" s="52">
        <v>34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343</v>
      </c>
      <c r="D14" s="206"/>
      <c r="E14" s="205">
        <v>6</v>
      </c>
      <c r="F14" s="206"/>
      <c r="G14" s="205">
        <v>16</v>
      </c>
      <c r="H14" s="206"/>
      <c r="I14" s="149">
        <v>334</v>
      </c>
      <c r="J14" s="150"/>
      <c r="K14" s="205">
        <v>17</v>
      </c>
      <c r="L14" s="206"/>
      <c r="M14" s="59">
        <v>253</v>
      </c>
      <c r="N14" s="59">
        <v>21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1589</v>
      </c>
      <c r="P15" s="59">
        <v>2260</v>
      </c>
      <c r="Q15" s="91">
        <v>1575</v>
      </c>
    </row>
    <row r="16" spans="1:17" ht="15" thickBot="1" x14ac:dyDescent="0.35">
      <c r="A16" s="199" t="s">
        <v>20</v>
      </c>
      <c r="B16" s="200"/>
      <c r="C16" s="201">
        <f>SUM(C5:D15)</f>
        <v>4190</v>
      </c>
      <c r="D16" s="202"/>
      <c r="E16" s="201">
        <f>SUM(E5:F15)</f>
        <v>171</v>
      </c>
      <c r="F16" s="202"/>
      <c r="G16" s="201">
        <f>SUM(G5:H15)</f>
        <v>673</v>
      </c>
      <c r="H16" s="202"/>
      <c r="I16" s="201">
        <f>SUM(I5:J15)</f>
        <v>4499</v>
      </c>
      <c r="J16" s="202"/>
      <c r="K16" s="201">
        <f>SUM(K5:L15)</f>
        <v>693</v>
      </c>
      <c r="L16" s="202"/>
      <c r="M16" s="4">
        <f>SUM(M5:M15)</f>
        <v>7435</v>
      </c>
      <c r="N16" s="4">
        <f>SUM(N5:N15)</f>
        <v>1897</v>
      </c>
      <c r="O16" s="4">
        <f>SUM(O5:O15)</f>
        <v>1932</v>
      </c>
      <c r="P16" s="4">
        <f>SUM(P5:P15)</f>
        <v>12822</v>
      </c>
      <c r="Q16" s="5">
        <f>SUM(Q5:Q15)</f>
        <v>11539</v>
      </c>
    </row>
    <row r="17" spans="1:17" ht="15" thickBot="1" x14ac:dyDescent="0.35">
      <c r="A17" s="190" t="s">
        <v>21</v>
      </c>
      <c r="B17" s="191"/>
      <c r="C17" s="192">
        <v>836</v>
      </c>
      <c r="D17" s="192"/>
      <c r="E17" s="193">
        <v>10</v>
      </c>
      <c r="F17" s="194"/>
      <c r="G17" s="195">
        <v>356</v>
      </c>
      <c r="H17" s="196"/>
      <c r="I17" s="195">
        <v>822</v>
      </c>
      <c r="J17" s="196"/>
      <c r="K17" s="197">
        <v>34</v>
      </c>
      <c r="L17" s="198"/>
      <c r="M17" s="36">
        <v>1910</v>
      </c>
      <c r="N17" s="30">
        <v>650</v>
      </c>
      <c r="O17" s="86">
        <v>261</v>
      </c>
      <c r="P17" s="37">
        <v>10527</v>
      </c>
      <c r="Q17" s="87">
        <v>9956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777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91</v>
      </c>
      <c r="D25" s="162"/>
      <c r="E25" s="185" t="s">
        <v>762</v>
      </c>
      <c r="F25" s="186"/>
      <c r="G25" s="161">
        <v>0</v>
      </c>
      <c r="H25" s="162"/>
      <c r="I25" s="161">
        <v>30</v>
      </c>
      <c r="J25" s="162"/>
      <c r="K25" s="70">
        <v>0</v>
      </c>
      <c r="L25" s="78">
        <v>26</v>
      </c>
      <c r="M25" s="78">
        <v>9</v>
      </c>
    </row>
    <row r="26" spans="1:17" x14ac:dyDescent="0.3">
      <c r="A26" s="101" t="s">
        <v>13</v>
      </c>
      <c r="B26" s="102"/>
      <c r="C26" s="149">
        <v>7</v>
      </c>
      <c r="D26" s="150"/>
      <c r="E26" s="165" t="s">
        <v>25</v>
      </c>
      <c r="F26" s="166"/>
      <c r="G26" s="149">
        <v>0</v>
      </c>
      <c r="H26" s="150"/>
      <c r="I26" s="149">
        <v>143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178</v>
      </c>
      <c r="D27" s="150"/>
      <c r="E27" s="165" t="s">
        <v>112</v>
      </c>
      <c r="F27" s="166"/>
      <c r="G27" s="149">
        <v>31</v>
      </c>
      <c r="H27" s="150"/>
      <c r="I27" s="149">
        <v>67</v>
      </c>
      <c r="J27" s="150"/>
      <c r="K27" s="52">
        <v>4</v>
      </c>
      <c r="L27" s="79">
        <v>19</v>
      </c>
      <c r="M27" s="79">
        <v>3</v>
      </c>
    </row>
    <row r="28" spans="1:17" x14ac:dyDescent="0.3">
      <c r="A28" s="101" t="s">
        <v>15</v>
      </c>
      <c r="B28" s="102"/>
      <c r="C28" s="165" t="s">
        <v>775</v>
      </c>
      <c r="D28" s="166"/>
      <c r="E28" s="165" t="s">
        <v>25</v>
      </c>
      <c r="F28" s="166"/>
      <c r="G28" s="149">
        <v>0</v>
      </c>
      <c r="H28" s="150"/>
      <c r="I28" s="149">
        <v>25</v>
      </c>
      <c r="J28" s="150"/>
      <c r="K28" s="52">
        <v>2</v>
      </c>
      <c r="L28" s="81">
        <v>20</v>
      </c>
      <c r="M28" s="79">
        <v>1</v>
      </c>
    </row>
    <row r="29" spans="1:17" x14ac:dyDescent="0.3">
      <c r="A29" s="101" t="s">
        <v>16</v>
      </c>
      <c r="B29" s="102"/>
      <c r="C29" s="183" t="s">
        <v>772</v>
      </c>
      <c r="D29" s="184"/>
      <c r="E29" s="165" t="s">
        <v>25</v>
      </c>
      <c r="F29" s="166"/>
      <c r="G29" s="149">
        <v>0</v>
      </c>
      <c r="H29" s="150"/>
      <c r="I29" s="149">
        <v>17</v>
      </c>
      <c r="J29" s="150"/>
      <c r="K29" s="52">
        <v>4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12</v>
      </c>
      <c r="D30" s="153"/>
      <c r="E30" s="165" t="s">
        <v>191</v>
      </c>
      <c r="F30" s="166"/>
      <c r="G30" s="149">
        <v>0</v>
      </c>
      <c r="H30" s="150"/>
      <c r="I30" s="149">
        <v>6</v>
      </c>
      <c r="J30" s="150"/>
      <c r="K30" s="52">
        <v>0</v>
      </c>
      <c r="L30" s="79">
        <v>4</v>
      </c>
      <c r="M30" s="79">
        <v>0</v>
      </c>
    </row>
    <row r="31" spans="1:17" x14ac:dyDescent="0.3">
      <c r="A31" s="101" t="s">
        <v>18</v>
      </c>
      <c r="B31" s="102"/>
      <c r="C31" s="183" t="s">
        <v>780</v>
      </c>
      <c r="D31" s="184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16</v>
      </c>
      <c r="D32" s="150"/>
      <c r="E32" s="165" t="s">
        <v>285</v>
      </c>
      <c r="F32" s="166"/>
      <c r="G32" s="149">
        <v>0</v>
      </c>
      <c r="H32" s="150"/>
      <c r="I32" s="149">
        <v>1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777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456</v>
      </c>
      <c r="D38" s="162"/>
      <c r="E38" s="163" t="s">
        <v>778</v>
      </c>
      <c r="F38" s="164"/>
      <c r="G38" s="161">
        <v>0</v>
      </c>
      <c r="H38" s="162"/>
      <c r="I38" s="161" t="s">
        <v>517</v>
      </c>
      <c r="J38" s="162"/>
      <c r="K38" s="70">
        <v>0</v>
      </c>
      <c r="L38" s="78">
        <v>41</v>
      </c>
      <c r="M38" s="78">
        <v>10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779</v>
      </c>
      <c r="F39" s="155"/>
      <c r="G39" s="149" t="s">
        <v>750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417</v>
      </c>
      <c r="D40" s="150"/>
      <c r="E40" s="154" t="s">
        <v>756</v>
      </c>
      <c r="F40" s="155"/>
      <c r="G40" s="149" t="s">
        <v>770</v>
      </c>
      <c r="H40" s="150"/>
      <c r="I40" s="149" t="s">
        <v>499</v>
      </c>
      <c r="J40" s="150"/>
      <c r="K40" s="52" t="s">
        <v>437</v>
      </c>
      <c r="L40" s="79">
        <v>13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611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94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558</v>
      </c>
      <c r="D44" s="153"/>
      <c r="E44" s="149" t="s">
        <v>781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2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761</v>
      </c>
      <c r="D49" s="146"/>
      <c r="E49" s="145" t="s">
        <v>769</v>
      </c>
      <c r="F49" s="146"/>
      <c r="G49" s="145" t="s">
        <v>773</v>
      </c>
      <c r="H49" s="146"/>
      <c r="I49" s="145" t="s">
        <v>777</v>
      </c>
      <c r="J49" s="146"/>
    </row>
    <row r="50" spans="1:10" x14ac:dyDescent="0.3">
      <c r="A50" s="120" t="s">
        <v>30</v>
      </c>
      <c r="B50" s="121"/>
      <c r="C50" s="136">
        <v>10408</v>
      </c>
      <c r="D50" s="137"/>
      <c r="E50" s="136">
        <v>10359</v>
      </c>
      <c r="F50" s="137"/>
      <c r="G50" s="136">
        <v>10316</v>
      </c>
      <c r="H50" s="137"/>
      <c r="I50" s="136">
        <v>10286</v>
      </c>
      <c r="J50" s="137"/>
    </row>
    <row r="51" spans="1:10" x14ac:dyDescent="0.3">
      <c r="A51" s="120" t="s">
        <v>31</v>
      </c>
      <c r="B51" s="121"/>
      <c r="C51" s="136">
        <v>11225</v>
      </c>
      <c r="D51" s="137"/>
      <c r="E51" s="136">
        <v>11260</v>
      </c>
      <c r="F51" s="137"/>
      <c r="G51" s="136">
        <v>11269</v>
      </c>
      <c r="H51" s="137"/>
      <c r="I51" s="136">
        <v>11271</v>
      </c>
      <c r="J51" s="137"/>
    </row>
    <row r="52" spans="1:10" x14ac:dyDescent="0.3">
      <c r="A52" s="120" t="s">
        <v>32</v>
      </c>
      <c r="B52" s="121"/>
      <c r="C52" s="136">
        <v>110968</v>
      </c>
      <c r="D52" s="137"/>
      <c r="E52" s="136">
        <v>111024</v>
      </c>
      <c r="F52" s="137"/>
      <c r="G52" s="136">
        <v>110931</v>
      </c>
      <c r="H52" s="137"/>
      <c r="I52" s="136">
        <v>110813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49086</v>
      </c>
      <c r="D54" s="137"/>
      <c r="E54" s="136">
        <v>49102</v>
      </c>
      <c r="F54" s="137"/>
      <c r="G54" s="136">
        <v>49110</v>
      </c>
      <c r="H54" s="137"/>
      <c r="I54" s="136">
        <v>49042</v>
      </c>
      <c r="J54" s="137"/>
    </row>
    <row r="55" spans="1:10" x14ac:dyDescent="0.3">
      <c r="A55" s="120" t="s">
        <v>53</v>
      </c>
      <c r="B55" s="121"/>
      <c r="C55" s="138">
        <v>5205</v>
      </c>
      <c r="D55" s="139"/>
      <c r="E55" s="138">
        <v>5283</v>
      </c>
      <c r="F55" s="139"/>
      <c r="G55" s="138">
        <v>5345</v>
      </c>
      <c r="H55" s="139"/>
      <c r="I55" s="138">
        <v>5433</v>
      </c>
      <c r="J55" s="139"/>
    </row>
    <row r="56" spans="1:10" x14ac:dyDescent="0.3">
      <c r="A56" s="120" t="s">
        <v>49</v>
      </c>
      <c r="B56" s="121"/>
      <c r="C56" s="136">
        <v>22348</v>
      </c>
      <c r="D56" s="137"/>
      <c r="E56" s="136">
        <v>22366</v>
      </c>
      <c r="F56" s="137"/>
      <c r="G56" s="136">
        <v>22379</v>
      </c>
      <c r="H56" s="137"/>
      <c r="I56" s="136">
        <v>23107</v>
      </c>
      <c r="J56" s="137"/>
    </row>
    <row r="57" spans="1:10" x14ac:dyDescent="0.3">
      <c r="A57" s="120" t="s">
        <v>35</v>
      </c>
      <c r="B57" s="121"/>
      <c r="C57" s="138">
        <v>3820</v>
      </c>
      <c r="D57" s="139"/>
      <c r="E57" s="138">
        <v>3854</v>
      </c>
      <c r="F57" s="139"/>
      <c r="G57" s="138">
        <v>3870</v>
      </c>
      <c r="H57" s="139"/>
      <c r="I57" s="138">
        <v>3878</v>
      </c>
      <c r="J57" s="139"/>
    </row>
    <row r="58" spans="1:10" x14ac:dyDescent="0.3">
      <c r="A58" s="120" t="s">
        <v>36</v>
      </c>
      <c r="B58" s="121"/>
      <c r="C58" s="122">
        <f>SUM(C50:D57)</f>
        <v>213296</v>
      </c>
      <c r="D58" s="123"/>
      <c r="E58" s="122">
        <f>SUM(E50:F57)</f>
        <v>213484</v>
      </c>
      <c r="F58" s="123"/>
      <c r="G58" s="122">
        <f>SUM(G50:H57)</f>
        <v>213456</v>
      </c>
      <c r="H58" s="123"/>
      <c r="I58" s="122">
        <f>SUM(I50:J57)</f>
        <v>214066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ht="15" customHeight="1" x14ac:dyDescent="0.3">
      <c r="A60" s="130" t="s">
        <v>761</v>
      </c>
      <c r="B60" s="131"/>
      <c r="C60" s="130" t="s">
        <v>752</v>
      </c>
      <c r="D60" s="131"/>
      <c r="E60" s="130" t="s">
        <v>769</v>
      </c>
      <c r="F60" s="131"/>
      <c r="G60" s="130" t="s">
        <v>773</v>
      </c>
      <c r="H60" s="131"/>
      <c r="I60" s="130" t="s">
        <v>777</v>
      </c>
      <c r="J60" s="131"/>
    </row>
    <row r="61" spans="1:10" x14ac:dyDescent="0.3">
      <c r="A61" s="132">
        <v>140382</v>
      </c>
      <c r="B61" s="133"/>
      <c r="C61" s="132">
        <v>140333</v>
      </c>
      <c r="D61" s="133"/>
      <c r="E61" s="132">
        <v>140492</v>
      </c>
      <c r="F61" s="133"/>
      <c r="G61" s="132">
        <v>140586</v>
      </c>
      <c r="H61" s="133"/>
      <c r="I61" s="132">
        <v>140669</v>
      </c>
      <c r="J61" s="133"/>
    </row>
    <row r="62" spans="1:10" x14ac:dyDescent="0.3">
      <c r="A62" s="134"/>
      <c r="B62" s="135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702</v>
      </c>
      <c r="D66" s="115"/>
      <c r="E66" s="114" t="s">
        <v>718</v>
      </c>
      <c r="F66" s="115"/>
      <c r="G66" s="114" t="s">
        <v>760</v>
      </c>
      <c r="H66" s="115"/>
      <c r="I66" s="114" t="s">
        <v>776</v>
      </c>
      <c r="J66" s="115"/>
    </row>
    <row r="67" spans="1:10" ht="15" customHeight="1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32193</v>
      </c>
      <c r="D69" s="104"/>
      <c r="E69" s="103">
        <v>32418</v>
      </c>
      <c r="F69" s="104"/>
      <c r="G69" s="103">
        <v>33056</v>
      </c>
      <c r="H69" s="104"/>
      <c r="I69" s="103">
        <v>32925</v>
      </c>
      <c r="J69" s="104"/>
    </row>
    <row r="70" spans="1:10" x14ac:dyDescent="0.3">
      <c r="A70" s="101" t="s">
        <v>13</v>
      </c>
      <c r="B70" s="102"/>
      <c r="C70" s="103">
        <v>7323</v>
      </c>
      <c r="D70" s="104"/>
      <c r="E70" s="103">
        <v>7352</v>
      </c>
      <c r="F70" s="104"/>
      <c r="G70" s="103">
        <v>7380</v>
      </c>
      <c r="H70" s="104"/>
      <c r="I70" s="103">
        <v>7455</v>
      </c>
      <c r="J70" s="104"/>
    </row>
    <row r="71" spans="1:10" x14ac:dyDescent="0.3">
      <c r="A71" s="107" t="s">
        <v>14</v>
      </c>
      <c r="B71" s="108"/>
      <c r="C71" s="103">
        <v>6486</v>
      </c>
      <c r="D71" s="104"/>
      <c r="E71" s="103">
        <v>6558</v>
      </c>
      <c r="F71" s="104"/>
      <c r="G71" s="103">
        <v>6610</v>
      </c>
      <c r="H71" s="104"/>
      <c r="I71" s="103">
        <v>6681</v>
      </c>
      <c r="J71" s="104"/>
    </row>
    <row r="72" spans="1:10" x14ac:dyDescent="0.3">
      <c r="A72" s="107" t="s">
        <v>41</v>
      </c>
      <c r="B72" s="108"/>
      <c r="C72" s="103">
        <v>1587</v>
      </c>
      <c r="D72" s="104"/>
      <c r="E72" s="103">
        <v>1621</v>
      </c>
      <c r="F72" s="104"/>
      <c r="G72" s="103">
        <v>1653</v>
      </c>
      <c r="H72" s="104"/>
      <c r="I72" s="103">
        <v>1688</v>
      </c>
      <c r="J72" s="104"/>
    </row>
    <row r="73" spans="1:10" x14ac:dyDescent="0.3">
      <c r="A73" s="101" t="s">
        <v>15</v>
      </c>
      <c r="B73" s="102"/>
      <c r="C73" s="103">
        <v>5035</v>
      </c>
      <c r="D73" s="104"/>
      <c r="E73" s="103">
        <v>5117</v>
      </c>
      <c r="F73" s="104"/>
      <c r="G73" s="103">
        <v>5163</v>
      </c>
      <c r="H73" s="104"/>
      <c r="I73" s="103">
        <v>5228</v>
      </c>
      <c r="J73" s="104"/>
    </row>
    <row r="74" spans="1:10" x14ac:dyDescent="0.3">
      <c r="A74" s="107" t="s">
        <v>16</v>
      </c>
      <c r="B74" s="108"/>
      <c r="C74" s="103">
        <v>5051</v>
      </c>
      <c r="D74" s="104"/>
      <c r="E74" s="103">
        <v>5068</v>
      </c>
      <c r="F74" s="104"/>
      <c r="G74" s="103">
        <v>5103</v>
      </c>
      <c r="H74" s="104"/>
      <c r="I74" s="103">
        <v>5115</v>
      </c>
      <c r="J74" s="104"/>
    </row>
    <row r="75" spans="1:10" x14ac:dyDescent="0.3">
      <c r="A75" s="101" t="s">
        <v>17</v>
      </c>
      <c r="B75" s="102"/>
      <c r="C75" s="103">
        <v>8141</v>
      </c>
      <c r="D75" s="104"/>
      <c r="E75" s="103">
        <v>8163</v>
      </c>
      <c r="F75" s="104"/>
      <c r="G75" s="103">
        <v>8230</v>
      </c>
      <c r="H75" s="104"/>
      <c r="I75" s="103">
        <v>8315</v>
      </c>
      <c r="J75" s="104"/>
    </row>
    <row r="76" spans="1:10" x14ac:dyDescent="0.3">
      <c r="A76" s="107" t="s">
        <v>18</v>
      </c>
      <c r="B76" s="108"/>
      <c r="C76" s="103">
        <v>1666</v>
      </c>
      <c r="D76" s="104"/>
      <c r="E76" s="103">
        <v>1679</v>
      </c>
      <c r="F76" s="104"/>
      <c r="G76" s="103">
        <v>1683</v>
      </c>
      <c r="H76" s="104"/>
      <c r="I76" s="103">
        <v>1686</v>
      </c>
      <c r="J76" s="104"/>
    </row>
    <row r="77" spans="1:10" x14ac:dyDescent="0.3">
      <c r="A77" s="101" t="s">
        <v>19</v>
      </c>
      <c r="B77" s="102"/>
      <c r="C77" s="103">
        <v>6245</v>
      </c>
      <c r="D77" s="104"/>
      <c r="E77" s="103">
        <v>6309</v>
      </c>
      <c r="F77" s="104"/>
      <c r="G77" s="103">
        <v>6449</v>
      </c>
      <c r="H77" s="104"/>
      <c r="I77" s="103">
        <v>6545</v>
      </c>
      <c r="J77" s="104"/>
    </row>
    <row r="78" spans="1:10" x14ac:dyDescent="0.3">
      <c r="A78" s="105" t="s">
        <v>42</v>
      </c>
      <c r="B78" s="106"/>
      <c r="C78" s="103">
        <f>SUM(C69:C77)</f>
        <v>73727</v>
      </c>
      <c r="D78" s="104"/>
      <c r="E78" s="103">
        <f>SUM(E69:E77)</f>
        <v>74285</v>
      </c>
      <c r="F78" s="104"/>
      <c r="G78" s="103">
        <f>SUM(G69:G77)</f>
        <v>75327</v>
      </c>
      <c r="H78" s="104"/>
      <c r="I78" s="103">
        <f>SUM(I69:I77)</f>
        <v>75638</v>
      </c>
      <c r="J78" s="104"/>
    </row>
  </sheetData>
  <mergeCells count="311">
    <mergeCell ref="A78:B78"/>
    <mergeCell ref="C78:D78"/>
    <mergeCell ref="E78:F78"/>
    <mergeCell ref="G78:H78"/>
    <mergeCell ref="I78:J78"/>
    <mergeCell ref="A60:B60"/>
    <mergeCell ref="A61:B62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58:B58"/>
    <mergeCell ref="C58:D58"/>
    <mergeCell ref="E58:F58"/>
    <mergeCell ref="G58:H58"/>
    <mergeCell ref="I58:J58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78"/>
  <sheetViews>
    <sheetView workbookViewId="0">
      <selection sqref="A1:XFD1048576"/>
    </sheetView>
  </sheetViews>
  <sheetFormatPr defaultRowHeight="14.4" x14ac:dyDescent="0.3"/>
  <sheetData>
    <row r="1" spans="1:18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782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5">
        <v>836</v>
      </c>
      <c r="D5" s="215"/>
      <c r="E5" s="215">
        <v>10</v>
      </c>
      <c r="F5" s="215"/>
      <c r="G5" s="215">
        <v>356</v>
      </c>
      <c r="H5" s="215"/>
      <c r="I5" s="213">
        <v>1062</v>
      </c>
      <c r="J5" s="214"/>
      <c r="K5" s="216">
        <v>34</v>
      </c>
      <c r="L5" s="217"/>
      <c r="M5" s="56">
        <v>2260</v>
      </c>
      <c r="N5" s="53">
        <v>650</v>
      </c>
      <c r="O5" s="88">
        <v>162</v>
      </c>
      <c r="P5" s="53">
        <v>8787</v>
      </c>
      <c r="Q5" s="89">
        <v>16296</v>
      </c>
    </row>
    <row r="6" spans="1:18" x14ac:dyDescent="0.3">
      <c r="A6" s="211" t="s">
        <v>11</v>
      </c>
      <c r="B6" s="212"/>
      <c r="C6" s="213">
        <v>1039</v>
      </c>
      <c r="D6" s="214"/>
      <c r="E6" s="213">
        <v>91</v>
      </c>
      <c r="F6" s="214"/>
      <c r="G6" s="213">
        <v>3</v>
      </c>
      <c r="H6" s="214"/>
      <c r="I6" s="213">
        <v>6</v>
      </c>
      <c r="J6" s="214"/>
      <c r="K6" s="213">
        <v>1</v>
      </c>
      <c r="L6" s="214"/>
      <c r="M6" s="53">
        <v>46</v>
      </c>
      <c r="N6" s="53">
        <v>1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210">
        <v>460</v>
      </c>
      <c r="D7" s="210"/>
      <c r="E7" s="210">
        <v>84</v>
      </c>
      <c r="F7" s="210"/>
      <c r="G7" s="210">
        <v>240</v>
      </c>
      <c r="H7" s="210"/>
      <c r="I7" s="149">
        <v>581</v>
      </c>
      <c r="J7" s="150"/>
      <c r="K7" s="149">
        <v>282</v>
      </c>
      <c r="L7" s="150"/>
      <c r="M7" s="52">
        <v>1024</v>
      </c>
      <c r="N7" s="52">
        <v>26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322</v>
      </c>
      <c r="D8" s="210"/>
      <c r="E8" s="210">
        <v>0</v>
      </c>
      <c r="F8" s="210"/>
      <c r="G8" s="210">
        <v>4</v>
      </c>
      <c r="H8" s="210"/>
      <c r="I8" s="149">
        <v>248</v>
      </c>
      <c r="J8" s="150"/>
      <c r="K8" s="149">
        <v>0</v>
      </c>
      <c r="L8" s="150"/>
      <c r="M8" s="52">
        <v>645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201</v>
      </c>
      <c r="D9" s="210"/>
      <c r="E9" s="210">
        <v>14</v>
      </c>
      <c r="F9" s="210"/>
      <c r="G9" s="210">
        <v>11</v>
      </c>
      <c r="H9" s="210"/>
      <c r="I9" s="149">
        <v>482</v>
      </c>
      <c r="J9" s="150"/>
      <c r="K9" s="149">
        <v>36</v>
      </c>
      <c r="L9" s="150"/>
      <c r="M9" s="52">
        <v>765</v>
      </c>
      <c r="N9" s="52">
        <v>19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400</v>
      </c>
      <c r="D10" s="210"/>
      <c r="E10" s="210">
        <v>16</v>
      </c>
      <c r="F10" s="210"/>
      <c r="G10" s="210">
        <v>10</v>
      </c>
      <c r="H10" s="210"/>
      <c r="I10" s="149">
        <v>535</v>
      </c>
      <c r="J10" s="150"/>
      <c r="K10" s="149">
        <v>140</v>
      </c>
      <c r="L10" s="150"/>
      <c r="M10" s="52">
        <v>870</v>
      </c>
      <c r="N10" s="52">
        <v>505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252</v>
      </c>
      <c r="D11" s="209"/>
      <c r="E11" s="210">
        <v>20</v>
      </c>
      <c r="F11" s="210"/>
      <c r="G11" s="210">
        <v>8</v>
      </c>
      <c r="H11" s="210"/>
      <c r="I11" s="149">
        <v>300</v>
      </c>
      <c r="J11" s="150"/>
      <c r="K11" s="149">
        <v>110</v>
      </c>
      <c r="L11" s="150"/>
      <c r="M11" s="52">
        <v>347</v>
      </c>
      <c r="N11" s="52">
        <v>544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79</v>
      </c>
      <c r="D12" s="209"/>
      <c r="E12" s="210">
        <v>4</v>
      </c>
      <c r="F12" s="210"/>
      <c r="G12" s="210">
        <v>3</v>
      </c>
      <c r="H12" s="210"/>
      <c r="I12" s="149">
        <v>175</v>
      </c>
      <c r="J12" s="150"/>
      <c r="K12" s="149">
        <v>21</v>
      </c>
      <c r="L12" s="150"/>
      <c r="M12" s="52">
        <v>101</v>
      </c>
      <c r="N12" s="52">
        <v>58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235</v>
      </c>
      <c r="D13" s="150"/>
      <c r="E13" s="149">
        <v>7</v>
      </c>
      <c r="F13" s="150"/>
      <c r="G13" s="149">
        <v>2</v>
      </c>
      <c r="H13" s="150"/>
      <c r="I13" s="149">
        <v>248</v>
      </c>
      <c r="J13" s="150"/>
      <c r="K13" s="149">
        <v>46</v>
      </c>
      <c r="L13" s="150"/>
      <c r="M13" s="52">
        <v>253</v>
      </c>
      <c r="N13" s="52">
        <v>30</v>
      </c>
      <c r="O13" s="52">
        <v>0</v>
      </c>
      <c r="P13" s="52">
        <v>0</v>
      </c>
      <c r="Q13" s="52">
        <v>0</v>
      </c>
      <c r="R13" s="92"/>
    </row>
    <row r="14" spans="1:18" x14ac:dyDescent="0.3">
      <c r="A14" s="207" t="s">
        <v>19</v>
      </c>
      <c r="B14" s="208"/>
      <c r="C14" s="205">
        <v>312</v>
      </c>
      <c r="D14" s="206"/>
      <c r="E14" s="205">
        <v>6</v>
      </c>
      <c r="F14" s="206"/>
      <c r="G14" s="205">
        <v>16</v>
      </c>
      <c r="H14" s="206"/>
      <c r="I14" s="149">
        <v>516</v>
      </c>
      <c r="J14" s="150"/>
      <c r="K14" s="205">
        <v>17</v>
      </c>
      <c r="L14" s="206"/>
      <c r="M14" s="59">
        <v>746</v>
      </c>
      <c r="N14" s="59">
        <v>21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1419</v>
      </c>
      <c r="P15" s="59">
        <v>3745</v>
      </c>
      <c r="Q15" s="91">
        <v>3718</v>
      </c>
    </row>
    <row r="16" spans="1:18" ht="15" thickBot="1" x14ac:dyDescent="0.35">
      <c r="A16" s="199" t="s">
        <v>20</v>
      </c>
      <c r="B16" s="200"/>
      <c r="C16" s="201">
        <f>SUM(C5:D15)</f>
        <v>4136</v>
      </c>
      <c r="D16" s="202"/>
      <c r="E16" s="201">
        <f>SUM(E5:F15)</f>
        <v>252</v>
      </c>
      <c r="F16" s="202"/>
      <c r="G16" s="201">
        <f>SUM(G5:H15)</f>
        <v>653</v>
      </c>
      <c r="H16" s="202"/>
      <c r="I16" s="201">
        <f>SUM(I5:J15)</f>
        <v>4153</v>
      </c>
      <c r="J16" s="202"/>
      <c r="K16" s="201">
        <f>SUM(K5:L15)</f>
        <v>687</v>
      </c>
      <c r="L16" s="202"/>
      <c r="M16" s="4">
        <f>SUM(M5:M15)</f>
        <v>7057</v>
      </c>
      <c r="N16" s="4">
        <f>SUM(N5:N15)</f>
        <v>1869</v>
      </c>
      <c r="O16" s="4">
        <f>SUM(O5:O15)</f>
        <v>1663</v>
      </c>
      <c r="P16" s="4">
        <f>SUM(P5:P15)</f>
        <v>12567</v>
      </c>
      <c r="Q16" s="5">
        <f>SUM(Q5:Q15)</f>
        <v>20022</v>
      </c>
    </row>
    <row r="17" spans="1:17" ht="15" thickBot="1" x14ac:dyDescent="0.35">
      <c r="A17" s="190" t="s">
        <v>21</v>
      </c>
      <c r="B17" s="191"/>
      <c r="C17" s="192">
        <v>836</v>
      </c>
      <c r="D17" s="192"/>
      <c r="E17" s="193">
        <v>10</v>
      </c>
      <c r="F17" s="194"/>
      <c r="G17" s="195">
        <v>356</v>
      </c>
      <c r="H17" s="196"/>
      <c r="I17" s="195">
        <v>822</v>
      </c>
      <c r="J17" s="196"/>
      <c r="K17" s="197">
        <v>34</v>
      </c>
      <c r="L17" s="198"/>
      <c r="M17" s="36">
        <v>1910</v>
      </c>
      <c r="N17" s="30">
        <v>650</v>
      </c>
      <c r="O17" s="86">
        <v>162</v>
      </c>
      <c r="P17" s="37">
        <v>8787</v>
      </c>
      <c r="Q17" s="87">
        <v>16296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782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102</v>
      </c>
      <c r="D25" s="162"/>
      <c r="E25" s="185" t="s">
        <v>644</v>
      </c>
      <c r="F25" s="186"/>
      <c r="G25" s="161">
        <v>0</v>
      </c>
      <c r="H25" s="162"/>
      <c r="I25" s="161">
        <v>35</v>
      </c>
      <c r="J25" s="162"/>
      <c r="K25" s="70">
        <v>0</v>
      </c>
      <c r="L25" s="78">
        <v>26</v>
      </c>
      <c r="M25" s="78">
        <v>9</v>
      </c>
    </row>
    <row r="26" spans="1:17" x14ac:dyDescent="0.3">
      <c r="A26" s="101" t="s">
        <v>13</v>
      </c>
      <c r="B26" s="102"/>
      <c r="C26" s="149">
        <v>10</v>
      </c>
      <c r="D26" s="150"/>
      <c r="E26" s="165" t="s">
        <v>25</v>
      </c>
      <c r="F26" s="166"/>
      <c r="G26" s="149">
        <v>0</v>
      </c>
      <c r="H26" s="150"/>
      <c r="I26" s="149">
        <v>145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174</v>
      </c>
      <c r="D27" s="150"/>
      <c r="E27" s="165" t="s">
        <v>112</v>
      </c>
      <c r="F27" s="166"/>
      <c r="G27" s="149">
        <v>30</v>
      </c>
      <c r="H27" s="150"/>
      <c r="I27" s="149">
        <v>68</v>
      </c>
      <c r="J27" s="150"/>
      <c r="K27" s="52">
        <v>4</v>
      </c>
      <c r="L27" s="79">
        <v>22</v>
      </c>
      <c r="M27" s="79">
        <v>3</v>
      </c>
    </row>
    <row r="28" spans="1:17" x14ac:dyDescent="0.3">
      <c r="A28" s="101" t="s">
        <v>15</v>
      </c>
      <c r="B28" s="102"/>
      <c r="C28" s="165" t="s">
        <v>775</v>
      </c>
      <c r="D28" s="166"/>
      <c r="E28" s="165" t="s">
        <v>25</v>
      </c>
      <c r="F28" s="166"/>
      <c r="G28" s="149">
        <v>0</v>
      </c>
      <c r="H28" s="150"/>
      <c r="I28" s="149">
        <v>25</v>
      </c>
      <c r="J28" s="150"/>
      <c r="K28" s="52">
        <v>2</v>
      </c>
      <c r="L28" s="81">
        <v>20</v>
      </c>
      <c r="M28" s="79">
        <v>1</v>
      </c>
    </row>
    <row r="29" spans="1:17" x14ac:dyDescent="0.3">
      <c r="A29" s="101" t="s">
        <v>16</v>
      </c>
      <c r="B29" s="102"/>
      <c r="C29" s="183" t="s">
        <v>772</v>
      </c>
      <c r="D29" s="184"/>
      <c r="E29" s="165" t="s">
        <v>25</v>
      </c>
      <c r="F29" s="166"/>
      <c r="G29" s="149">
        <v>0</v>
      </c>
      <c r="H29" s="150"/>
      <c r="I29" s="149">
        <v>17</v>
      </c>
      <c r="J29" s="150"/>
      <c r="K29" s="52">
        <v>4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18</v>
      </c>
      <c r="D30" s="153"/>
      <c r="E30" s="165" t="s">
        <v>191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6</v>
      </c>
      <c r="M30" s="79">
        <v>0</v>
      </c>
    </row>
    <row r="31" spans="1:17" x14ac:dyDescent="0.3">
      <c r="A31" s="101" t="s">
        <v>18</v>
      </c>
      <c r="B31" s="102"/>
      <c r="C31" s="183" t="s">
        <v>783</v>
      </c>
      <c r="D31" s="184"/>
      <c r="E31" s="165" t="s">
        <v>25</v>
      </c>
      <c r="F31" s="166"/>
      <c r="G31" s="149">
        <v>0</v>
      </c>
      <c r="H31" s="150"/>
      <c r="I31" s="149">
        <v>8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0</v>
      </c>
      <c r="D32" s="150"/>
      <c r="E32" s="165" t="s">
        <v>25</v>
      </c>
      <c r="F32" s="166"/>
      <c r="G32" s="149">
        <v>0</v>
      </c>
      <c r="H32" s="150"/>
      <c r="I32" s="149">
        <v>0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782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456</v>
      </c>
      <c r="D38" s="162"/>
      <c r="E38" s="163" t="s">
        <v>778</v>
      </c>
      <c r="F38" s="164"/>
      <c r="G38" s="161">
        <v>0</v>
      </c>
      <c r="H38" s="162"/>
      <c r="I38" s="161" t="s">
        <v>517</v>
      </c>
      <c r="J38" s="162"/>
      <c r="K38" s="70">
        <v>0</v>
      </c>
      <c r="L38" s="78">
        <v>45</v>
      </c>
      <c r="M38" s="78">
        <v>11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774</v>
      </c>
      <c r="F39" s="155"/>
      <c r="G39" s="149" t="s">
        <v>786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631</v>
      </c>
      <c r="D40" s="150"/>
      <c r="E40" s="154" t="s">
        <v>621</v>
      </c>
      <c r="F40" s="155"/>
      <c r="G40" s="149" t="s">
        <v>784</v>
      </c>
      <c r="H40" s="150"/>
      <c r="I40" s="149" t="s">
        <v>499</v>
      </c>
      <c r="J40" s="150"/>
      <c r="K40" s="52" t="s">
        <v>437</v>
      </c>
      <c r="L40" s="79">
        <v>16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611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94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558</v>
      </c>
      <c r="D44" s="153"/>
      <c r="E44" s="149" t="s">
        <v>785</v>
      </c>
      <c r="F44" s="150"/>
      <c r="G44" s="149">
        <v>0</v>
      </c>
      <c r="H44" s="150"/>
      <c r="I44" s="149" t="s">
        <v>748</v>
      </c>
      <c r="J44" s="150"/>
      <c r="K44" s="52">
        <v>0</v>
      </c>
      <c r="L44" s="79">
        <v>2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769</v>
      </c>
      <c r="D49" s="146"/>
      <c r="E49" s="145" t="s">
        <v>773</v>
      </c>
      <c r="F49" s="146"/>
      <c r="G49" s="145" t="s">
        <v>777</v>
      </c>
      <c r="H49" s="146"/>
      <c r="I49" s="145" t="s">
        <v>782</v>
      </c>
      <c r="J49" s="146"/>
    </row>
    <row r="50" spans="1:10" x14ac:dyDescent="0.3">
      <c r="A50" s="120" t="s">
        <v>30</v>
      </c>
      <c r="B50" s="121"/>
      <c r="C50" s="136">
        <v>10359</v>
      </c>
      <c r="D50" s="137"/>
      <c r="E50" s="136">
        <v>10316</v>
      </c>
      <c r="F50" s="137"/>
      <c r="G50" s="136">
        <v>10286</v>
      </c>
      <c r="H50" s="137"/>
      <c r="I50" s="136">
        <v>10240</v>
      </c>
      <c r="J50" s="137"/>
    </row>
    <row r="51" spans="1:10" x14ac:dyDescent="0.3">
      <c r="A51" s="120" t="s">
        <v>31</v>
      </c>
      <c r="B51" s="121"/>
      <c r="C51" s="136">
        <v>11260</v>
      </c>
      <c r="D51" s="137"/>
      <c r="E51" s="136">
        <v>11269</v>
      </c>
      <c r="F51" s="137"/>
      <c r="G51" s="136">
        <v>11271</v>
      </c>
      <c r="H51" s="137"/>
      <c r="I51" s="136">
        <v>11267</v>
      </c>
      <c r="J51" s="137"/>
    </row>
    <row r="52" spans="1:10" x14ac:dyDescent="0.3">
      <c r="A52" s="120" t="s">
        <v>32</v>
      </c>
      <c r="B52" s="121"/>
      <c r="C52" s="136">
        <v>111024</v>
      </c>
      <c r="D52" s="137"/>
      <c r="E52" s="136">
        <v>110931</v>
      </c>
      <c r="F52" s="137"/>
      <c r="G52" s="136">
        <v>110813</v>
      </c>
      <c r="H52" s="137"/>
      <c r="I52" s="136">
        <v>110717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49102</v>
      </c>
      <c r="D54" s="137"/>
      <c r="E54" s="136">
        <v>49110</v>
      </c>
      <c r="F54" s="137"/>
      <c r="G54" s="136">
        <v>49042</v>
      </c>
      <c r="H54" s="137"/>
      <c r="I54" s="136">
        <v>48996</v>
      </c>
      <c r="J54" s="137"/>
    </row>
    <row r="55" spans="1:10" x14ac:dyDescent="0.3">
      <c r="A55" s="120" t="s">
        <v>53</v>
      </c>
      <c r="B55" s="121"/>
      <c r="C55" s="138">
        <v>5283</v>
      </c>
      <c r="D55" s="139"/>
      <c r="E55" s="138">
        <v>5345</v>
      </c>
      <c r="F55" s="139"/>
      <c r="G55" s="138">
        <v>5433</v>
      </c>
      <c r="H55" s="139"/>
      <c r="I55" s="138">
        <v>5495</v>
      </c>
      <c r="J55" s="139"/>
    </row>
    <row r="56" spans="1:10" x14ac:dyDescent="0.3">
      <c r="A56" s="120" t="s">
        <v>49</v>
      </c>
      <c r="B56" s="121"/>
      <c r="C56" s="136">
        <v>22366</v>
      </c>
      <c r="D56" s="137"/>
      <c r="E56" s="136">
        <v>22379</v>
      </c>
      <c r="F56" s="137"/>
      <c r="G56" s="136">
        <v>23107</v>
      </c>
      <c r="H56" s="137"/>
      <c r="I56" s="136">
        <v>23261</v>
      </c>
      <c r="J56" s="137"/>
    </row>
    <row r="57" spans="1:10" x14ac:dyDescent="0.3">
      <c r="A57" s="120" t="s">
        <v>35</v>
      </c>
      <c r="B57" s="121"/>
      <c r="C57" s="138">
        <v>3854</v>
      </c>
      <c r="D57" s="139"/>
      <c r="E57" s="138">
        <v>3870</v>
      </c>
      <c r="F57" s="139"/>
      <c r="G57" s="138">
        <v>3878</v>
      </c>
      <c r="H57" s="139"/>
      <c r="I57" s="138">
        <v>3887</v>
      </c>
      <c r="J57" s="139"/>
    </row>
    <row r="58" spans="1:10" x14ac:dyDescent="0.3">
      <c r="A58" s="120" t="s">
        <v>36</v>
      </c>
      <c r="B58" s="121"/>
      <c r="C58" s="122">
        <f>SUM(C50:D57)</f>
        <v>213484</v>
      </c>
      <c r="D58" s="123"/>
      <c r="E58" s="122">
        <f>SUM(E50:F57)</f>
        <v>213456</v>
      </c>
      <c r="F58" s="123"/>
      <c r="G58" s="122">
        <f>SUM(G50:H57)</f>
        <v>214066</v>
      </c>
      <c r="H58" s="123"/>
      <c r="I58" s="122">
        <f>SUM(I50:J57)</f>
        <v>214099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769</v>
      </c>
      <c r="D60" s="131"/>
      <c r="E60" s="130" t="s">
        <v>773</v>
      </c>
      <c r="F60" s="131"/>
      <c r="G60" s="130" t="s">
        <v>777</v>
      </c>
      <c r="H60" s="131"/>
      <c r="I60" s="130" t="s">
        <v>782</v>
      </c>
      <c r="J60" s="131"/>
    </row>
    <row r="61" spans="1:10" x14ac:dyDescent="0.3">
      <c r="A61" s="126"/>
      <c r="B61" s="127"/>
      <c r="C61" s="132">
        <v>140492</v>
      </c>
      <c r="D61" s="133"/>
      <c r="E61" s="132">
        <v>140586</v>
      </c>
      <c r="F61" s="133"/>
      <c r="G61" s="132">
        <v>140669</v>
      </c>
      <c r="H61" s="133"/>
      <c r="I61" s="132">
        <v>140700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702</v>
      </c>
      <c r="D66" s="115"/>
      <c r="E66" s="114" t="s">
        <v>718</v>
      </c>
      <c r="F66" s="115"/>
      <c r="G66" s="114" t="s">
        <v>760</v>
      </c>
      <c r="H66" s="115"/>
      <c r="I66" s="114" t="s">
        <v>776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32193</v>
      </c>
      <c r="D69" s="104"/>
      <c r="E69" s="103">
        <v>32418</v>
      </c>
      <c r="F69" s="104"/>
      <c r="G69" s="103">
        <v>33056</v>
      </c>
      <c r="H69" s="104"/>
      <c r="I69" s="103">
        <v>32925</v>
      </c>
      <c r="J69" s="104"/>
    </row>
    <row r="70" spans="1:10" x14ac:dyDescent="0.3">
      <c r="A70" s="101" t="s">
        <v>13</v>
      </c>
      <c r="B70" s="102"/>
      <c r="C70" s="103">
        <v>7323</v>
      </c>
      <c r="D70" s="104"/>
      <c r="E70" s="103">
        <v>7352</v>
      </c>
      <c r="F70" s="104"/>
      <c r="G70" s="103">
        <v>7380</v>
      </c>
      <c r="H70" s="104"/>
      <c r="I70" s="103">
        <v>7455</v>
      </c>
      <c r="J70" s="104"/>
    </row>
    <row r="71" spans="1:10" x14ac:dyDescent="0.3">
      <c r="A71" s="107" t="s">
        <v>14</v>
      </c>
      <c r="B71" s="108"/>
      <c r="C71" s="103">
        <v>6486</v>
      </c>
      <c r="D71" s="104"/>
      <c r="E71" s="103">
        <v>6558</v>
      </c>
      <c r="F71" s="104"/>
      <c r="G71" s="103">
        <v>6610</v>
      </c>
      <c r="H71" s="104"/>
      <c r="I71" s="103">
        <v>6681</v>
      </c>
      <c r="J71" s="104"/>
    </row>
    <row r="72" spans="1:10" x14ac:dyDescent="0.3">
      <c r="A72" s="107" t="s">
        <v>41</v>
      </c>
      <c r="B72" s="108"/>
      <c r="C72" s="103">
        <v>1587</v>
      </c>
      <c r="D72" s="104"/>
      <c r="E72" s="103">
        <v>1621</v>
      </c>
      <c r="F72" s="104"/>
      <c r="G72" s="103">
        <v>1653</v>
      </c>
      <c r="H72" s="104"/>
      <c r="I72" s="103">
        <v>1688</v>
      </c>
      <c r="J72" s="104"/>
    </row>
    <row r="73" spans="1:10" x14ac:dyDescent="0.3">
      <c r="A73" s="101" t="s">
        <v>15</v>
      </c>
      <c r="B73" s="102"/>
      <c r="C73" s="103">
        <v>5035</v>
      </c>
      <c r="D73" s="104"/>
      <c r="E73" s="103">
        <v>5117</v>
      </c>
      <c r="F73" s="104"/>
      <c r="G73" s="103">
        <v>5163</v>
      </c>
      <c r="H73" s="104"/>
      <c r="I73" s="103">
        <v>5228</v>
      </c>
      <c r="J73" s="104"/>
    </row>
    <row r="74" spans="1:10" x14ac:dyDescent="0.3">
      <c r="A74" s="107" t="s">
        <v>16</v>
      </c>
      <c r="B74" s="108"/>
      <c r="C74" s="103">
        <v>5051</v>
      </c>
      <c r="D74" s="104"/>
      <c r="E74" s="103">
        <v>5068</v>
      </c>
      <c r="F74" s="104"/>
      <c r="G74" s="103">
        <v>5103</v>
      </c>
      <c r="H74" s="104"/>
      <c r="I74" s="103">
        <v>5115</v>
      </c>
      <c r="J74" s="104"/>
    </row>
    <row r="75" spans="1:10" x14ac:dyDescent="0.3">
      <c r="A75" s="101" t="s">
        <v>17</v>
      </c>
      <c r="B75" s="102"/>
      <c r="C75" s="103">
        <v>8141</v>
      </c>
      <c r="D75" s="104"/>
      <c r="E75" s="103">
        <v>8163</v>
      </c>
      <c r="F75" s="104"/>
      <c r="G75" s="103">
        <v>8230</v>
      </c>
      <c r="H75" s="104"/>
      <c r="I75" s="103">
        <v>8315</v>
      </c>
      <c r="J75" s="104"/>
    </row>
    <row r="76" spans="1:10" x14ac:dyDescent="0.3">
      <c r="A76" s="107" t="s">
        <v>18</v>
      </c>
      <c r="B76" s="108"/>
      <c r="C76" s="103">
        <v>1666</v>
      </c>
      <c r="D76" s="104"/>
      <c r="E76" s="103">
        <v>1679</v>
      </c>
      <c r="F76" s="104"/>
      <c r="G76" s="103">
        <v>1683</v>
      </c>
      <c r="H76" s="104"/>
      <c r="I76" s="103">
        <v>1686</v>
      </c>
      <c r="J76" s="104"/>
    </row>
    <row r="77" spans="1:10" x14ac:dyDescent="0.3">
      <c r="A77" s="101" t="s">
        <v>19</v>
      </c>
      <c r="B77" s="102"/>
      <c r="C77" s="103">
        <v>6245</v>
      </c>
      <c r="D77" s="104"/>
      <c r="E77" s="103">
        <v>6309</v>
      </c>
      <c r="F77" s="104"/>
      <c r="G77" s="103">
        <v>6449</v>
      </c>
      <c r="H77" s="104"/>
      <c r="I77" s="103">
        <v>6545</v>
      </c>
      <c r="J77" s="104"/>
    </row>
    <row r="78" spans="1:10" x14ac:dyDescent="0.3">
      <c r="A78" s="105" t="s">
        <v>42</v>
      </c>
      <c r="B78" s="106"/>
      <c r="C78" s="103">
        <f>SUM(C69:C77)</f>
        <v>73727</v>
      </c>
      <c r="D78" s="104"/>
      <c r="E78" s="103">
        <f>SUM(E69:E77)</f>
        <v>74285</v>
      </c>
      <c r="F78" s="104"/>
      <c r="G78" s="103">
        <f>SUM(G69:G77)</f>
        <v>75327</v>
      </c>
      <c r="H78" s="104"/>
      <c r="I78" s="103">
        <f>SUM(I69:I77)</f>
        <v>75638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C61:D62"/>
    <mergeCell ref="E61:F62"/>
    <mergeCell ref="G61:H62"/>
    <mergeCell ref="I61:J62"/>
    <mergeCell ref="A65:J65"/>
    <mergeCell ref="A60:B62"/>
    <mergeCell ref="A58:B58"/>
    <mergeCell ref="C58:D58"/>
    <mergeCell ref="E58:F58"/>
    <mergeCell ref="G58:H58"/>
    <mergeCell ref="I58:J58"/>
    <mergeCell ref="C60:D60"/>
    <mergeCell ref="E60:F60"/>
    <mergeCell ref="G60:H60"/>
    <mergeCell ref="I60:J60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</mergeCells>
  <pageMargins left="0.7" right="0.7" top="0.75" bottom="0.75" header="0.3" footer="0.3"/>
  <pageSetup paperSize="9"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R78"/>
  <sheetViews>
    <sheetView topLeftCell="A49" workbookViewId="0">
      <selection activeCell="A64" sqref="A64:J78"/>
    </sheetView>
  </sheetViews>
  <sheetFormatPr defaultRowHeight="14.4" x14ac:dyDescent="0.3"/>
  <cols>
    <col min="13" max="13" width="10.5546875" customWidth="1"/>
  </cols>
  <sheetData>
    <row r="1" spans="1:18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28.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787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5">
        <v>536</v>
      </c>
      <c r="D5" s="215"/>
      <c r="E5" s="215">
        <v>10</v>
      </c>
      <c r="F5" s="215"/>
      <c r="G5" s="215">
        <v>356</v>
      </c>
      <c r="H5" s="215"/>
      <c r="I5" s="213">
        <v>862</v>
      </c>
      <c r="J5" s="214"/>
      <c r="K5" s="216">
        <v>34</v>
      </c>
      <c r="L5" s="217"/>
      <c r="M5" s="56">
        <v>1960</v>
      </c>
      <c r="N5" s="53">
        <v>650</v>
      </c>
      <c r="O5" s="88">
        <v>20512</v>
      </c>
      <c r="P5" s="53">
        <v>8687</v>
      </c>
      <c r="Q5" s="89">
        <v>16176</v>
      </c>
    </row>
    <row r="6" spans="1:18" ht="27.75" customHeight="1" x14ac:dyDescent="0.3">
      <c r="A6" s="211" t="s">
        <v>11</v>
      </c>
      <c r="B6" s="212"/>
      <c r="C6" s="213">
        <v>770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210">
        <v>374</v>
      </c>
      <c r="D7" s="210"/>
      <c r="E7" s="210">
        <v>84</v>
      </c>
      <c r="F7" s="210"/>
      <c r="G7" s="210">
        <v>240</v>
      </c>
      <c r="H7" s="210"/>
      <c r="I7" s="149">
        <v>522</v>
      </c>
      <c r="J7" s="150"/>
      <c r="K7" s="149">
        <v>250</v>
      </c>
      <c r="L7" s="150"/>
      <c r="M7" s="52">
        <v>925</v>
      </c>
      <c r="N7" s="52">
        <v>23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294</v>
      </c>
      <c r="D8" s="210"/>
      <c r="E8" s="210">
        <v>0</v>
      </c>
      <c r="F8" s="210"/>
      <c r="G8" s="210">
        <v>4</v>
      </c>
      <c r="H8" s="210"/>
      <c r="I8" s="149">
        <v>218</v>
      </c>
      <c r="J8" s="150"/>
      <c r="K8" s="149">
        <v>0</v>
      </c>
      <c r="L8" s="150"/>
      <c r="M8" s="52">
        <v>632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444</v>
      </c>
      <c r="D9" s="210"/>
      <c r="E9" s="210">
        <v>32</v>
      </c>
      <c r="F9" s="210"/>
      <c r="G9" s="210">
        <v>21</v>
      </c>
      <c r="H9" s="210"/>
      <c r="I9" s="149">
        <v>411</v>
      </c>
      <c r="J9" s="150"/>
      <c r="K9" s="149">
        <v>31</v>
      </c>
      <c r="L9" s="150"/>
      <c r="M9" s="52">
        <v>740</v>
      </c>
      <c r="N9" s="52">
        <v>19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380</v>
      </c>
      <c r="D10" s="210"/>
      <c r="E10" s="210">
        <v>15</v>
      </c>
      <c r="F10" s="210"/>
      <c r="G10" s="210">
        <v>9</v>
      </c>
      <c r="H10" s="210"/>
      <c r="I10" s="149">
        <v>515</v>
      </c>
      <c r="J10" s="150"/>
      <c r="K10" s="149">
        <v>120</v>
      </c>
      <c r="L10" s="150"/>
      <c r="M10" s="52">
        <v>860</v>
      </c>
      <c r="N10" s="52">
        <v>490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242</v>
      </c>
      <c r="D11" s="209"/>
      <c r="E11" s="210">
        <v>20</v>
      </c>
      <c r="F11" s="210"/>
      <c r="G11" s="210">
        <v>8</v>
      </c>
      <c r="H11" s="210"/>
      <c r="I11" s="149">
        <v>293</v>
      </c>
      <c r="J11" s="150"/>
      <c r="K11" s="149">
        <v>107</v>
      </c>
      <c r="L11" s="150"/>
      <c r="M11" s="52">
        <v>341</v>
      </c>
      <c r="N11" s="52">
        <v>536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65</v>
      </c>
      <c r="D12" s="209"/>
      <c r="E12" s="210">
        <v>2</v>
      </c>
      <c r="F12" s="210"/>
      <c r="G12" s="210">
        <v>1</v>
      </c>
      <c r="H12" s="210"/>
      <c r="I12" s="149">
        <v>348</v>
      </c>
      <c r="J12" s="150"/>
      <c r="K12" s="149">
        <v>21</v>
      </c>
      <c r="L12" s="150"/>
      <c r="M12" s="52">
        <v>379</v>
      </c>
      <c r="N12" s="52">
        <v>57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186</v>
      </c>
      <c r="D13" s="150"/>
      <c r="E13" s="149">
        <v>7</v>
      </c>
      <c r="F13" s="150"/>
      <c r="G13" s="149">
        <v>1</v>
      </c>
      <c r="H13" s="150"/>
      <c r="I13" s="149">
        <v>195</v>
      </c>
      <c r="J13" s="150"/>
      <c r="K13" s="149">
        <v>70</v>
      </c>
      <c r="L13" s="150"/>
      <c r="M13" s="52">
        <v>255</v>
      </c>
      <c r="N13" s="52">
        <v>44</v>
      </c>
      <c r="O13" s="52">
        <v>0</v>
      </c>
      <c r="P13" s="52">
        <v>0</v>
      </c>
      <c r="Q13" s="52">
        <v>0</v>
      </c>
      <c r="R13" s="93"/>
    </row>
    <row r="14" spans="1:18" x14ac:dyDescent="0.3">
      <c r="A14" s="207" t="s">
        <v>19</v>
      </c>
      <c r="B14" s="208"/>
      <c r="C14" s="205">
        <v>305</v>
      </c>
      <c r="D14" s="206"/>
      <c r="E14" s="205">
        <v>6</v>
      </c>
      <c r="F14" s="206"/>
      <c r="G14" s="205">
        <v>16</v>
      </c>
      <c r="H14" s="206"/>
      <c r="I14" s="149">
        <v>493</v>
      </c>
      <c r="J14" s="150"/>
      <c r="K14" s="205">
        <v>17</v>
      </c>
      <c r="L14" s="206"/>
      <c r="M14" s="59">
        <v>721</v>
      </c>
      <c r="N14" s="59">
        <v>21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1183</v>
      </c>
      <c r="P15" s="59">
        <v>3607</v>
      </c>
      <c r="Q15" s="91">
        <v>3602</v>
      </c>
    </row>
    <row r="16" spans="1:18" ht="15" thickBot="1" x14ac:dyDescent="0.35">
      <c r="A16" s="199" t="s">
        <v>20</v>
      </c>
      <c r="B16" s="200"/>
      <c r="C16" s="201">
        <f>SUM(C5:D15)</f>
        <v>3596</v>
      </c>
      <c r="D16" s="202"/>
      <c r="E16" s="201">
        <f>SUM(E5:F15)</f>
        <v>176</v>
      </c>
      <c r="F16" s="202"/>
      <c r="G16" s="201">
        <f>SUM(G5:H15)</f>
        <v>656</v>
      </c>
      <c r="H16" s="202"/>
      <c r="I16" s="201">
        <f>SUM(I5:J15)</f>
        <v>3857</v>
      </c>
      <c r="J16" s="202"/>
      <c r="K16" s="201">
        <f>SUM(K5:L15)</f>
        <v>650</v>
      </c>
      <c r="L16" s="202"/>
      <c r="M16" s="4">
        <f>SUM(M5:M15)</f>
        <v>6813</v>
      </c>
      <c r="N16" s="4">
        <f>SUM(N5:N15)</f>
        <v>1855</v>
      </c>
      <c r="O16" s="4">
        <f>SUM(O5:O15)</f>
        <v>21777</v>
      </c>
      <c r="P16" s="4">
        <f>SUM(P5:P15)</f>
        <v>12329</v>
      </c>
      <c r="Q16" s="5">
        <f>SUM(Q5:Q15)</f>
        <v>19786</v>
      </c>
    </row>
    <row r="17" spans="1:17" ht="15" thickBot="1" x14ac:dyDescent="0.35">
      <c r="A17" s="190" t="s">
        <v>21</v>
      </c>
      <c r="B17" s="191"/>
      <c r="C17" s="192">
        <v>476</v>
      </c>
      <c r="D17" s="192"/>
      <c r="E17" s="193">
        <v>10</v>
      </c>
      <c r="F17" s="194"/>
      <c r="G17" s="195">
        <v>356</v>
      </c>
      <c r="H17" s="196"/>
      <c r="I17" s="195">
        <v>822</v>
      </c>
      <c r="J17" s="196"/>
      <c r="K17" s="197">
        <v>34</v>
      </c>
      <c r="L17" s="198"/>
      <c r="M17" s="36">
        <v>1910</v>
      </c>
      <c r="N17" s="30">
        <v>650</v>
      </c>
      <c r="O17" s="86">
        <v>20512</v>
      </c>
      <c r="P17" s="37">
        <v>8687</v>
      </c>
      <c r="Q17" s="87">
        <v>16176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1" spans="1:17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7" x14ac:dyDescent="0.3">
      <c r="A22" s="167" t="s">
        <v>486</v>
      </c>
      <c r="B22" s="168"/>
      <c r="C22" s="171" t="s">
        <v>479</v>
      </c>
      <c r="D22" s="172"/>
      <c r="E22" s="175" t="s">
        <v>487</v>
      </c>
      <c r="F22" s="176"/>
      <c r="G22" s="175" t="s">
        <v>481</v>
      </c>
      <c r="H22" s="176"/>
      <c r="I22" s="179" t="s">
        <v>488</v>
      </c>
      <c r="J22" s="180"/>
      <c r="K22" s="189" t="s">
        <v>485</v>
      </c>
      <c r="L22" s="73"/>
      <c r="M22" s="74"/>
    </row>
    <row r="23" spans="1:17" ht="57.6" x14ac:dyDescent="0.3">
      <c r="A23" s="169"/>
      <c r="B23" s="170"/>
      <c r="C23" s="173"/>
      <c r="D23" s="174"/>
      <c r="E23" s="177"/>
      <c r="F23" s="178"/>
      <c r="G23" s="177"/>
      <c r="H23" s="178"/>
      <c r="I23" s="181"/>
      <c r="J23" s="182"/>
      <c r="K23" s="156"/>
      <c r="L23" s="75" t="s">
        <v>575</v>
      </c>
      <c r="M23" s="76" t="s">
        <v>574</v>
      </c>
    </row>
    <row r="24" spans="1:17" x14ac:dyDescent="0.3">
      <c r="A24" s="105" t="s">
        <v>9</v>
      </c>
      <c r="B24" s="158"/>
      <c r="C24" s="159" t="s">
        <v>787</v>
      </c>
      <c r="D24" s="160"/>
      <c r="E24" s="160"/>
      <c r="F24" s="160"/>
      <c r="G24" s="160"/>
      <c r="H24" s="160"/>
      <c r="I24" s="160"/>
      <c r="J24" s="160"/>
      <c r="K24" s="160"/>
      <c r="L24" s="71"/>
      <c r="M24" s="72"/>
    </row>
    <row r="25" spans="1:17" x14ac:dyDescent="0.3">
      <c r="A25" s="101" t="s">
        <v>12</v>
      </c>
      <c r="B25" s="102"/>
      <c r="C25" s="161">
        <v>54</v>
      </c>
      <c r="D25" s="162"/>
      <c r="E25" s="185" t="s">
        <v>348</v>
      </c>
      <c r="F25" s="186"/>
      <c r="G25" s="161">
        <v>0</v>
      </c>
      <c r="H25" s="162"/>
      <c r="I25" s="161">
        <v>32</v>
      </c>
      <c r="J25" s="162"/>
      <c r="K25" s="70">
        <v>0</v>
      </c>
      <c r="L25" s="78">
        <v>24</v>
      </c>
      <c r="M25" s="78">
        <v>8</v>
      </c>
    </row>
    <row r="26" spans="1:17" x14ac:dyDescent="0.3">
      <c r="A26" s="101" t="s">
        <v>13</v>
      </c>
      <c r="B26" s="102"/>
      <c r="C26" s="149">
        <v>10</v>
      </c>
      <c r="D26" s="150"/>
      <c r="E26" s="165" t="s">
        <v>25</v>
      </c>
      <c r="F26" s="166"/>
      <c r="G26" s="149">
        <v>0</v>
      </c>
      <c r="H26" s="150"/>
      <c r="I26" s="149">
        <v>145</v>
      </c>
      <c r="J26" s="150"/>
      <c r="K26" s="52">
        <v>0</v>
      </c>
      <c r="L26" s="79">
        <v>0</v>
      </c>
      <c r="M26" s="79">
        <v>0</v>
      </c>
    </row>
    <row r="27" spans="1:17" x14ac:dyDescent="0.3">
      <c r="A27" s="101" t="s">
        <v>14</v>
      </c>
      <c r="B27" s="102"/>
      <c r="C27" s="149">
        <v>179</v>
      </c>
      <c r="D27" s="150"/>
      <c r="E27" s="165" t="s">
        <v>112</v>
      </c>
      <c r="F27" s="166"/>
      <c r="G27" s="149">
        <v>30</v>
      </c>
      <c r="H27" s="150"/>
      <c r="I27" s="149">
        <v>68</v>
      </c>
      <c r="J27" s="150"/>
      <c r="K27" s="52">
        <v>4</v>
      </c>
      <c r="L27" s="79">
        <v>22</v>
      </c>
      <c r="M27" s="79">
        <v>3</v>
      </c>
    </row>
    <row r="28" spans="1:17" x14ac:dyDescent="0.3">
      <c r="A28" s="101" t="s">
        <v>15</v>
      </c>
      <c r="B28" s="102"/>
      <c r="C28" s="165" t="s">
        <v>775</v>
      </c>
      <c r="D28" s="166"/>
      <c r="E28" s="165" t="s">
        <v>25</v>
      </c>
      <c r="F28" s="166"/>
      <c r="G28" s="149">
        <v>0</v>
      </c>
      <c r="H28" s="150"/>
      <c r="I28" s="149">
        <v>25</v>
      </c>
      <c r="J28" s="150"/>
      <c r="K28" s="52">
        <v>2</v>
      </c>
      <c r="L28" s="81">
        <v>20</v>
      </c>
      <c r="M28" s="79">
        <v>1</v>
      </c>
    </row>
    <row r="29" spans="1:17" x14ac:dyDescent="0.3">
      <c r="A29" s="101" t="s">
        <v>16</v>
      </c>
      <c r="B29" s="102"/>
      <c r="C29" s="183" t="s">
        <v>772</v>
      </c>
      <c r="D29" s="184"/>
      <c r="E29" s="165" t="s">
        <v>25</v>
      </c>
      <c r="F29" s="166"/>
      <c r="G29" s="149">
        <v>0</v>
      </c>
      <c r="H29" s="150"/>
      <c r="I29" s="149">
        <v>17</v>
      </c>
      <c r="J29" s="150"/>
      <c r="K29" s="52">
        <v>4</v>
      </c>
      <c r="L29" s="79">
        <v>2</v>
      </c>
      <c r="M29" s="79">
        <v>1</v>
      </c>
    </row>
    <row r="30" spans="1:17" x14ac:dyDescent="0.3">
      <c r="A30" s="101" t="s">
        <v>17</v>
      </c>
      <c r="B30" s="102"/>
      <c r="C30" s="152">
        <v>22</v>
      </c>
      <c r="D30" s="153"/>
      <c r="E30" s="165" t="s">
        <v>201</v>
      </c>
      <c r="F30" s="166"/>
      <c r="G30" s="149">
        <v>0</v>
      </c>
      <c r="H30" s="150"/>
      <c r="I30" s="149">
        <v>10</v>
      </c>
      <c r="J30" s="150"/>
      <c r="K30" s="52">
        <v>0</v>
      </c>
      <c r="L30" s="79">
        <v>8</v>
      </c>
      <c r="M30" s="79">
        <v>0</v>
      </c>
    </row>
    <row r="31" spans="1:17" x14ac:dyDescent="0.3">
      <c r="A31" s="101" t="s">
        <v>18</v>
      </c>
      <c r="B31" s="102"/>
      <c r="C31" s="183" t="s">
        <v>780</v>
      </c>
      <c r="D31" s="184"/>
      <c r="E31" s="165" t="s">
        <v>25</v>
      </c>
      <c r="F31" s="166"/>
      <c r="G31" s="149">
        <v>0</v>
      </c>
      <c r="H31" s="150"/>
      <c r="I31" s="149">
        <v>9</v>
      </c>
      <c r="J31" s="150"/>
      <c r="K31" s="52">
        <v>0</v>
      </c>
      <c r="L31" s="79">
        <v>0</v>
      </c>
      <c r="M31" s="79">
        <v>0</v>
      </c>
    </row>
    <row r="32" spans="1:17" x14ac:dyDescent="0.3">
      <c r="A32" s="101" t="s">
        <v>19</v>
      </c>
      <c r="B32" s="102"/>
      <c r="C32" s="149">
        <v>0</v>
      </c>
      <c r="D32" s="150"/>
      <c r="E32" s="165" t="s">
        <v>25</v>
      </c>
      <c r="F32" s="166"/>
      <c r="G32" s="149">
        <v>0</v>
      </c>
      <c r="H32" s="150"/>
      <c r="I32" s="149">
        <v>0</v>
      </c>
      <c r="J32" s="150"/>
      <c r="K32" s="52">
        <v>0</v>
      </c>
      <c r="L32" s="79">
        <v>0</v>
      </c>
      <c r="M32" s="79">
        <v>0</v>
      </c>
    </row>
    <row r="34" spans="1:13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x14ac:dyDescent="0.3">
      <c r="A35" s="167" t="s">
        <v>489</v>
      </c>
      <c r="B35" s="168"/>
      <c r="C35" s="171" t="s">
        <v>479</v>
      </c>
      <c r="D35" s="172"/>
      <c r="E35" s="175" t="s">
        <v>487</v>
      </c>
      <c r="F35" s="176"/>
      <c r="G35" s="175" t="s">
        <v>481</v>
      </c>
      <c r="H35" s="176"/>
      <c r="I35" s="179" t="s">
        <v>488</v>
      </c>
      <c r="J35" s="180"/>
      <c r="K35" s="156" t="s">
        <v>485</v>
      </c>
      <c r="L35" s="73"/>
      <c r="M35" s="74"/>
    </row>
    <row r="36" spans="1:13" ht="57.6" x14ac:dyDescent="0.3">
      <c r="A36" s="169"/>
      <c r="B36" s="170"/>
      <c r="C36" s="173"/>
      <c r="D36" s="174"/>
      <c r="E36" s="177"/>
      <c r="F36" s="178"/>
      <c r="G36" s="177"/>
      <c r="H36" s="178"/>
      <c r="I36" s="181"/>
      <c r="J36" s="182"/>
      <c r="K36" s="157"/>
      <c r="L36" s="75" t="s">
        <v>575</v>
      </c>
      <c r="M36" s="76" t="s">
        <v>574</v>
      </c>
    </row>
    <row r="37" spans="1:13" x14ac:dyDescent="0.3">
      <c r="A37" s="105" t="s">
        <v>9</v>
      </c>
      <c r="B37" s="158"/>
      <c r="C37" s="159" t="s">
        <v>787</v>
      </c>
      <c r="D37" s="160"/>
      <c r="E37" s="160"/>
      <c r="F37" s="160"/>
      <c r="G37" s="160"/>
      <c r="H37" s="160"/>
      <c r="I37" s="160"/>
      <c r="J37" s="160"/>
      <c r="K37" s="160"/>
      <c r="L37" s="71"/>
      <c r="M37" s="72"/>
    </row>
    <row r="38" spans="1:13" x14ac:dyDescent="0.3">
      <c r="A38" s="147" t="s">
        <v>12</v>
      </c>
      <c r="B38" s="148"/>
      <c r="C38" s="161" t="s">
        <v>789</v>
      </c>
      <c r="D38" s="162"/>
      <c r="E38" s="163" t="s">
        <v>790</v>
      </c>
      <c r="F38" s="164"/>
      <c r="G38" s="161">
        <v>0</v>
      </c>
      <c r="H38" s="162"/>
      <c r="I38" s="161" t="s">
        <v>791</v>
      </c>
      <c r="J38" s="162"/>
      <c r="K38" s="70">
        <v>0</v>
      </c>
      <c r="L38" s="78">
        <v>43</v>
      </c>
      <c r="M38" s="78">
        <v>11</v>
      </c>
    </row>
    <row r="39" spans="1:13" x14ac:dyDescent="0.3">
      <c r="A39" s="147" t="s">
        <v>13</v>
      </c>
      <c r="B39" s="148"/>
      <c r="C39" s="149">
        <v>0</v>
      </c>
      <c r="D39" s="150"/>
      <c r="E39" s="154" t="s">
        <v>774</v>
      </c>
      <c r="F39" s="155"/>
      <c r="G39" s="149" t="s">
        <v>786</v>
      </c>
      <c r="H39" s="150"/>
      <c r="I39" s="149">
        <v>0</v>
      </c>
      <c r="J39" s="150"/>
      <c r="K39" s="52">
        <v>0</v>
      </c>
      <c r="L39" s="79">
        <v>4</v>
      </c>
      <c r="M39" s="79">
        <v>2</v>
      </c>
    </row>
    <row r="40" spans="1:13" x14ac:dyDescent="0.3">
      <c r="A40" s="147" t="s">
        <v>14</v>
      </c>
      <c r="B40" s="148"/>
      <c r="C40" s="149" t="s">
        <v>792</v>
      </c>
      <c r="D40" s="150"/>
      <c r="E40" s="154" t="s">
        <v>621</v>
      </c>
      <c r="F40" s="155"/>
      <c r="G40" s="149" t="s">
        <v>784</v>
      </c>
      <c r="H40" s="150"/>
      <c r="I40" s="149" t="s">
        <v>499</v>
      </c>
      <c r="J40" s="150"/>
      <c r="K40" s="52" t="s">
        <v>437</v>
      </c>
      <c r="L40" s="79">
        <v>16</v>
      </c>
      <c r="M40" s="79">
        <v>1</v>
      </c>
    </row>
    <row r="41" spans="1:13" x14ac:dyDescent="0.3">
      <c r="A41" s="147" t="s">
        <v>15</v>
      </c>
      <c r="B41" s="148"/>
      <c r="C41" s="152">
        <v>0</v>
      </c>
      <c r="D41" s="153"/>
      <c r="E41" s="154" t="s">
        <v>733</v>
      </c>
      <c r="F41" s="155"/>
      <c r="G41" s="149">
        <v>10</v>
      </c>
      <c r="H41" s="150"/>
      <c r="I41" s="149">
        <v>0</v>
      </c>
      <c r="J41" s="150"/>
      <c r="K41" s="52">
        <v>0</v>
      </c>
      <c r="L41" s="79">
        <v>0</v>
      </c>
      <c r="M41" s="79">
        <v>0</v>
      </c>
    </row>
    <row r="42" spans="1:13" x14ac:dyDescent="0.3">
      <c r="A42" s="147" t="s">
        <v>16</v>
      </c>
      <c r="B42" s="148"/>
      <c r="C42" s="152" t="s">
        <v>611</v>
      </c>
      <c r="D42" s="153"/>
      <c r="E42" s="154" t="s">
        <v>705</v>
      </c>
      <c r="F42" s="155"/>
      <c r="G42" s="149">
        <v>0</v>
      </c>
      <c r="H42" s="150"/>
      <c r="I42" s="149" t="s">
        <v>339</v>
      </c>
      <c r="J42" s="150"/>
      <c r="K42" s="52" t="s">
        <v>475</v>
      </c>
      <c r="L42" s="79">
        <v>4</v>
      </c>
      <c r="M42" s="79">
        <v>1</v>
      </c>
    </row>
    <row r="43" spans="1:13" x14ac:dyDescent="0.3">
      <c r="A43" s="147" t="s">
        <v>17</v>
      </c>
      <c r="B43" s="148"/>
      <c r="C43" s="152">
        <v>0</v>
      </c>
      <c r="D43" s="153"/>
      <c r="E43" s="149" t="s">
        <v>94</v>
      </c>
      <c r="F43" s="150"/>
      <c r="G43" s="149">
        <v>0</v>
      </c>
      <c r="H43" s="150"/>
      <c r="I43" s="149">
        <v>0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18</v>
      </c>
      <c r="B44" s="148"/>
      <c r="C44" s="152" t="s">
        <v>558</v>
      </c>
      <c r="D44" s="153"/>
      <c r="E44" s="149" t="s">
        <v>788</v>
      </c>
      <c r="F44" s="150"/>
      <c r="G44" s="149">
        <v>0</v>
      </c>
      <c r="H44" s="150"/>
      <c r="I44" s="149" t="s">
        <v>558</v>
      </c>
      <c r="J44" s="150"/>
      <c r="K44" s="52">
        <v>0</v>
      </c>
      <c r="L44" s="79">
        <v>3</v>
      </c>
      <c r="M44" s="79">
        <v>0</v>
      </c>
    </row>
    <row r="45" spans="1:13" x14ac:dyDescent="0.3">
      <c r="A45" s="147" t="s">
        <v>19</v>
      </c>
      <c r="B45" s="148"/>
      <c r="C45" s="149">
        <v>0</v>
      </c>
      <c r="D45" s="150"/>
      <c r="E45" s="149">
        <v>0</v>
      </c>
      <c r="F45" s="150"/>
      <c r="G45" s="149">
        <v>0</v>
      </c>
      <c r="H45" s="150"/>
      <c r="I45" s="149">
        <v>0</v>
      </c>
      <c r="J45" s="150"/>
      <c r="K45" s="52">
        <v>0</v>
      </c>
      <c r="L45" s="79">
        <v>0</v>
      </c>
      <c r="M45" s="79">
        <v>0</v>
      </c>
    </row>
    <row r="46" spans="1:13" x14ac:dyDescent="0.3">
      <c r="A46" s="151" t="s">
        <v>490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773</v>
      </c>
      <c r="D49" s="146"/>
      <c r="E49" s="145" t="s">
        <v>777</v>
      </c>
      <c r="F49" s="146"/>
      <c r="G49" s="145" t="s">
        <v>782</v>
      </c>
      <c r="H49" s="146"/>
      <c r="I49" s="145" t="s">
        <v>787</v>
      </c>
      <c r="J49" s="146"/>
    </row>
    <row r="50" spans="1:10" x14ac:dyDescent="0.3">
      <c r="A50" s="120" t="s">
        <v>30</v>
      </c>
      <c r="B50" s="121"/>
      <c r="C50" s="136">
        <v>10316</v>
      </c>
      <c r="D50" s="137"/>
      <c r="E50" s="136">
        <v>10286</v>
      </c>
      <c r="F50" s="137"/>
      <c r="G50" s="136">
        <v>10240</v>
      </c>
      <c r="H50" s="137"/>
      <c r="I50" s="136">
        <v>10216</v>
      </c>
      <c r="J50" s="137"/>
    </row>
    <row r="51" spans="1:10" x14ac:dyDescent="0.3">
      <c r="A51" s="120" t="s">
        <v>31</v>
      </c>
      <c r="B51" s="121"/>
      <c r="C51" s="136">
        <v>11269</v>
      </c>
      <c r="D51" s="137"/>
      <c r="E51" s="136">
        <v>11271</v>
      </c>
      <c r="F51" s="137"/>
      <c r="G51" s="136">
        <v>11267</v>
      </c>
      <c r="H51" s="137"/>
      <c r="I51" s="136">
        <v>11266</v>
      </c>
      <c r="J51" s="137"/>
    </row>
    <row r="52" spans="1:10" x14ac:dyDescent="0.3">
      <c r="A52" s="120" t="s">
        <v>32</v>
      </c>
      <c r="B52" s="121"/>
      <c r="C52" s="136">
        <v>110931</v>
      </c>
      <c r="D52" s="137"/>
      <c r="E52" s="136">
        <v>110813</v>
      </c>
      <c r="F52" s="137"/>
      <c r="G52" s="136">
        <v>110717</v>
      </c>
      <c r="H52" s="137"/>
      <c r="I52" s="136">
        <v>110647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49110</v>
      </c>
      <c r="D54" s="137"/>
      <c r="E54" s="136">
        <v>49042</v>
      </c>
      <c r="F54" s="137"/>
      <c r="G54" s="136">
        <v>48996</v>
      </c>
      <c r="H54" s="137"/>
      <c r="I54" s="136">
        <v>48974</v>
      </c>
      <c r="J54" s="137"/>
    </row>
    <row r="55" spans="1:10" x14ac:dyDescent="0.3">
      <c r="A55" s="120" t="s">
        <v>53</v>
      </c>
      <c r="B55" s="121"/>
      <c r="C55" s="138">
        <v>5345</v>
      </c>
      <c r="D55" s="139"/>
      <c r="E55" s="138">
        <v>5433</v>
      </c>
      <c r="F55" s="139"/>
      <c r="G55" s="138">
        <v>5495</v>
      </c>
      <c r="H55" s="139"/>
      <c r="I55" s="138">
        <v>5543</v>
      </c>
      <c r="J55" s="139"/>
    </row>
    <row r="56" spans="1:10" x14ac:dyDescent="0.3">
      <c r="A56" s="120" t="s">
        <v>49</v>
      </c>
      <c r="B56" s="121"/>
      <c r="C56" s="136">
        <v>22379</v>
      </c>
      <c r="D56" s="137"/>
      <c r="E56" s="136">
        <v>23107</v>
      </c>
      <c r="F56" s="137"/>
      <c r="G56" s="136">
        <v>23261</v>
      </c>
      <c r="H56" s="137"/>
      <c r="I56" s="136">
        <v>23447</v>
      </c>
      <c r="J56" s="137"/>
    </row>
    <row r="57" spans="1:10" x14ac:dyDescent="0.3">
      <c r="A57" s="120" t="s">
        <v>35</v>
      </c>
      <c r="B57" s="121"/>
      <c r="C57" s="138">
        <v>3870</v>
      </c>
      <c r="D57" s="139"/>
      <c r="E57" s="138">
        <v>3878</v>
      </c>
      <c r="F57" s="139"/>
      <c r="G57" s="138">
        <v>3887</v>
      </c>
      <c r="H57" s="139"/>
      <c r="I57" s="138">
        <v>3893</v>
      </c>
      <c r="J57" s="139"/>
    </row>
    <row r="58" spans="1:10" x14ac:dyDescent="0.3">
      <c r="A58" s="120" t="s">
        <v>36</v>
      </c>
      <c r="B58" s="121"/>
      <c r="C58" s="122">
        <f>SUM(C50:D57)</f>
        <v>213456</v>
      </c>
      <c r="D58" s="123"/>
      <c r="E58" s="122">
        <f>SUM(E50:F57)</f>
        <v>214066</v>
      </c>
      <c r="F58" s="123"/>
      <c r="G58" s="122">
        <f>SUM(G50:H57)</f>
        <v>214099</v>
      </c>
      <c r="H58" s="123"/>
      <c r="I58" s="122">
        <f>SUM(I50:J57)</f>
        <v>214222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773</v>
      </c>
      <c r="D60" s="131"/>
      <c r="E60" s="130" t="s">
        <v>777</v>
      </c>
      <c r="F60" s="131"/>
      <c r="G60" s="130" t="s">
        <v>782</v>
      </c>
      <c r="H60" s="131"/>
      <c r="I60" s="130" t="s">
        <v>787</v>
      </c>
      <c r="J60" s="131"/>
    </row>
    <row r="61" spans="1:10" x14ac:dyDescent="0.3">
      <c r="A61" s="126"/>
      <c r="B61" s="127"/>
      <c r="C61" s="132">
        <v>140586</v>
      </c>
      <c r="D61" s="133"/>
      <c r="E61" s="132">
        <v>140669</v>
      </c>
      <c r="F61" s="133"/>
      <c r="G61" s="132">
        <v>140700</v>
      </c>
      <c r="H61" s="133"/>
      <c r="I61" s="132">
        <v>140809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702</v>
      </c>
      <c r="D66" s="115"/>
      <c r="E66" s="114" t="s">
        <v>718</v>
      </c>
      <c r="F66" s="115"/>
      <c r="G66" s="114" t="s">
        <v>760</v>
      </c>
      <c r="H66" s="115"/>
      <c r="I66" s="114" t="s">
        <v>776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32193</v>
      </c>
      <c r="D69" s="104"/>
      <c r="E69" s="103">
        <v>32418</v>
      </c>
      <c r="F69" s="104"/>
      <c r="G69" s="103">
        <v>33056</v>
      </c>
      <c r="H69" s="104"/>
      <c r="I69" s="103">
        <v>32925</v>
      </c>
      <c r="J69" s="104"/>
    </row>
    <row r="70" spans="1:10" x14ac:dyDescent="0.3">
      <c r="A70" s="101" t="s">
        <v>13</v>
      </c>
      <c r="B70" s="102"/>
      <c r="C70" s="103">
        <v>7323</v>
      </c>
      <c r="D70" s="104"/>
      <c r="E70" s="103">
        <v>7352</v>
      </c>
      <c r="F70" s="104"/>
      <c r="G70" s="103">
        <v>7380</v>
      </c>
      <c r="H70" s="104"/>
      <c r="I70" s="103">
        <v>7455</v>
      </c>
      <c r="J70" s="104"/>
    </row>
    <row r="71" spans="1:10" x14ac:dyDescent="0.3">
      <c r="A71" s="107" t="s">
        <v>14</v>
      </c>
      <c r="B71" s="108"/>
      <c r="C71" s="103">
        <v>6486</v>
      </c>
      <c r="D71" s="104"/>
      <c r="E71" s="103">
        <v>6558</v>
      </c>
      <c r="F71" s="104"/>
      <c r="G71" s="103">
        <v>6610</v>
      </c>
      <c r="H71" s="104"/>
      <c r="I71" s="103">
        <v>6681</v>
      </c>
      <c r="J71" s="104"/>
    </row>
    <row r="72" spans="1:10" x14ac:dyDescent="0.3">
      <c r="A72" s="107" t="s">
        <v>41</v>
      </c>
      <c r="B72" s="108"/>
      <c r="C72" s="103">
        <v>1587</v>
      </c>
      <c r="D72" s="104"/>
      <c r="E72" s="103">
        <v>1621</v>
      </c>
      <c r="F72" s="104"/>
      <c r="G72" s="103">
        <v>1653</v>
      </c>
      <c r="H72" s="104"/>
      <c r="I72" s="103">
        <v>1688</v>
      </c>
      <c r="J72" s="104"/>
    </row>
    <row r="73" spans="1:10" x14ac:dyDescent="0.3">
      <c r="A73" s="101" t="s">
        <v>15</v>
      </c>
      <c r="B73" s="102"/>
      <c r="C73" s="103">
        <v>5035</v>
      </c>
      <c r="D73" s="104"/>
      <c r="E73" s="103">
        <v>5117</v>
      </c>
      <c r="F73" s="104"/>
      <c r="G73" s="103">
        <v>5163</v>
      </c>
      <c r="H73" s="104"/>
      <c r="I73" s="103">
        <v>5228</v>
      </c>
      <c r="J73" s="104"/>
    </row>
    <row r="74" spans="1:10" x14ac:dyDescent="0.3">
      <c r="A74" s="107" t="s">
        <v>16</v>
      </c>
      <c r="B74" s="108"/>
      <c r="C74" s="103">
        <v>5051</v>
      </c>
      <c r="D74" s="104"/>
      <c r="E74" s="103">
        <v>5068</v>
      </c>
      <c r="F74" s="104"/>
      <c r="G74" s="103">
        <v>5103</v>
      </c>
      <c r="H74" s="104"/>
      <c r="I74" s="103">
        <v>5115</v>
      </c>
      <c r="J74" s="104"/>
    </row>
    <row r="75" spans="1:10" x14ac:dyDescent="0.3">
      <c r="A75" s="101" t="s">
        <v>17</v>
      </c>
      <c r="B75" s="102"/>
      <c r="C75" s="103">
        <v>8141</v>
      </c>
      <c r="D75" s="104"/>
      <c r="E75" s="103">
        <v>8163</v>
      </c>
      <c r="F75" s="104"/>
      <c r="G75" s="103">
        <v>8230</v>
      </c>
      <c r="H75" s="104"/>
      <c r="I75" s="103">
        <v>8315</v>
      </c>
      <c r="J75" s="104"/>
    </row>
    <row r="76" spans="1:10" x14ac:dyDescent="0.3">
      <c r="A76" s="107" t="s">
        <v>18</v>
      </c>
      <c r="B76" s="108"/>
      <c r="C76" s="103">
        <v>1666</v>
      </c>
      <c r="D76" s="104"/>
      <c r="E76" s="103">
        <v>1679</v>
      </c>
      <c r="F76" s="104"/>
      <c r="G76" s="103">
        <v>1683</v>
      </c>
      <c r="H76" s="104"/>
      <c r="I76" s="103">
        <v>1686</v>
      </c>
      <c r="J76" s="104"/>
    </row>
    <row r="77" spans="1:10" x14ac:dyDescent="0.3">
      <c r="A77" s="101" t="s">
        <v>19</v>
      </c>
      <c r="B77" s="102"/>
      <c r="C77" s="103">
        <v>6245</v>
      </c>
      <c r="D77" s="104"/>
      <c r="E77" s="103">
        <v>6309</v>
      </c>
      <c r="F77" s="104"/>
      <c r="G77" s="103">
        <v>6449</v>
      </c>
      <c r="H77" s="104"/>
      <c r="I77" s="103">
        <v>6545</v>
      </c>
      <c r="J77" s="104"/>
    </row>
    <row r="78" spans="1:10" x14ac:dyDescent="0.3">
      <c r="A78" s="105" t="s">
        <v>42</v>
      </c>
      <c r="B78" s="106"/>
      <c r="C78" s="103">
        <f>SUM(C69:C77)</f>
        <v>73727</v>
      </c>
      <c r="D78" s="104"/>
      <c r="E78" s="103">
        <f>SUM(E69:E77)</f>
        <v>74285</v>
      </c>
      <c r="F78" s="104"/>
      <c r="G78" s="103">
        <f>SUM(G69:G77)</f>
        <v>75327</v>
      </c>
      <c r="H78" s="104"/>
      <c r="I78" s="103">
        <f>SUM(I69:I77)</f>
        <v>75638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78"/>
  <sheetViews>
    <sheetView topLeftCell="A58" workbookViewId="0">
      <selection activeCell="A64" sqref="A64:J78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793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2306</v>
      </c>
      <c r="D5" s="215"/>
      <c r="E5" s="215">
        <v>10</v>
      </c>
      <c r="F5" s="215"/>
      <c r="G5" s="215">
        <v>306</v>
      </c>
      <c r="H5" s="215"/>
      <c r="I5" s="213">
        <v>802</v>
      </c>
      <c r="J5" s="214"/>
      <c r="K5" s="216">
        <v>34</v>
      </c>
      <c r="L5" s="217"/>
      <c r="M5" s="56">
        <v>1910</v>
      </c>
      <c r="N5" s="53">
        <v>650</v>
      </c>
      <c r="O5" s="88">
        <v>27612</v>
      </c>
      <c r="P5" s="53">
        <v>8657</v>
      </c>
      <c r="Q5" s="89">
        <v>16146</v>
      </c>
    </row>
    <row r="6" spans="1:17" x14ac:dyDescent="0.3">
      <c r="A6" s="211" t="s">
        <v>11</v>
      </c>
      <c r="B6" s="212"/>
      <c r="C6" s="213">
        <v>270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452</v>
      </c>
      <c r="D7" s="210"/>
      <c r="E7" s="210">
        <v>79</v>
      </c>
      <c r="F7" s="210"/>
      <c r="G7" s="210">
        <v>285</v>
      </c>
      <c r="H7" s="210"/>
      <c r="I7" s="149">
        <v>459</v>
      </c>
      <c r="J7" s="150"/>
      <c r="K7" s="149">
        <v>206</v>
      </c>
      <c r="L7" s="150"/>
      <c r="M7" s="52">
        <v>898</v>
      </c>
      <c r="N7" s="52">
        <v>23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389</v>
      </c>
      <c r="D8" s="210"/>
      <c r="E8" s="210">
        <v>0</v>
      </c>
      <c r="F8" s="210"/>
      <c r="G8" s="210">
        <v>2</v>
      </c>
      <c r="H8" s="210"/>
      <c r="I8" s="149">
        <v>235</v>
      </c>
      <c r="J8" s="150"/>
      <c r="K8" s="149">
        <v>0</v>
      </c>
      <c r="L8" s="150"/>
      <c r="M8" s="52">
        <v>647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307</v>
      </c>
      <c r="D9" s="210"/>
      <c r="E9" s="210">
        <v>14</v>
      </c>
      <c r="F9" s="210"/>
      <c r="G9" s="210">
        <v>9</v>
      </c>
      <c r="H9" s="210"/>
      <c r="I9" s="149">
        <v>409</v>
      </c>
      <c r="J9" s="150"/>
      <c r="K9" s="149">
        <v>32</v>
      </c>
      <c r="L9" s="150"/>
      <c r="M9" s="52">
        <v>736</v>
      </c>
      <c r="N9" s="52">
        <v>17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190</v>
      </c>
      <c r="D10" s="210"/>
      <c r="E10" s="210">
        <v>15</v>
      </c>
      <c r="F10" s="210"/>
      <c r="G10" s="210">
        <v>7</v>
      </c>
      <c r="H10" s="210"/>
      <c r="I10" s="149">
        <v>468</v>
      </c>
      <c r="J10" s="150"/>
      <c r="K10" s="149">
        <v>120</v>
      </c>
      <c r="L10" s="150"/>
      <c r="M10" s="52">
        <v>850</v>
      </c>
      <c r="N10" s="52">
        <v>470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237</v>
      </c>
      <c r="D11" s="209"/>
      <c r="E11" s="210">
        <v>19</v>
      </c>
      <c r="F11" s="210"/>
      <c r="G11" s="210">
        <v>8</v>
      </c>
      <c r="H11" s="210"/>
      <c r="I11" s="149">
        <v>287</v>
      </c>
      <c r="J11" s="150"/>
      <c r="K11" s="149">
        <v>101</v>
      </c>
      <c r="L11" s="150"/>
      <c r="M11" s="52">
        <v>336</v>
      </c>
      <c r="N11" s="52">
        <v>531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52</v>
      </c>
      <c r="D12" s="209"/>
      <c r="E12" s="210">
        <v>2</v>
      </c>
      <c r="F12" s="210"/>
      <c r="G12" s="210">
        <v>1</v>
      </c>
      <c r="H12" s="210"/>
      <c r="I12" s="149">
        <v>324</v>
      </c>
      <c r="J12" s="150"/>
      <c r="K12" s="149">
        <v>21</v>
      </c>
      <c r="L12" s="150"/>
      <c r="M12" s="52">
        <v>365</v>
      </c>
      <c r="N12" s="52">
        <v>57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140</v>
      </c>
      <c r="D13" s="150"/>
      <c r="E13" s="149">
        <v>7</v>
      </c>
      <c r="F13" s="150"/>
      <c r="G13" s="149">
        <v>1</v>
      </c>
      <c r="H13" s="150"/>
      <c r="I13" s="149">
        <v>237</v>
      </c>
      <c r="J13" s="150"/>
      <c r="K13" s="149">
        <v>37</v>
      </c>
      <c r="L13" s="150"/>
      <c r="M13" s="52">
        <v>279</v>
      </c>
      <c r="N13" s="52">
        <v>28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220</v>
      </c>
      <c r="D14" s="206"/>
      <c r="E14" s="205">
        <v>4</v>
      </c>
      <c r="F14" s="206"/>
      <c r="G14" s="205">
        <v>16</v>
      </c>
      <c r="H14" s="206"/>
      <c r="I14" s="149">
        <v>457</v>
      </c>
      <c r="J14" s="150"/>
      <c r="K14" s="205">
        <v>9</v>
      </c>
      <c r="L14" s="206"/>
      <c r="M14" s="59">
        <v>696</v>
      </c>
      <c r="N14" s="59">
        <v>18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1092</v>
      </c>
      <c r="P15" s="59">
        <v>3571</v>
      </c>
      <c r="Q15" s="91">
        <v>3534</v>
      </c>
    </row>
    <row r="16" spans="1:17" ht="15" thickBot="1" x14ac:dyDescent="0.35">
      <c r="A16" s="199" t="s">
        <v>20</v>
      </c>
      <c r="B16" s="200"/>
      <c r="C16" s="201">
        <f>SUM(C5:D15)</f>
        <v>4563</v>
      </c>
      <c r="D16" s="202"/>
      <c r="E16" s="201">
        <f>SUM(E5:F15)</f>
        <v>150</v>
      </c>
      <c r="F16" s="202"/>
      <c r="G16" s="201">
        <f>SUM(G5:H15)</f>
        <v>635</v>
      </c>
      <c r="H16" s="202"/>
      <c r="I16" s="201">
        <f>SUM(I5:J15)</f>
        <v>3678</v>
      </c>
      <c r="J16" s="202"/>
      <c r="K16" s="201">
        <f>SUM(K5:L15)</f>
        <v>560</v>
      </c>
      <c r="L16" s="202"/>
      <c r="M16" s="4">
        <f>SUM(M5:M15)</f>
        <v>6717</v>
      </c>
      <c r="N16" s="4">
        <f>SUM(N5:N15)</f>
        <v>1809</v>
      </c>
      <c r="O16" s="4">
        <f>SUM(O5:O15)</f>
        <v>28786</v>
      </c>
      <c r="P16" s="4">
        <f>SUM(P5:P15)</f>
        <v>12263</v>
      </c>
      <c r="Q16" s="5">
        <f>SUM(Q5:Q15)</f>
        <v>19688</v>
      </c>
    </row>
    <row r="17" spans="1:17" ht="15" thickBot="1" x14ac:dyDescent="0.35">
      <c r="A17" s="190" t="s">
        <v>21</v>
      </c>
      <c r="B17" s="191"/>
      <c r="C17" s="192">
        <v>2166</v>
      </c>
      <c r="D17" s="192"/>
      <c r="E17" s="193">
        <v>10</v>
      </c>
      <c r="F17" s="194"/>
      <c r="G17" s="195">
        <v>306</v>
      </c>
      <c r="H17" s="196"/>
      <c r="I17" s="195">
        <v>802</v>
      </c>
      <c r="J17" s="196"/>
      <c r="K17" s="197">
        <v>34</v>
      </c>
      <c r="L17" s="198"/>
      <c r="M17" s="36">
        <v>1910</v>
      </c>
      <c r="N17" s="30">
        <v>650</v>
      </c>
      <c r="O17" s="86">
        <v>27612</v>
      </c>
      <c r="P17" s="37">
        <v>8657</v>
      </c>
      <c r="Q17" s="87">
        <v>16146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793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10</v>
      </c>
      <c r="D24" s="162"/>
      <c r="E24" s="185" t="s">
        <v>653</v>
      </c>
      <c r="F24" s="186"/>
      <c r="G24" s="161">
        <v>0</v>
      </c>
      <c r="H24" s="162"/>
      <c r="I24" s="161">
        <v>32</v>
      </c>
      <c r="J24" s="162"/>
      <c r="K24" s="70">
        <v>0</v>
      </c>
      <c r="L24" s="78">
        <v>24</v>
      </c>
      <c r="M24" s="78">
        <v>9</v>
      </c>
    </row>
    <row r="25" spans="1:17" x14ac:dyDescent="0.3">
      <c r="A25" s="101" t="s">
        <v>13</v>
      </c>
      <c r="B25" s="102"/>
      <c r="C25" s="149">
        <v>19</v>
      </c>
      <c r="D25" s="150"/>
      <c r="E25" s="165" t="s">
        <v>25</v>
      </c>
      <c r="F25" s="166"/>
      <c r="G25" s="149">
        <v>0</v>
      </c>
      <c r="H25" s="150"/>
      <c r="I25" s="149">
        <v>147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110</v>
      </c>
      <c r="D26" s="150"/>
      <c r="E26" s="165" t="s">
        <v>644</v>
      </c>
      <c r="F26" s="166"/>
      <c r="G26" s="149">
        <v>32</v>
      </c>
      <c r="H26" s="150"/>
      <c r="I26" s="149">
        <v>70</v>
      </c>
      <c r="J26" s="150"/>
      <c r="K26" s="52">
        <v>4</v>
      </c>
      <c r="L26" s="79">
        <v>22</v>
      </c>
      <c r="M26" s="79">
        <v>3</v>
      </c>
    </row>
    <row r="27" spans="1:17" x14ac:dyDescent="0.3">
      <c r="A27" s="101" t="s">
        <v>15</v>
      </c>
      <c r="B27" s="102"/>
      <c r="C27" s="165" t="s">
        <v>775</v>
      </c>
      <c r="D27" s="166"/>
      <c r="E27" s="165" t="s">
        <v>25</v>
      </c>
      <c r="F27" s="166"/>
      <c r="G27" s="149">
        <v>0</v>
      </c>
      <c r="H27" s="150"/>
      <c r="I27" s="149">
        <v>25</v>
      </c>
      <c r="J27" s="150"/>
      <c r="K27" s="52">
        <v>4</v>
      </c>
      <c r="L27" s="81">
        <v>8</v>
      </c>
      <c r="M27" s="79">
        <v>1</v>
      </c>
    </row>
    <row r="28" spans="1:17" x14ac:dyDescent="0.3">
      <c r="A28" s="101" t="s">
        <v>16</v>
      </c>
      <c r="B28" s="102"/>
      <c r="C28" s="183" t="s">
        <v>794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22</v>
      </c>
      <c r="D29" s="153"/>
      <c r="E29" s="165" t="s">
        <v>201</v>
      </c>
      <c r="F29" s="166"/>
      <c r="G29" s="149">
        <v>0</v>
      </c>
      <c r="H29" s="150"/>
      <c r="I29" s="149">
        <v>10</v>
      </c>
      <c r="J29" s="150"/>
      <c r="K29" s="52">
        <v>0</v>
      </c>
      <c r="L29" s="79">
        <v>8</v>
      </c>
      <c r="M29" s="79">
        <v>0</v>
      </c>
    </row>
    <row r="30" spans="1:17" x14ac:dyDescent="0.3">
      <c r="A30" s="101" t="s">
        <v>18</v>
      </c>
      <c r="B30" s="102"/>
      <c r="C30" s="183" t="s">
        <v>739</v>
      </c>
      <c r="D30" s="184"/>
      <c r="E30" s="165" t="s">
        <v>25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793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456</v>
      </c>
      <c r="D37" s="162"/>
      <c r="E37" s="163" t="s">
        <v>790</v>
      </c>
      <c r="F37" s="164"/>
      <c r="G37" s="161">
        <v>0</v>
      </c>
      <c r="H37" s="162"/>
      <c r="I37" s="161" t="s">
        <v>791</v>
      </c>
      <c r="J37" s="162"/>
      <c r="K37" s="70">
        <v>0</v>
      </c>
      <c r="L37" s="78">
        <v>40</v>
      </c>
      <c r="M37" s="78">
        <v>12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711</v>
      </c>
      <c r="F38" s="155"/>
      <c r="G38" s="149" t="s">
        <v>750</v>
      </c>
      <c r="H38" s="150"/>
      <c r="I38" s="149">
        <v>0</v>
      </c>
      <c r="J38" s="150"/>
      <c r="K38" s="52">
        <v>0</v>
      </c>
      <c r="L38" s="79">
        <v>4</v>
      </c>
      <c r="M38" s="79">
        <v>2</v>
      </c>
    </row>
    <row r="39" spans="1:13" x14ac:dyDescent="0.3">
      <c r="A39" s="147" t="s">
        <v>14</v>
      </c>
      <c r="B39" s="148"/>
      <c r="C39" s="149" t="s">
        <v>631</v>
      </c>
      <c r="D39" s="150"/>
      <c r="E39" s="154" t="s">
        <v>685</v>
      </c>
      <c r="F39" s="155"/>
      <c r="G39" s="149" t="s">
        <v>784</v>
      </c>
      <c r="H39" s="150"/>
      <c r="I39" s="149" t="s">
        <v>795</v>
      </c>
      <c r="J39" s="150"/>
      <c r="K39" s="52" t="s">
        <v>437</v>
      </c>
      <c r="L39" s="79">
        <v>16</v>
      </c>
      <c r="M39" s="79">
        <v>1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602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94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558</v>
      </c>
      <c r="D43" s="153"/>
      <c r="E43" s="149" t="s">
        <v>796</v>
      </c>
      <c r="F43" s="150"/>
      <c r="G43" s="149">
        <v>0</v>
      </c>
      <c r="H43" s="150"/>
      <c r="I43" s="149" t="s">
        <v>558</v>
      </c>
      <c r="J43" s="150"/>
      <c r="K43" s="52">
        <v>0</v>
      </c>
      <c r="L43" s="79">
        <v>3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777</v>
      </c>
      <c r="D49" s="146"/>
      <c r="E49" s="145" t="s">
        <v>782</v>
      </c>
      <c r="F49" s="146"/>
      <c r="G49" s="145" t="s">
        <v>787</v>
      </c>
      <c r="H49" s="146"/>
      <c r="I49" s="145" t="s">
        <v>793</v>
      </c>
      <c r="J49" s="146"/>
    </row>
    <row r="50" spans="1:10" x14ac:dyDescent="0.3">
      <c r="A50" s="120" t="s">
        <v>30</v>
      </c>
      <c r="B50" s="121"/>
      <c r="C50" s="136">
        <v>10286</v>
      </c>
      <c r="D50" s="137"/>
      <c r="E50" s="136">
        <v>10240</v>
      </c>
      <c r="F50" s="137"/>
      <c r="G50" s="136">
        <v>10216</v>
      </c>
      <c r="H50" s="137"/>
      <c r="I50" s="136">
        <v>10157</v>
      </c>
      <c r="J50" s="137"/>
    </row>
    <row r="51" spans="1:10" x14ac:dyDescent="0.3">
      <c r="A51" s="120" t="s">
        <v>31</v>
      </c>
      <c r="B51" s="121"/>
      <c r="C51" s="136">
        <v>11271</v>
      </c>
      <c r="D51" s="137"/>
      <c r="E51" s="136">
        <v>11267</v>
      </c>
      <c r="F51" s="137"/>
      <c r="G51" s="136">
        <v>11266</v>
      </c>
      <c r="H51" s="137"/>
      <c r="I51" s="136">
        <v>11270</v>
      </c>
      <c r="J51" s="137"/>
    </row>
    <row r="52" spans="1:10" x14ac:dyDescent="0.3">
      <c r="A52" s="120" t="s">
        <v>32</v>
      </c>
      <c r="B52" s="121"/>
      <c r="C52" s="136">
        <v>110813</v>
      </c>
      <c r="D52" s="137"/>
      <c r="E52" s="136">
        <v>110717</v>
      </c>
      <c r="F52" s="137"/>
      <c r="G52" s="136">
        <v>110647</v>
      </c>
      <c r="H52" s="137"/>
      <c r="I52" s="136">
        <v>110576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49042</v>
      </c>
      <c r="D54" s="137"/>
      <c r="E54" s="136">
        <v>48996</v>
      </c>
      <c r="F54" s="137"/>
      <c r="G54" s="136">
        <v>48974</v>
      </c>
      <c r="H54" s="137"/>
      <c r="I54" s="136">
        <v>48944</v>
      </c>
      <c r="J54" s="137"/>
    </row>
    <row r="55" spans="1:10" x14ac:dyDescent="0.3">
      <c r="A55" s="120" t="s">
        <v>53</v>
      </c>
      <c r="B55" s="121"/>
      <c r="C55" s="138">
        <v>5433</v>
      </c>
      <c r="D55" s="139"/>
      <c r="E55" s="138">
        <v>5495</v>
      </c>
      <c r="F55" s="139"/>
      <c r="G55" s="138">
        <v>5543</v>
      </c>
      <c r="H55" s="139"/>
      <c r="I55" s="138">
        <v>5567</v>
      </c>
      <c r="J55" s="139"/>
    </row>
    <row r="56" spans="1:10" x14ac:dyDescent="0.3">
      <c r="A56" s="120" t="s">
        <v>49</v>
      </c>
      <c r="B56" s="121"/>
      <c r="C56" s="136">
        <v>23107</v>
      </c>
      <c r="D56" s="137"/>
      <c r="E56" s="136">
        <v>23261</v>
      </c>
      <c r="F56" s="137"/>
      <c r="G56" s="136">
        <v>23447</v>
      </c>
      <c r="H56" s="137"/>
      <c r="I56" s="136">
        <v>23601</v>
      </c>
      <c r="J56" s="137"/>
    </row>
    <row r="57" spans="1:10" x14ac:dyDescent="0.3">
      <c r="A57" s="120" t="s">
        <v>35</v>
      </c>
      <c r="B57" s="121"/>
      <c r="C57" s="138">
        <v>3878</v>
      </c>
      <c r="D57" s="139"/>
      <c r="E57" s="138">
        <v>3887</v>
      </c>
      <c r="F57" s="139"/>
      <c r="G57" s="138">
        <v>3893</v>
      </c>
      <c r="H57" s="139"/>
      <c r="I57" s="138">
        <v>3916</v>
      </c>
      <c r="J57" s="139"/>
    </row>
    <row r="58" spans="1:10" x14ac:dyDescent="0.3">
      <c r="A58" s="120" t="s">
        <v>36</v>
      </c>
      <c r="B58" s="121"/>
      <c r="C58" s="122">
        <f>SUM(C50:D57)</f>
        <v>214066</v>
      </c>
      <c r="D58" s="123"/>
      <c r="E58" s="122">
        <f>SUM(E50:F57)</f>
        <v>214099</v>
      </c>
      <c r="F58" s="123"/>
      <c r="G58" s="122">
        <f>SUM(G50:H57)</f>
        <v>214222</v>
      </c>
      <c r="H58" s="123"/>
      <c r="I58" s="122">
        <f>SUM(I50:J57)</f>
        <v>214267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777</v>
      </c>
      <c r="D60" s="131"/>
      <c r="E60" s="130" t="s">
        <v>782</v>
      </c>
      <c r="F60" s="131"/>
      <c r="G60" s="130" t="s">
        <v>787</v>
      </c>
      <c r="H60" s="131"/>
      <c r="I60" s="130" t="s">
        <v>793</v>
      </c>
      <c r="J60" s="131"/>
    </row>
    <row r="61" spans="1:10" x14ac:dyDescent="0.3">
      <c r="A61" s="126"/>
      <c r="B61" s="127"/>
      <c r="C61" s="132">
        <v>140669</v>
      </c>
      <c r="D61" s="133"/>
      <c r="E61" s="132">
        <v>140700</v>
      </c>
      <c r="F61" s="133"/>
      <c r="G61" s="132">
        <v>140809</v>
      </c>
      <c r="H61" s="133"/>
      <c r="I61" s="132">
        <v>140887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702</v>
      </c>
      <c r="D66" s="115"/>
      <c r="E66" s="114" t="s">
        <v>718</v>
      </c>
      <c r="F66" s="115"/>
      <c r="G66" s="114" t="s">
        <v>760</v>
      </c>
      <c r="H66" s="115"/>
      <c r="I66" s="114" t="s">
        <v>776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32193</v>
      </c>
      <c r="D69" s="104"/>
      <c r="E69" s="103">
        <v>32418</v>
      </c>
      <c r="F69" s="104"/>
      <c r="G69" s="103">
        <v>33056</v>
      </c>
      <c r="H69" s="104"/>
      <c r="I69" s="103">
        <v>32925</v>
      </c>
      <c r="J69" s="104"/>
    </row>
    <row r="70" spans="1:10" x14ac:dyDescent="0.3">
      <c r="A70" s="101" t="s">
        <v>13</v>
      </c>
      <c r="B70" s="102"/>
      <c r="C70" s="103">
        <v>7323</v>
      </c>
      <c r="D70" s="104"/>
      <c r="E70" s="103">
        <v>7352</v>
      </c>
      <c r="F70" s="104"/>
      <c r="G70" s="103">
        <v>7380</v>
      </c>
      <c r="H70" s="104"/>
      <c r="I70" s="103">
        <v>7455</v>
      </c>
      <c r="J70" s="104"/>
    </row>
    <row r="71" spans="1:10" x14ac:dyDescent="0.3">
      <c r="A71" s="107" t="s">
        <v>14</v>
      </c>
      <c r="B71" s="108"/>
      <c r="C71" s="103">
        <v>6486</v>
      </c>
      <c r="D71" s="104"/>
      <c r="E71" s="103">
        <v>6558</v>
      </c>
      <c r="F71" s="104"/>
      <c r="G71" s="103">
        <v>6610</v>
      </c>
      <c r="H71" s="104"/>
      <c r="I71" s="103">
        <v>6681</v>
      </c>
      <c r="J71" s="104"/>
    </row>
    <row r="72" spans="1:10" x14ac:dyDescent="0.3">
      <c r="A72" s="107" t="s">
        <v>41</v>
      </c>
      <c r="B72" s="108"/>
      <c r="C72" s="103">
        <v>1587</v>
      </c>
      <c r="D72" s="104"/>
      <c r="E72" s="103">
        <v>1621</v>
      </c>
      <c r="F72" s="104"/>
      <c r="G72" s="103">
        <v>1653</v>
      </c>
      <c r="H72" s="104"/>
      <c r="I72" s="103">
        <v>1688</v>
      </c>
      <c r="J72" s="104"/>
    </row>
    <row r="73" spans="1:10" x14ac:dyDescent="0.3">
      <c r="A73" s="101" t="s">
        <v>15</v>
      </c>
      <c r="B73" s="102"/>
      <c r="C73" s="103">
        <v>5035</v>
      </c>
      <c r="D73" s="104"/>
      <c r="E73" s="103">
        <v>5117</v>
      </c>
      <c r="F73" s="104"/>
      <c r="G73" s="103">
        <v>5163</v>
      </c>
      <c r="H73" s="104"/>
      <c r="I73" s="103">
        <v>5228</v>
      </c>
      <c r="J73" s="104"/>
    </row>
    <row r="74" spans="1:10" x14ac:dyDescent="0.3">
      <c r="A74" s="107" t="s">
        <v>16</v>
      </c>
      <c r="B74" s="108"/>
      <c r="C74" s="103">
        <v>5051</v>
      </c>
      <c r="D74" s="104"/>
      <c r="E74" s="103">
        <v>5068</v>
      </c>
      <c r="F74" s="104"/>
      <c r="G74" s="103">
        <v>5103</v>
      </c>
      <c r="H74" s="104"/>
      <c r="I74" s="103">
        <v>5115</v>
      </c>
      <c r="J74" s="104"/>
    </row>
    <row r="75" spans="1:10" x14ac:dyDescent="0.3">
      <c r="A75" s="101" t="s">
        <v>17</v>
      </c>
      <c r="B75" s="102"/>
      <c r="C75" s="103">
        <v>8141</v>
      </c>
      <c r="D75" s="104"/>
      <c r="E75" s="103">
        <v>8163</v>
      </c>
      <c r="F75" s="104"/>
      <c r="G75" s="103">
        <v>8230</v>
      </c>
      <c r="H75" s="104"/>
      <c r="I75" s="103">
        <v>8315</v>
      </c>
      <c r="J75" s="104"/>
    </row>
    <row r="76" spans="1:10" x14ac:dyDescent="0.3">
      <c r="A76" s="107" t="s">
        <v>18</v>
      </c>
      <c r="B76" s="108"/>
      <c r="C76" s="103">
        <v>1666</v>
      </c>
      <c r="D76" s="104"/>
      <c r="E76" s="103">
        <v>1679</v>
      </c>
      <c r="F76" s="104"/>
      <c r="G76" s="103">
        <v>1683</v>
      </c>
      <c r="H76" s="104"/>
      <c r="I76" s="103">
        <v>1686</v>
      </c>
      <c r="J76" s="104"/>
    </row>
    <row r="77" spans="1:10" x14ac:dyDescent="0.3">
      <c r="A77" s="101" t="s">
        <v>19</v>
      </c>
      <c r="B77" s="102"/>
      <c r="C77" s="103">
        <v>6245</v>
      </c>
      <c r="D77" s="104"/>
      <c r="E77" s="103">
        <v>6309</v>
      </c>
      <c r="F77" s="104"/>
      <c r="G77" s="103">
        <v>6449</v>
      </c>
      <c r="H77" s="104"/>
      <c r="I77" s="103">
        <v>6545</v>
      </c>
      <c r="J77" s="104"/>
    </row>
    <row r="78" spans="1:10" x14ac:dyDescent="0.3">
      <c r="A78" s="105" t="s">
        <v>42</v>
      </c>
      <c r="B78" s="106"/>
      <c r="C78" s="103">
        <f>SUM(C69:C77)</f>
        <v>73727</v>
      </c>
      <c r="D78" s="104"/>
      <c r="E78" s="103">
        <f>SUM(E69:E77)</f>
        <v>74285</v>
      </c>
      <c r="F78" s="104"/>
      <c r="G78" s="103">
        <f>SUM(G69:G77)</f>
        <v>75327</v>
      </c>
      <c r="H78" s="104"/>
      <c r="I78" s="103">
        <f>SUM(I69:I77)</f>
        <v>75638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Q78"/>
  <sheetViews>
    <sheetView workbookViewId="0">
      <selection activeCell="R22" sqref="R22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797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1966</v>
      </c>
      <c r="D5" s="215"/>
      <c r="E5" s="215">
        <v>10</v>
      </c>
      <c r="F5" s="215"/>
      <c r="G5" s="215">
        <v>306</v>
      </c>
      <c r="H5" s="215"/>
      <c r="I5" s="213">
        <v>742</v>
      </c>
      <c r="J5" s="214"/>
      <c r="K5" s="216">
        <v>34</v>
      </c>
      <c r="L5" s="217"/>
      <c r="M5" s="56">
        <v>1810</v>
      </c>
      <c r="N5" s="53">
        <v>650</v>
      </c>
      <c r="O5" s="88">
        <v>27510</v>
      </c>
      <c r="P5" s="53">
        <v>17837</v>
      </c>
      <c r="Q5" s="89">
        <v>16146</v>
      </c>
    </row>
    <row r="6" spans="1:17" x14ac:dyDescent="0.3">
      <c r="A6" s="211" t="s">
        <v>11</v>
      </c>
      <c r="B6" s="212"/>
      <c r="C6" s="213">
        <v>270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383</v>
      </c>
      <c r="D7" s="210"/>
      <c r="E7" s="210">
        <v>79</v>
      </c>
      <c r="F7" s="210"/>
      <c r="G7" s="210">
        <v>290</v>
      </c>
      <c r="H7" s="210"/>
      <c r="I7" s="149">
        <v>393</v>
      </c>
      <c r="J7" s="150"/>
      <c r="K7" s="149">
        <v>210</v>
      </c>
      <c r="L7" s="150"/>
      <c r="M7" s="52">
        <v>764</v>
      </c>
      <c r="N7" s="52">
        <v>21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352</v>
      </c>
      <c r="D8" s="210"/>
      <c r="E8" s="210">
        <v>0</v>
      </c>
      <c r="F8" s="210"/>
      <c r="G8" s="210">
        <v>2</v>
      </c>
      <c r="H8" s="210"/>
      <c r="I8" s="149">
        <v>224</v>
      </c>
      <c r="J8" s="150"/>
      <c r="K8" s="149">
        <v>0</v>
      </c>
      <c r="L8" s="150"/>
      <c r="M8" s="52">
        <v>626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203</v>
      </c>
      <c r="D9" s="210"/>
      <c r="E9" s="210">
        <v>33</v>
      </c>
      <c r="F9" s="210"/>
      <c r="G9" s="210">
        <v>21</v>
      </c>
      <c r="H9" s="210"/>
      <c r="I9" s="149">
        <v>339</v>
      </c>
      <c r="J9" s="150"/>
      <c r="K9" s="149">
        <v>29</v>
      </c>
      <c r="L9" s="150"/>
      <c r="M9" s="52">
        <v>664</v>
      </c>
      <c r="N9" s="52">
        <v>19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230</v>
      </c>
      <c r="D10" s="210"/>
      <c r="E10" s="210">
        <v>13</v>
      </c>
      <c r="F10" s="210"/>
      <c r="G10" s="210">
        <v>7</v>
      </c>
      <c r="H10" s="210"/>
      <c r="I10" s="149">
        <v>445</v>
      </c>
      <c r="J10" s="150"/>
      <c r="K10" s="149">
        <v>120</v>
      </c>
      <c r="L10" s="150"/>
      <c r="M10" s="52">
        <v>835</v>
      </c>
      <c r="N10" s="52">
        <v>446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225</v>
      </c>
      <c r="D11" s="209"/>
      <c r="E11" s="210">
        <v>15</v>
      </c>
      <c r="F11" s="210"/>
      <c r="G11" s="210">
        <v>8</v>
      </c>
      <c r="H11" s="210"/>
      <c r="I11" s="149">
        <v>282</v>
      </c>
      <c r="J11" s="150"/>
      <c r="K11" s="149">
        <v>101</v>
      </c>
      <c r="L11" s="150"/>
      <c r="M11" s="52">
        <v>325</v>
      </c>
      <c r="N11" s="52">
        <v>528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45</v>
      </c>
      <c r="D12" s="209"/>
      <c r="E12" s="210">
        <v>2</v>
      </c>
      <c r="F12" s="210"/>
      <c r="G12" s="210">
        <v>1</v>
      </c>
      <c r="H12" s="210"/>
      <c r="I12" s="149">
        <v>305</v>
      </c>
      <c r="J12" s="150"/>
      <c r="K12" s="149">
        <v>16</v>
      </c>
      <c r="L12" s="150"/>
      <c r="M12" s="52">
        <v>361</v>
      </c>
      <c r="N12" s="52">
        <v>56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118</v>
      </c>
      <c r="D13" s="150"/>
      <c r="E13" s="149">
        <v>7</v>
      </c>
      <c r="F13" s="150"/>
      <c r="G13" s="149">
        <v>1</v>
      </c>
      <c r="H13" s="150"/>
      <c r="I13" s="149">
        <v>230</v>
      </c>
      <c r="J13" s="150"/>
      <c r="K13" s="149">
        <v>34</v>
      </c>
      <c r="L13" s="150"/>
      <c r="M13" s="52">
        <v>227</v>
      </c>
      <c r="N13" s="52">
        <v>28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193</v>
      </c>
      <c r="D14" s="206"/>
      <c r="E14" s="205">
        <v>4</v>
      </c>
      <c r="F14" s="206"/>
      <c r="G14" s="205">
        <v>16</v>
      </c>
      <c r="H14" s="206"/>
      <c r="I14" s="149">
        <v>431</v>
      </c>
      <c r="J14" s="150"/>
      <c r="K14" s="205">
        <v>9</v>
      </c>
      <c r="L14" s="206"/>
      <c r="M14" s="59">
        <v>670</v>
      </c>
      <c r="N14" s="59">
        <v>18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984</v>
      </c>
      <c r="P15" s="59">
        <v>3413</v>
      </c>
      <c r="Q15" s="91">
        <v>3359</v>
      </c>
    </row>
    <row r="16" spans="1:17" ht="15" thickBot="1" x14ac:dyDescent="0.35">
      <c r="A16" s="199" t="s">
        <v>20</v>
      </c>
      <c r="B16" s="200"/>
      <c r="C16" s="201">
        <f>SUM(C5:D15)</f>
        <v>3985</v>
      </c>
      <c r="D16" s="202"/>
      <c r="E16" s="201">
        <f>SUM(E5:F15)</f>
        <v>163</v>
      </c>
      <c r="F16" s="202"/>
      <c r="G16" s="201">
        <f>SUM(G5:H15)</f>
        <v>652</v>
      </c>
      <c r="H16" s="202"/>
      <c r="I16" s="201">
        <f>SUM(I5:J15)</f>
        <v>3391</v>
      </c>
      <c r="J16" s="202"/>
      <c r="K16" s="201">
        <f>SUM(K5:L15)</f>
        <v>553</v>
      </c>
      <c r="L16" s="202"/>
      <c r="M16" s="4">
        <f>SUM(M5:M15)</f>
        <v>6282</v>
      </c>
      <c r="N16" s="4">
        <f>SUM(N5:N15)</f>
        <v>1781</v>
      </c>
      <c r="O16" s="4">
        <f>SUM(O5:O15)</f>
        <v>28576</v>
      </c>
      <c r="P16" s="4">
        <f>SUM(P5:P15)</f>
        <v>21285</v>
      </c>
      <c r="Q16" s="5">
        <f>SUM(Q5:Q15)</f>
        <v>19513</v>
      </c>
    </row>
    <row r="17" spans="1:17" ht="15" thickBot="1" x14ac:dyDescent="0.35">
      <c r="A17" s="190" t="s">
        <v>21</v>
      </c>
      <c r="B17" s="191"/>
      <c r="C17" s="192">
        <v>1966</v>
      </c>
      <c r="D17" s="192"/>
      <c r="E17" s="193">
        <v>10</v>
      </c>
      <c r="F17" s="194"/>
      <c r="G17" s="195">
        <v>306</v>
      </c>
      <c r="H17" s="196"/>
      <c r="I17" s="195">
        <v>742</v>
      </c>
      <c r="J17" s="196"/>
      <c r="K17" s="197">
        <v>34</v>
      </c>
      <c r="L17" s="198"/>
      <c r="M17" s="36">
        <v>1810</v>
      </c>
      <c r="N17" s="30">
        <v>650</v>
      </c>
      <c r="O17" s="86">
        <v>27510</v>
      </c>
      <c r="P17" s="37">
        <v>17837</v>
      </c>
      <c r="Q17" s="87">
        <v>16146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797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55</v>
      </c>
      <c r="D24" s="162"/>
      <c r="E24" s="185" t="s">
        <v>644</v>
      </c>
      <c r="F24" s="186"/>
      <c r="G24" s="161">
        <v>0</v>
      </c>
      <c r="H24" s="162"/>
      <c r="I24" s="161">
        <v>37</v>
      </c>
      <c r="J24" s="162"/>
      <c r="K24" s="70">
        <v>0</v>
      </c>
      <c r="L24" s="78">
        <v>26</v>
      </c>
      <c r="M24" s="78">
        <v>9</v>
      </c>
    </row>
    <row r="25" spans="1:17" x14ac:dyDescent="0.3">
      <c r="A25" s="101" t="s">
        <v>13</v>
      </c>
      <c r="B25" s="102"/>
      <c r="C25" s="149">
        <v>21</v>
      </c>
      <c r="D25" s="150"/>
      <c r="E25" s="165" t="s">
        <v>25</v>
      </c>
      <c r="F25" s="166"/>
      <c r="G25" s="149">
        <v>0</v>
      </c>
      <c r="H25" s="150"/>
      <c r="I25" s="149">
        <v>147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124</v>
      </c>
      <c r="D26" s="150"/>
      <c r="E26" s="165" t="s">
        <v>604</v>
      </c>
      <c r="F26" s="166"/>
      <c r="G26" s="149">
        <v>36</v>
      </c>
      <c r="H26" s="150"/>
      <c r="I26" s="149">
        <v>72</v>
      </c>
      <c r="J26" s="150"/>
      <c r="K26" s="52">
        <v>19</v>
      </c>
      <c r="L26" s="79">
        <v>20</v>
      </c>
      <c r="M26" s="79">
        <v>3</v>
      </c>
    </row>
    <row r="27" spans="1:17" x14ac:dyDescent="0.3">
      <c r="A27" s="101" t="s">
        <v>15</v>
      </c>
      <c r="B27" s="102"/>
      <c r="C27" s="165" t="s">
        <v>775</v>
      </c>
      <c r="D27" s="166"/>
      <c r="E27" s="165" t="s">
        <v>25</v>
      </c>
      <c r="F27" s="166"/>
      <c r="G27" s="149">
        <v>0</v>
      </c>
      <c r="H27" s="150"/>
      <c r="I27" s="149">
        <v>25</v>
      </c>
      <c r="J27" s="150"/>
      <c r="K27" s="52">
        <v>4</v>
      </c>
      <c r="L27" s="81">
        <v>8</v>
      </c>
      <c r="M27" s="79">
        <v>1</v>
      </c>
    </row>
    <row r="28" spans="1:17" x14ac:dyDescent="0.3">
      <c r="A28" s="101" t="s">
        <v>16</v>
      </c>
      <c r="B28" s="102"/>
      <c r="C28" s="183" t="s">
        <v>794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12</v>
      </c>
      <c r="D29" s="153"/>
      <c r="E29" s="165" t="s">
        <v>201</v>
      </c>
      <c r="F29" s="166"/>
      <c r="G29" s="149">
        <v>0</v>
      </c>
      <c r="H29" s="150"/>
      <c r="I29" s="149">
        <v>8</v>
      </c>
      <c r="J29" s="150"/>
      <c r="K29" s="52">
        <v>0</v>
      </c>
      <c r="L29" s="79">
        <v>8</v>
      </c>
      <c r="M29" s="79">
        <v>0</v>
      </c>
    </row>
    <row r="30" spans="1:17" x14ac:dyDescent="0.3">
      <c r="A30" s="101" t="s">
        <v>18</v>
      </c>
      <c r="B30" s="102"/>
      <c r="C30" s="183" t="s">
        <v>794</v>
      </c>
      <c r="D30" s="184"/>
      <c r="E30" s="165" t="s">
        <v>25</v>
      </c>
      <c r="F30" s="166"/>
      <c r="G30" s="149">
        <v>0</v>
      </c>
      <c r="H30" s="150"/>
      <c r="I30" s="149">
        <v>7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797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789</v>
      </c>
      <c r="D37" s="162"/>
      <c r="E37" s="163" t="s">
        <v>790</v>
      </c>
      <c r="F37" s="164"/>
      <c r="G37" s="161">
        <v>0</v>
      </c>
      <c r="H37" s="162"/>
      <c r="I37" s="161" t="s">
        <v>517</v>
      </c>
      <c r="J37" s="162"/>
      <c r="K37" s="70">
        <v>0</v>
      </c>
      <c r="L37" s="78">
        <v>48</v>
      </c>
      <c r="M37" s="78">
        <v>13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798</v>
      </c>
      <c r="F38" s="155"/>
      <c r="G38" s="149" t="s">
        <v>750</v>
      </c>
      <c r="H38" s="150"/>
      <c r="I38" s="149">
        <v>0</v>
      </c>
      <c r="J38" s="150"/>
      <c r="K38" s="52">
        <v>0</v>
      </c>
      <c r="L38" s="79">
        <v>4</v>
      </c>
      <c r="M38" s="79">
        <v>2</v>
      </c>
    </row>
    <row r="39" spans="1:13" x14ac:dyDescent="0.3">
      <c r="A39" s="147" t="s">
        <v>14</v>
      </c>
      <c r="B39" s="148"/>
      <c r="C39" s="149" t="s">
        <v>631</v>
      </c>
      <c r="D39" s="150"/>
      <c r="E39" s="154" t="s">
        <v>685</v>
      </c>
      <c r="F39" s="155"/>
      <c r="G39" s="149" t="s">
        <v>784</v>
      </c>
      <c r="H39" s="150"/>
      <c r="I39" s="149" t="s">
        <v>795</v>
      </c>
      <c r="J39" s="150"/>
      <c r="K39" s="52" t="s">
        <v>437</v>
      </c>
      <c r="L39" s="79">
        <v>16</v>
      </c>
      <c r="M39" s="79">
        <v>1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602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235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558</v>
      </c>
      <c r="D43" s="153"/>
      <c r="E43" s="149" t="s">
        <v>799</v>
      </c>
      <c r="F43" s="150"/>
      <c r="G43" s="149">
        <v>0</v>
      </c>
      <c r="H43" s="150"/>
      <c r="I43" s="149" t="s">
        <v>517</v>
      </c>
      <c r="J43" s="150"/>
      <c r="K43" s="52">
        <v>0</v>
      </c>
      <c r="L43" s="79">
        <v>3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782</v>
      </c>
      <c r="D49" s="146"/>
      <c r="E49" s="145" t="s">
        <v>787</v>
      </c>
      <c r="F49" s="146"/>
      <c r="G49" s="145" t="s">
        <v>793</v>
      </c>
      <c r="H49" s="146"/>
      <c r="I49" s="145" t="s">
        <v>797</v>
      </c>
      <c r="J49" s="146"/>
    </row>
    <row r="50" spans="1:10" x14ac:dyDescent="0.3">
      <c r="A50" s="120" t="s">
        <v>30</v>
      </c>
      <c r="B50" s="121"/>
      <c r="C50" s="136">
        <v>10240</v>
      </c>
      <c r="D50" s="137"/>
      <c r="E50" s="136">
        <v>10216</v>
      </c>
      <c r="F50" s="137"/>
      <c r="G50" s="136">
        <v>10157</v>
      </c>
      <c r="H50" s="137"/>
      <c r="I50" s="136">
        <v>10116</v>
      </c>
      <c r="J50" s="137"/>
    </row>
    <row r="51" spans="1:10" x14ac:dyDescent="0.3">
      <c r="A51" s="120" t="s">
        <v>31</v>
      </c>
      <c r="B51" s="121"/>
      <c r="C51" s="136">
        <v>11267</v>
      </c>
      <c r="D51" s="137"/>
      <c r="E51" s="136">
        <v>11266</v>
      </c>
      <c r="F51" s="137"/>
      <c r="G51" s="136">
        <v>11270</v>
      </c>
      <c r="H51" s="137"/>
      <c r="I51" s="136">
        <v>11273</v>
      </c>
      <c r="J51" s="137"/>
    </row>
    <row r="52" spans="1:10" x14ac:dyDescent="0.3">
      <c r="A52" s="120" t="s">
        <v>32</v>
      </c>
      <c r="B52" s="121"/>
      <c r="C52" s="136">
        <v>110717</v>
      </c>
      <c r="D52" s="137"/>
      <c r="E52" s="136">
        <v>110647</v>
      </c>
      <c r="F52" s="137"/>
      <c r="G52" s="136">
        <v>110576</v>
      </c>
      <c r="H52" s="137"/>
      <c r="I52" s="136">
        <v>110481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48996</v>
      </c>
      <c r="D54" s="137"/>
      <c r="E54" s="136">
        <v>48974</v>
      </c>
      <c r="F54" s="137"/>
      <c r="G54" s="136">
        <v>48944</v>
      </c>
      <c r="H54" s="137"/>
      <c r="I54" s="136">
        <v>48909</v>
      </c>
      <c r="J54" s="137"/>
    </row>
    <row r="55" spans="1:10" x14ac:dyDescent="0.3">
      <c r="A55" s="120" t="s">
        <v>53</v>
      </c>
      <c r="B55" s="121"/>
      <c r="C55" s="138">
        <v>5495</v>
      </c>
      <c r="D55" s="139"/>
      <c r="E55" s="138">
        <v>5543</v>
      </c>
      <c r="F55" s="139"/>
      <c r="G55" s="138">
        <v>5567</v>
      </c>
      <c r="H55" s="139"/>
      <c r="I55" s="138">
        <v>5599</v>
      </c>
      <c r="J55" s="139"/>
    </row>
    <row r="56" spans="1:10" x14ac:dyDescent="0.3">
      <c r="A56" s="120" t="s">
        <v>49</v>
      </c>
      <c r="B56" s="121"/>
      <c r="C56" s="136">
        <v>23261</v>
      </c>
      <c r="D56" s="137"/>
      <c r="E56" s="136">
        <v>23447</v>
      </c>
      <c r="F56" s="137"/>
      <c r="G56" s="136">
        <v>23601</v>
      </c>
      <c r="H56" s="137"/>
      <c r="I56" s="136">
        <v>23810</v>
      </c>
      <c r="J56" s="137"/>
    </row>
    <row r="57" spans="1:10" x14ac:dyDescent="0.3">
      <c r="A57" s="120" t="s">
        <v>35</v>
      </c>
      <c r="B57" s="121"/>
      <c r="C57" s="138">
        <v>3887</v>
      </c>
      <c r="D57" s="139"/>
      <c r="E57" s="138">
        <v>3893</v>
      </c>
      <c r="F57" s="139"/>
      <c r="G57" s="138">
        <v>3916</v>
      </c>
      <c r="H57" s="139"/>
      <c r="I57" s="138">
        <v>3912</v>
      </c>
      <c r="J57" s="139"/>
    </row>
    <row r="58" spans="1:10" x14ac:dyDescent="0.3">
      <c r="A58" s="120" t="s">
        <v>36</v>
      </c>
      <c r="B58" s="121"/>
      <c r="C58" s="122">
        <f>SUM(C50:D57)</f>
        <v>214099</v>
      </c>
      <c r="D58" s="123"/>
      <c r="E58" s="122">
        <f>SUM(E50:F57)</f>
        <v>214222</v>
      </c>
      <c r="F58" s="123"/>
      <c r="G58" s="122">
        <f>SUM(G50:H57)</f>
        <v>214267</v>
      </c>
      <c r="H58" s="123"/>
      <c r="I58" s="122">
        <f>SUM(I50:J57)</f>
        <v>214336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782</v>
      </c>
      <c r="D60" s="131"/>
      <c r="E60" s="130" t="s">
        <v>787</v>
      </c>
      <c r="F60" s="131"/>
      <c r="G60" s="130" t="s">
        <v>793</v>
      </c>
      <c r="H60" s="131"/>
      <c r="I60" s="130" t="s">
        <v>797</v>
      </c>
      <c r="J60" s="131"/>
    </row>
    <row r="61" spans="1:10" x14ac:dyDescent="0.3">
      <c r="A61" s="126"/>
      <c r="B61" s="127"/>
      <c r="C61" s="132">
        <v>140700</v>
      </c>
      <c r="D61" s="133"/>
      <c r="E61" s="132">
        <v>140809</v>
      </c>
      <c r="F61" s="133"/>
      <c r="G61" s="132">
        <v>140887</v>
      </c>
      <c r="H61" s="133"/>
      <c r="I61" s="132">
        <v>141008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702</v>
      </c>
      <c r="D66" s="115"/>
      <c r="E66" s="114" t="s">
        <v>718</v>
      </c>
      <c r="F66" s="115"/>
      <c r="G66" s="114" t="s">
        <v>760</v>
      </c>
      <c r="H66" s="115"/>
      <c r="I66" s="114" t="s">
        <v>776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32193</v>
      </c>
      <c r="D69" s="104"/>
      <c r="E69" s="103">
        <v>32418</v>
      </c>
      <c r="F69" s="104"/>
      <c r="G69" s="103">
        <v>33056</v>
      </c>
      <c r="H69" s="104"/>
      <c r="I69" s="103">
        <v>32925</v>
      </c>
      <c r="J69" s="104"/>
    </row>
    <row r="70" spans="1:10" x14ac:dyDescent="0.3">
      <c r="A70" s="101" t="s">
        <v>13</v>
      </c>
      <c r="B70" s="102"/>
      <c r="C70" s="103">
        <v>7323</v>
      </c>
      <c r="D70" s="104"/>
      <c r="E70" s="103">
        <v>7352</v>
      </c>
      <c r="F70" s="104"/>
      <c r="G70" s="103">
        <v>7380</v>
      </c>
      <c r="H70" s="104"/>
      <c r="I70" s="103">
        <v>7455</v>
      </c>
      <c r="J70" s="104"/>
    </row>
    <row r="71" spans="1:10" x14ac:dyDescent="0.3">
      <c r="A71" s="107" t="s">
        <v>14</v>
      </c>
      <c r="B71" s="108"/>
      <c r="C71" s="103">
        <v>6486</v>
      </c>
      <c r="D71" s="104"/>
      <c r="E71" s="103">
        <v>6558</v>
      </c>
      <c r="F71" s="104"/>
      <c r="G71" s="103">
        <v>6610</v>
      </c>
      <c r="H71" s="104"/>
      <c r="I71" s="103">
        <v>6681</v>
      </c>
      <c r="J71" s="104"/>
    </row>
    <row r="72" spans="1:10" x14ac:dyDescent="0.3">
      <c r="A72" s="107" t="s">
        <v>41</v>
      </c>
      <c r="B72" s="108"/>
      <c r="C72" s="103">
        <v>1587</v>
      </c>
      <c r="D72" s="104"/>
      <c r="E72" s="103">
        <v>1621</v>
      </c>
      <c r="F72" s="104"/>
      <c r="G72" s="103">
        <v>1653</v>
      </c>
      <c r="H72" s="104"/>
      <c r="I72" s="103">
        <v>1688</v>
      </c>
      <c r="J72" s="104"/>
    </row>
    <row r="73" spans="1:10" x14ac:dyDescent="0.3">
      <c r="A73" s="101" t="s">
        <v>15</v>
      </c>
      <c r="B73" s="102"/>
      <c r="C73" s="103">
        <v>5035</v>
      </c>
      <c r="D73" s="104"/>
      <c r="E73" s="103">
        <v>5117</v>
      </c>
      <c r="F73" s="104"/>
      <c r="G73" s="103">
        <v>5163</v>
      </c>
      <c r="H73" s="104"/>
      <c r="I73" s="103">
        <v>5228</v>
      </c>
      <c r="J73" s="104"/>
    </row>
    <row r="74" spans="1:10" x14ac:dyDescent="0.3">
      <c r="A74" s="107" t="s">
        <v>16</v>
      </c>
      <c r="B74" s="108"/>
      <c r="C74" s="103">
        <v>5051</v>
      </c>
      <c r="D74" s="104"/>
      <c r="E74" s="103">
        <v>5068</v>
      </c>
      <c r="F74" s="104"/>
      <c r="G74" s="103">
        <v>5103</v>
      </c>
      <c r="H74" s="104"/>
      <c r="I74" s="103">
        <v>5115</v>
      </c>
      <c r="J74" s="104"/>
    </row>
    <row r="75" spans="1:10" x14ac:dyDescent="0.3">
      <c r="A75" s="101" t="s">
        <v>17</v>
      </c>
      <c r="B75" s="102"/>
      <c r="C75" s="103">
        <v>8141</v>
      </c>
      <c r="D75" s="104"/>
      <c r="E75" s="103">
        <v>8163</v>
      </c>
      <c r="F75" s="104"/>
      <c r="G75" s="103">
        <v>8230</v>
      </c>
      <c r="H75" s="104"/>
      <c r="I75" s="103">
        <v>8315</v>
      </c>
      <c r="J75" s="104"/>
    </row>
    <row r="76" spans="1:10" x14ac:dyDescent="0.3">
      <c r="A76" s="107" t="s">
        <v>18</v>
      </c>
      <c r="B76" s="108"/>
      <c r="C76" s="103">
        <v>1666</v>
      </c>
      <c r="D76" s="104"/>
      <c r="E76" s="103">
        <v>1679</v>
      </c>
      <c r="F76" s="104"/>
      <c r="G76" s="103">
        <v>1683</v>
      </c>
      <c r="H76" s="104"/>
      <c r="I76" s="103">
        <v>1686</v>
      </c>
      <c r="J76" s="104"/>
    </row>
    <row r="77" spans="1:10" x14ac:dyDescent="0.3">
      <c r="A77" s="101" t="s">
        <v>19</v>
      </c>
      <c r="B77" s="102"/>
      <c r="C77" s="103">
        <v>6245</v>
      </c>
      <c r="D77" s="104"/>
      <c r="E77" s="103">
        <v>6309</v>
      </c>
      <c r="F77" s="104"/>
      <c r="G77" s="103">
        <v>6449</v>
      </c>
      <c r="H77" s="104"/>
      <c r="I77" s="103">
        <v>6545</v>
      </c>
      <c r="J77" s="104"/>
    </row>
    <row r="78" spans="1:10" x14ac:dyDescent="0.3">
      <c r="A78" s="105" t="s">
        <v>42</v>
      </c>
      <c r="B78" s="106"/>
      <c r="C78" s="103">
        <f>SUM(C69:C77)</f>
        <v>73727</v>
      </c>
      <c r="D78" s="104"/>
      <c r="E78" s="103">
        <f>SUM(E69:E77)</f>
        <v>74285</v>
      </c>
      <c r="F78" s="104"/>
      <c r="G78" s="103">
        <f>SUM(G69:G77)</f>
        <v>75327</v>
      </c>
      <c r="H78" s="104"/>
      <c r="I78" s="103">
        <f>SUM(I69:I77)</f>
        <v>75638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Q78"/>
  <sheetViews>
    <sheetView topLeftCell="A62" workbookViewId="0">
      <selection activeCell="I60" sqref="I60:J60"/>
    </sheetView>
  </sheetViews>
  <sheetFormatPr defaultRowHeight="14.4" x14ac:dyDescent="0.3"/>
  <cols>
    <col min="2" max="2" width="18" customWidth="1"/>
    <col min="13" max="13" width="10.88671875" customWidth="1"/>
  </cols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30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862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1726</v>
      </c>
      <c r="D5" s="215"/>
      <c r="E5" s="215">
        <v>10</v>
      </c>
      <c r="F5" s="215"/>
      <c r="G5" s="215">
        <v>306</v>
      </c>
      <c r="H5" s="215"/>
      <c r="I5" s="213">
        <v>622</v>
      </c>
      <c r="J5" s="214"/>
      <c r="K5" s="216">
        <v>34</v>
      </c>
      <c r="L5" s="217"/>
      <c r="M5" s="56">
        <v>1810</v>
      </c>
      <c r="N5" s="53">
        <v>630</v>
      </c>
      <c r="O5" s="88">
        <v>24685</v>
      </c>
      <c r="P5" s="53">
        <v>17762</v>
      </c>
      <c r="Q5" s="89">
        <v>16069</v>
      </c>
    </row>
    <row r="6" spans="1:17" x14ac:dyDescent="0.3">
      <c r="A6" s="211" t="s">
        <v>11</v>
      </c>
      <c r="B6" s="212"/>
      <c r="C6" s="213">
        <v>270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601</v>
      </c>
      <c r="D7" s="210"/>
      <c r="E7" s="210">
        <v>77</v>
      </c>
      <c r="F7" s="210"/>
      <c r="G7" s="210">
        <v>290</v>
      </c>
      <c r="H7" s="210"/>
      <c r="I7" s="149">
        <v>485</v>
      </c>
      <c r="J7" s="150"/>
      <c r="K7" s="149">
        <v>186</v>
      </c>
      <c r="L7" s="150"/>
      <c r="M7" s="52">
        <v>723</v>
      </c>
      <c r="N7" s="52">
        <v>36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336</v>
      </c>
      <c r="D8" s="210"/>
      <c r="E8" s="210">
        <v>0</v>
      </c>
      <c r="F8" s="210"/>
      <c r="G8" s="210">
        <v>2</v>
      </c>
      <c r="H8" s="210"/>
      <c r="I8" s="149">
        <v>210</v>
      </c>
      <c r="J8" s="150"/>
      <c r="K8" s="149">
        <v>0</v>
      </c>
      <c r="L8" s="150"/>
      <c r="M8" s="52">
        <v>611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392</v>
      </c>
      <c r="D9" s="210"/>
      <c r="E9" s="210">
        <v>14</v>
      </c>
      <c r="F9" s="210"/>
      <c r="G9" s="210">
        <v>8</v>
      </c>
      <c r="H9" s="210"/>
      <c r="I9" s="149">
        <v>344</v>
      </c>
      <c r="J9" s="150"/>
      <c r="K9" s="149">
        <v>32</v>
      </c>
      <c r="L9" s="150"/>
      <c r="M9" s="52">
        <v>647</v>
      </c>
      <c r="N9" s="52">
        <v>19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209</v>
      </c>
      <c r="D10" s="210"/>
      <c r="E10" s="210">
        <v>13</v>
      </c>
      <c r="F10" s="210"/>
      <c r="G10" s="210">
        <v>7</v>
      </c>
      <c r="H10" s="210"/>
      <c r="I10" s="149">
        <v>406</v>
      </c>
      <c r="J10" s="150"/>
      <c r="K10" s="149">
        <v>120</v>
      </c>
      <c r="L10" s="150"/>
      <c r="M10" s="52">
        <v>815</v>
      </c>
      <c r="N10" s="52">
        <v>438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215</v>
      </c>
      <c r="D11" s="209"/>
      <c r="E11" s="210">
        <v>5</v>
      </c>
      <c r="F11" s="210"/>
      <c r="G11" s="210">
        <v>8</v>
      </c>
      <c r="H11" s="210"/>
      <c r="I11" s="149">
        <v>272</v>
      </c>
      <c r="J11" s="150"/>
      <c r="K11" s="149">
        <v>96</v>
      </c>
      <c r="L11" s="150"/>
      <c r="M11" s="52">
        <v>315</v>
      </c>
      <c r="N11" s="52">
        <v>515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37</v>
      </c>
      <c r="D12" s="209"/>
      <c r="E12" s="210">
        <v>1</v>
      </c>
      <c r="F12" s="210"/>
      <c r="G12" s="210">
        <v>0</v>
      </c>
      <c r="H12" s="210"/>
      <c r="I12" s="149">
        <v>267</v>
      </c>
      <c r="J12" s="150"/>
      <c r="K12" s="149">
        <v>14</v>
      </c>
      <c r="L12" s="150"/>
      <c r="M12" s="52">
        <v>331</v>
      </c>
      <c r="N12" s="52">
        <v>54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197</v>
      </c>
      <c r="D13" s="150"/>
      <c r="E13" s="149">
        <v>7</v>
      </c>
      <c r="F13" s="150"/>
      <c r="G13" s="149">
        <v>1</v>
      </c>
      <c r="H13" s="150"/>
      <c r="I13" s="149">
        <v>224</v>
      </c>
      <c r="J13" s="150"/>
      <c r="K13" s="149">
        <v>32</v>
      </c>
      <c r="L13" s="150"/>
      <c r="M13" s="52">
        <v>276</v>
      </c>
      <c r="N13" s="52">
        <v>28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157</v>
      </c>
      <c r="D14" s="206"/>
      <c r="E14" s="205">
        <v>7</v>
      </c>
      <c r="F14" s="206"/>
      <c r="G14" s="205">
        <v>16</v>
      </c>
      <c r="H14" s="206"/>
      <c r="I14" s="149">
        <v>416</v>
      </c>
      <c r="J14" s="150"/>
      <c r="K14" s="205">
        <v>4</v>
      </c>
      <c r="L14" s="206"/>
      <c r="M14" s="59">
        <v>628</v>
      </c>
      <c r="N14" s="59">
        <v>21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3112</v>
      </c>
      <c r="P15" s="59">
        <v>3409</v>
      </c>
      <c r="Q15" s="91">
        <v>3304</v>
      </c>
    </row>
    <row r="16" spans="1:17" ht="15" thickBot="1" x14ac:dyDescent="0.35">
      <c r="A16" s="199" t="s">
        <v>20</v>
      </c>
      <c r="B16" s="200"/>
      <c r="C16" s="201">
        <f>SUM(C5:D15)</f>
        <v>4140</v>
      </c>
      <c r="D16" s="202"/>
      <c r="E16" s="201">
        <f>SUM(E5:F15)</f>
        <v>134</v>
      </c>
      <c r="F16" s="202"/>
      <c r="G16" s="201">
        <f>SUM(G5:H15)</f>
        <v>638</v>
      </c>
      <c r="H16" s="202"/>
      <c r="I16" s="201">
        <f>SUM(I5:J15)</f>
        <v>3246</v>
      </c>
      <c r="J16" s="202"/>
      <c r="K16" s="201">
        <f>SUM(K5:L15)</f>
        <v>518</v>
      </c>
      <c r="L16" s="202"/>
      <c r="M16" s="4">
        <f>SUM(M5:M15)</f>
        <v>6156</v>
      </c>
      <c r="N16" s="4">
        <f>SUM(N5:N15)</f>
        <v>1756</v>
      </c>
      <c r="O16" s="4">
        <f>SUM(O5:O15)</f>
        <v>27879</v>
      </c>
      <c r="P16" s="4">
        <f>SUM(P5:P15)</f>
        <v>21206</v>
      </c>
      <c r="Q16" s="5">
        <f>SUM(Q5:Q15)</f>
        <v>19381</v>
      </c>
    </row>
    <row r="17" spans="1:17" ht="15" thickBot="1" x14ac:dyDescent="0.35">
      <c r="A17" s="190" t="s">
        <v>21</v>
      </c>
      <c r="B17" s="191"/>
      <c r="C17" s="192">
        <v>1596</v>
      </c>
      <c r="D17" s="192"/>
      <c r="E17" s="193">
        <v>10</v>
      </c>
      <c r="F17" s="194"/>
      <c r="G17" s="195">
        <v>306</v>
      </c>
      <c r="H17" s="196"/>
      <c r="I17" s="195">
        <v>514</v>
      </c>
      <c r="J17" s="196"/>
      <c r="K17" s="197">
        <v>34</v>
      </c>
      <c r="L17" s="198"/>
      <c r="M17" s="36">
        <v>1810</v>
      </c>
      <c r="N17" s="30">
        <v>630</v>
      </c>
      <c r="O17" s="86">
        <v>24685</v>
      </c>
      <c r="P17" s="37">
        <v>17762</v>
      </c>
      <c r="Q17" s="87">
        <v>16069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862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33</v>
      </c>
      <c r="D24" s="162"/>
      <c r="E24" s="185" t="s">
        <v>348</v>
      </c>
      <c r="F24" s="186"/>
      <c r="G24" s="161">
        <v>0</v>
      </c>
      <c r="H24" s="162"/>
      <c r="I24" s="161">
        <v>34</v>
      </c>
      <c r="J24" s="162"/>
      <c r="K24" s="70">
        <v>0</v>
      </c>
      <c r="L24" s="78">
        <v>26</v>
      </c>
      <c r="M24" s="78">
        <v>9</v>
      </c>
    </row>
    <row r="25" spans="1:17" x14ac:dyDescent="0.3">
      <c r="A25" s="101" t="s">
        <v>13</v>
      </c>
      <c r="B25" s="102"/>
      <c r="C25" s="149">
        <v>24</v>
      </c>
      <c r="D25" s="150"/>
      <c r="E25" s="165" t="s">
        <v>25</v>
      </c>
      <c r="F25" s="166"/>
      <c r="G25" s="149">
        <v>0</v>
      </c>
      <c r="H25" s="150"/>
      <c r="I25" s="149">
        <v>147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116</v>
      </c>
      <c r="D26" s="150"/>
      <c r="E26" s="165" t="s">
        <v>644</v>
      </c>
      <c r="F26" s="166"/>
      <c r="G26" s="149">
        <v>34</v>
      </c>
      <c r="H26" s="150"/>
      <c r="I26" s="149">
        <v>71</v>
      </c>
      <c r="J26" s="150"/>
      <c r="K26" s="52">
        <v>4</v>
      </c>
      <c r="L26" s="79">
        <v>22</v>
      </c>
      <c r="M26" s="79">
        <v>3</v>
      </c>
    </row>
    <row r="27" spans="1:17" x14ac:dyDescent="0.3">
      <c r="A27" s="101" t="s">
        <v>15</v>
      </c>
      <c r="B27" s="102"/>
      <c r="C27" s="165" t="s">
        <v>802</v>
      </c>
      <c r="D27" s="166"/>
      <c r="E27" s="165" t="s">
        <v>25</v>
      </c>
      <c r="F27" s="166"/>
      <c r="G27" s="149">
        <v>0</v>
      </c>
      <c r="H27" s="150"/>
      <c r="I27" s="149">
        <v>25</v>
      </c>
      <c r="J27" s="150"/>
      <c r="K27" s="52">
        <v>4</v>
      </c>
      <c r="L27" s="81">
        <v>8</v>
      </c>
      <c r="M27" s="79">
        <v>1</v>
      </c>
    </row>
    <row r="28" spans="1:17" x14ac:dyDescent="0.3">
      <c r="A28" s="101" t="s">
        <v>16</v>
      </c>
      <c r="B28" s="102"/>
      <c r="C28" s="183" t="s">
        <v>794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25</v>
      </c>
      <c r="D29" s="153"/>
      <c r="E29" s="165" t="s">
        <v>201</v>
      </c>
      <c r="F29" s="166"/>
      <c r="G29" s="149">
        <v>0</v>
      </c>
      <c r="H29" s="150"/>
      <c r="I29" s="149">
        <v>10</v>
      </c>
      <c r="J29" s="150"/>
      <c r="K29" s="52">
        <v>0</v>
      </c>
      <c r="L29" s="79">
        <v>12</v>
      </c>
      <c r="M29" s="79">
        <v>0</v>
      </c>
    </row>
    <row r="30" spans="1:17" x14ac:dyDescent="0.3">
      <c r="A30" s="101" t="s">
        <v>18</v>
      </c>
      <c r="B30" s="102"/>
      <c r="C30" s="183" t="s">
        <v>783</v>
      </c>
      <c r="D30" s="184"/>
      <c r="E30" s="165" t="s">
        <v>25</v>
      </c>
      <c r="F30" s="166"/>
      <c r="G30" s="149">
        <v>0</v>
      </c>
      <c r="H30" s="150"/>
      <c r="I30" s="149">
        <v>6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862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437</v>
      </c>
      <c r="D37" s="162"/>
      <c r="E37" s="163" t="s">
        <v>69</v>
      </c>
      <c r="F37" s="164"/>
      <c r="G37" s="161">
        <v>0</v>
      </c>
      <c r="H37" s="162"/>
      <c r="I37" s="161" t="s">
        <v>517</v>
      </c>
      <c r="J37" s="162"/>
      <c r="K37" s="70">
        <v>0</v>
      </c>
      <c r="L37" s="78">
        <v>49</v>
      </c>
      <c r="M37" s="78">
        <v>13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804</v>
      </c>
      <c r="F38" s="155"/>
      <c r="G38" s="149" t="s">
        <v>750</v>
      </c>
      <c r="H38" s="150"/>
      <c r="I38" s="149">
        <v>0</v>
      </c>
      <c r="J38" s="150"/>
      <c r="K38" s="52">
        <v>0</v>
      </c>
      <c r="L38" s="79">
        <v>4</v>
      </c>
      <c r="M38" s="79">
        <v>2</v>
      </c>
    </row>
    <row r="39" spans="1:13" x14ac:dyDescent="0.3">
      <c r="A39" s="147" t="s">
        <v>14</v>
      </c>
      <c r="B39" s="148"/>
      <c r="C39" s="149" t="s">
        <v>339</v>
      </c>
      <c r="D39" s="150"/>
      <c r="E39" s="154" t="s">
        <v>679</v>
      </c>
      <c r="F39" s="155"/>
      <c r="G39" s="149" t="s">
        <v>803</v>
      </c>
      <c r="H39" s="150"/>
      <c r="I39" s="149" t="s">
        <v>795</v>
      </c>
      <c r="J39" s="150"/>
      <c r="K39" s="52" t="s">
        <v>437</v>
      </c>
      <c r="L39" s="79">
        <v>16</v>
      </c>
      <c r="M39" s="79">
        <v>1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602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235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805</v>
      </c>
      <c r="D43" s="153"/>
      <c r="E43" s="149" t="s">
        <v>102</v>
      </c>
      <c r="F43" s="150"/>
      <c r="G43" s="149">
        <v>0</v>
      </c>
      <c r="H43" s="150"/>
      <c r="I43" s="149" t="s">
        <v>517</v>
      </c>
      <c r="J43" s="150"/>
      <c r="K43" s="52">
        <v>0</v>
      </c>
      <c r="L43" s="79">
        <v>3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787</v>
      </c>
      <c r="D49" s="146"/>
      <c r="E49" s="145" t="s">
        <v>793</v>
      </c>
      <c r="F49" s="146"/>
      <c r="G49" s="145" t="s">
        <v>797</v>
      </c>
      <c r="H49" s="146"/>
      <c r="I49" s="145" t="s">
        <v>862</v>
      </c>
      <c r="J49" s="146"/>
    </row>
    <row r="50" spans="1:10" x14ac:dyDescent="0.3">
      <c r="A50" s="120" t="s">
        <v>30</v>
      </c>
      <c r="B50" s="121"/>
      <c r="C50" s="136">
        <v>10216</v>
      </c>
      <c r="D50" s="137"/>
      <c r="E50" s="136">
        <v>10157</v>
      </c>
      <c r="F50" s="137"/>
      <c r="G50" s="136">
        <v>10116</v>
      </c>
      <c r="H50" s="137"/>
      <c r="I50" s="136">
        <v>10083</v>
      </c>
      <c r="J50" s="137"/>
    </row>
    <row r="51" spans="1:10" x14ac:dyDescent="0.3">
      <c r="A51" s="120" t="s">
        <v>31</v>
      </c>
      <c r="B51" s="121"/>
      <c r="C51" s="136">
        <v>11266</v>
      </c>
      <c r="D51" s="137"/>
      <c r="E51" s="136">
        <v>11270</v>
      </c>
      <c r="F51" s="137"/>
      <c r="G51" s="136">
        <v>11273</v>
      </c>
      <c r="H51" s="137"/>
      <c r="I51" s="136">
        <v>11252</v>
      </c>
      <c r="J51" s="137"/>
    </row>
    <row r="52" spans="1:10" x14ac:dyDescent="0.3">
      <c r="A52" s="120" t="s">
        <v>32</v>
      </c>
      <c r="B52" s="121"/>
      <c r="C52" s="136">
        <v>110647</v>
      </c>
      <c r="D52" s="137"/>
      <c r="E52" s="136">
        <v>110576</v>
      </c>
      <c r="F52" s="137"/>
      <c r="G52" s="136">
        <v>110481</v>
      </c>
      <c r="H52" s="137"/>
      <c r="I52" s="136">
        <v>110395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48974</v>
      </c>
      <c r="D54" s="137"/>
      <c r="E54" s="136">
        <v>48944</v>
      </c>
      <c r="F54" s="137"/>
      <c r="G54" s="136">
        <v>48909</v>
      </c>
      <c r="H54" s="137"/>
      <c r="I54" s="136">
        <v>48860</v>
      </c>
      <c r="J54" s="137"/>
    </row>
    <row r="55" spans="1:10" x14ac:dyDescent="0.3">
      <c r="A55" s="120" t="s">
        <v>53</v>
      </c>
      <c r="B55" s="121"/>
      <c r="C55" s="138">
        <v>5543</v>
      </c>
      <c r="D55" s="139"/>
      <c r="E55" s="138">
        <v>5567</v>
      </c>
      <c r="F55" s="139"/>
      <c r="G55" s="138">
        <v>5599</v>
      </c>
      <c r="H55" s="139"/>
      <c r="I55" s="138">
        <v>5632</v>
      </c>
      <c r="J55" s="139"/>
    </row>
    <row r="56" spans="1:10" x14ac:dyDescent="0.3">
      <c r="A56" s="120" t="s">
        <v>49</v>
      </c>
      <c r="B56" s="121"/>
      <c r="C56" s="136">
        <v>23447</v>
      </c>
      <c r="D56" s="137"/>
      <c r="E56" s="136">
        <v>23601</v>
      </c>
      <c r="F56" s="137"/>
      <c r="G56" s="136">
        <v>23810</v>
      </c>
      <c r="H56" s="137"/>
      <c r="I56" s="136">
        <v>22271</v>
      </c>
      <c r="J56" s="137"/>
    </row>
    <row r="57" spans="1:10" x14ac:dyDescent="0.3">
      <c r="A57" s="120" t="s">
        <v>35</v>
      </c>
      <c r="B57" s="121"/>
      <c r="C57" s="138">
        <v>3893</v>
      </c>
      <c r="D57" s="139"/>
      <c r="E57" s="138">
        <v>3916</v>
      </c>
      <c r="F57" s="139"/>
      <c r="G57" s="138">
        <v>3912</v>
      </c>
      <c r="H57" s="139"/>
      <c r="I57" s="138">
        <v>3916</v>
      </c>
      <c r="J57" s="139"/>
    </row>
    <row r="58" spans="1:10" x14ac:dyDescent="0.3">
      <c r="A58" s="120" t="s">
        <v>36</v>
      </c>
      <c r="B58" s="121"/>
      <c r="C58" s="122">
        <f>SUM(C50:D57)</f>
        <v>214222</v>
      </c>
      <c r="D58" s="123"/>
      <c r="E58" s="122">
        <f>SUM(E50:F57)</f>
        <v>214267</v>
      </c>
      <c r="F58" s="123"/>
      <c r="G58" s="122">
        <f>SUM(G50:H57)</f>
        <v>214336</v>
      </c>
      <c r="H58" s="123"/>
      <c r="I58" s="122">
        <f>SUM(I50:J57)</f>
        <v>212645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787</v>
      </c>
      <c r="D60" s="131"/>
      <c r="E60" s="130" t="s">
        <v>793</v>
      </c>
      <c r="F60" s="131"/>
      <c r="G60" s="130" t="s">
        <v>797</v>
      </c>
      <c r="H60" s="131"/>
      <c r="I60" s="130" t="s">
        <v>862</v>
      </c>
      <c r="J60" s="131"/>
    </row>
    <row r="61" spans="1:10" x14ac:dyDescent="0.3">
      <c r="A61" s="126"/>
      <c r="B61" s="127"/>
      <c r="C61" s="132">
        <v>140809</v>
      </c>
      <c r="D61" s="133"/>
      <c r="E61" s="132">
        <v>140887</v>
      </c>
      <c r="F61" s="133"/>
      <c r="G61" s="132">
        <v>141008</v>
      </c>
      <c r="H61" s="133"/>
      <c r="I61" s="132">
        <v>141061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718</v>
      </c>
      <c r="D66" s="115"/>
      <c r="E66" s="114" t="s">
        <v>760</v>
      </c>
      <c r="F66" s="115"/>
      <c r="G66" s="114" t="s">
        <v>776</v>
      </c>
      <c r="H66" s="115"/>
      <c r="I66" s="114" t="s">
        <v>801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32418</v>
      </c>
      <c r="D69" s="104"/>
      <c r="E69" s="103">
        <v>33056</v>
      </c>
      <c r="F69" s="104"/>
      <c r="G69" s="103">
        <v>32925</v>
      </c>
      <c r="H69" s="104"/>
      <c r="I69" s="103">
        <v>33221</v>
      </c>
      <c r="J69" s="104"/>
    </row>
    <row r="70" spans="1:10" x14ac:dyDescent="0.3">
      <c r="A70" s="101" t="s">
        <v>13</v>
      </c>
      <c r="B70" s="102"/>
      <c r="C70" s="103">
        <v>7352</v>
      </c>
      <c r="D70" s="104"/>
      <c r="E70" s="103">
        <v>7380</v>
      </c>
      <c r="F70" s="104"/>
      <c r="G70" s="103">
        <v>7455</v>
      </c>
      <c r="H70" s="104"/>
      <c r="I70" s="103">
        <v>7510</v>
      </c>
      <c r="J70" s="104"/>
    </row>
    <row r="71" spans="1:10" x14ac:dyDescent="0.3">
      <c r="A71" s="107" t="s">
        <v>14</v>
      </c>
      <c r="B71" s="108"/>
      <c r="C71" s="103">
        <v>6558</v>
      </c>
      <c r="D71" s="104"/>
      <c r="E71" s="103">
        <v>6610</v>
      </c>
      <c r="F71" s="104"/>
      <c r="G71" s="103">
        <v>6681</v>
      </c>
      <c r="H71" s="104"/>
      <c r="I71" s="103">
        <v>6761</v>
      </c>
      <c r="J71" s="104"/>
    </row>
    <row r="72" spans="1:10" x14ac:dyDescent="0.3">
      <c r="A72" s="107" t="s">
        <v>41</v>
      </c>
      <c r="B72" s="108"/>
      <c r="C72" s="103">
        <v>1621</v>
      </c>
      <c r="D72" s="104"/>
      <c r="E72" s="103">
        <v>1653</v>
      </c>
      <c r="F72" s="104"/>
      <c r="G72" s="103">
        <v>1688</v>
      </c>
      <c r="H72" s="104"/>
      <c r="I72" s="103">
        <v>1705</v>
      </c>
      <c r="J72" s="104"/>
    </row>
    <row r="73" spans="1:10" x14ac:dyDescent="0.3">
      <c r="A73" s="101" t="s">
        <v>15</v>
      </c>
      <c r="B73" s="102"/>
      <c r="C73" s="103">
        <v>5117</v>
      </c>
      <c r="D73" s="104"/>
      <c r="E73" s="103">
        <v>5163</v>
      </c>
      <c r="F73" s="104"/>
      <c r="G73" s="103">
        <v>5228</v>
      </c>
      <c r="H73" s="104"/>
      <c r="I73" s="103">
        <v>5304</v>
      </c>
      <c r="J73" s="104"/>
    </row>
    <row r="74" spans="1:10" x14ac:dyDescent="0.3">
      <c r="A74" s="107" t="s">
        <v>16</v>
      </c>
      <c r="B74" s="108"/>
      <c r="C74" s="103">
        <v>5068</v>
      </c>
      <c r="D74" s="104"/>
      <c r="E74" s="103">
        <v>5103</v>
      </c>
      <c r="F74" s="104"/>
      <c r="G74" s="103">
        <v>5115</v>
      </c>
      <c r="H74" s="104"/>
      <c r="I74" s="103">
        <v>5147</v>
      </c>
      <c r="J74" s="104"/>
    </row>
    <row r="75" spans="1:10" x14ac:dyDescent="0.3">
      <c r="A75" s="101" t="s">
        <v>17</v>
      </c>
      <c r="B75" s="102"/>
      <c r="C75" s="103">
        <v>8163</v>
      </c>
      <c r="D75" s="104"/>
      <c r="E75" s="103">
        <v>8230</v>
      </c>
      <c r="F75" s="104"/>
      <c r="G75" s="103">
        <v>8315</v>
      </c>
      <c r="H75" s="104"/>
      <c r="I75" s="103">
        <v>8392</v>
      </c>
      <c r="J75" s="104"/>
    </row>
    <row r="76" spans="1:10" x14ac:dyDescent="0.3">
      <c r="A76" s="107" t="s">
        <v>18</v>
      </c>
      <c r="B76" s="108"/>
      <c r="C76" s="103">
        <v>1679</v>
      </c>
      <c r="D76" s="104"/>
      <c r="E76" s="103">
        <v>1683</v>
      </c>
      <c r="F76" s="104"/>
      <c r="G76" s="103">
        <v>1686</v>
      </c>
      <c r="H76" s="104"/>
      <c r="I76" s="103">
        <v>1697</v>
      </c>
      <c r="J76" s="104"/>
    </row>
    <row r="77" spans="1:10" x14ac:dyDescent="0.3">
      <c r="A77" s="101" t="s">
        <v>19</v>
      </c>
      <c r="B77" s="102"/>
      <c r="C77" s="103">
        <v>6309</v>
      </c>
      <c r="D77" s="104"/>
      <c r="E77" s="103">
        <v>6449</v>
      </c>
      <c r="F77" s="104"/>
      <c r="G77" s="103">
        <v>6545</v>
      </c>
      <c r="H77" s="104"/>
      <c r="I77" s="103">
        <v>6619</v>
      </c>
      <c r="J77" s="104"/>
    </row>
    <row r="78" spans="1:10" x14ac:dyDescent="0.3">
      <c r="A78" s="105" t="s">
        <v>42</v>
      </c>
      <c r="B78" s="106"/>
      <c r="C78" s="103">
        <f>SUM(C69:C77)</f>
        <v>74285</v>
      </c>
      <c r="D78" s="104"/>
      <c r="E78" s="103">
        <f>SUM(E69:E77)</f>
        <v>75327</v>
      </c>
      <c r="F78" s="104"/>
      <c r="G78" s="103">
        <f>SUM(G69:G77)</f>
        <v>75638</v>
      </c>
      <c r="H78" s="104"/>
      <c r="I78" s="103">
        <f>SUM(I69:I77)</f>
        <v>76356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R78"/>
  <sheetViews>
    <sheetView workbookViewId="0">
      <selection activeCell="A64" sqref="A64:J78"/>
    </sheetView>
  </sheetViews>
  <sheetFormatPr defaultRowHeight="14.4" x14ac:dyDescent="0.3"/>
  <cols>
    <col min="2" max="2" width="18" customWidth="1"/>
    <col min="13" max="13" width="10.88671875" customWidth="1"/>
  </cols>
  <sheetData>
    <row r="1" spans="1:18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8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8" ht="30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8" x14ac:dyDescent="0.3">
      <c r="A4" s="105" t="s">
        <v>9</v>
      </c>
      <c r="B4" s="106"/>
      <c r="C4" s="221" t="s">
        <v>806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8" x14ac:dyDescent="0.3">
      <c r="A5" s="211" t="s">
        <v>10</v>
      </c>
      <c r="B5" s="212"/>
      <c r="C5" s="215">
        <v>1246</v>
      </c>
      <c r="D5" s="215"/>
      <c r="E5" s="215">
        <v>10</v>
      </c>
      <c r="F5" s="215"/>
      <c r="G5" s="215">
        <v>306</v>
      </c>
      <c r="H5" s="215"/>
      <c r="I5" s="213">
        <v>514</v>
      </c>
      <c r="J5" s="214"/>
      <c r="K5" s="216">
        <v>34</v>
      </c>
      <c r="L5" s="217"/>
      <c r="M5" s="56">
        <v>1810</v>
      </c>
      <c r="N5" s="53">
        <v>630</v>
      </c>
      <c r="O5" s="88">
        <v>24225</v>
      </c>
      <c r="P5" s="53">
        <v>17502</v>
      </c>
      <c r="Q5" s="89">
        <v>15769</v>
      </c>
      <c r="R5" s="62"/>
    </row>
    <row r="6" spans="1:18" x14ac:dyDescent="0.3">
      <c r="A6" s="211" t="s">
        <v>11</v>
      </c>
      <c r="B6" s="212"/>
      <c r="C6" s="213">
        <v>270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8" x14ac:dyDescent="0.3">
      <c r="A7" s="101" t="s">
        <v>12</v>
      </c>
      <c r="B7" s="102"/>
      <c r="C7" s="210">
        <v>419</v>
      </c>
      <c r="D7" s="210"/>
      <c r="E7" s="210">
        <v>77</v>
      </c>
      <c r="F7" s="210"/>
      <c r="G7" s="210">
        <v>290</v>
      </c>
      <c r="H7" s="210"/>
      <c r="I7" s="149">
        <v>381</v>
      </c>
      <c r="J7" s="150"/>
      <c r="K7" s="149">
        <v>159</v>
      </c>
      <c r="L7" s="150"/>
      <c r="M7" s="52">
        <v>582</v>
      </c>
      <c r="N7" s="52">
        <v>31</v>
      </c>
      <c r="O7" s="52">
        <v>0</v>
      </c>
      <c r="P7" s="52">
        <v>0</v>
      </c>
      <c r="Q7" s="52">
        <v>0</v>
      </c>
    </row>
    <row r="8" spans="1:18" x14ac:dyDescent="0.3">
      <c r="A8" s="101" t="s">
        <v>13</v>
      </c>
      <c r="B8" s="102"/>
      <c r="C8" s="210">
        <v>310</v>
      </c>
      <c r="D8" s="210"/>
      <c r="E8" s="210">
        <v>0</v>
      </c>
      <c r="F8" s="210"/>
      <c r="G8" s="210">
        <v>2</v>
      </c>
      <c r="H8" s="210"/>
      <c r="I8" s="149">
        <v>180</v>
      </c>
      <c r="J8" s="150"/>
      <c r="K8" s="149">
        <v>0</v>
      </c>
      <c r="L8" s="150"/>
      <c r="M8" s="52">
        <v>604</v>
      </c>
      <c r="N8" s="52">
        <v>15</v>
      </c>
      <c r="O8" s="52">
        <v>0</v>
      </c>
      <c r="P8" s="52">
        <v>0</v>
      </c>
      <c r="Q8" s="52">
        <v>2</v>
      </c>
    </row>
    <row r="9" spans="1:18" x14ac:dyDescent="0.3">
      <c r="A9" s="101" t="s">
        <v>14</v>
      </c>
      <c r="B9" s="102"/>
      <c r="C9" s="210">
        <v>390</v>
      </c>
      <c r="D9" s="210"/>
      <c r="E9" s="210">
        <v>13</v>
      </c>
      <c r="F9" s="210"/>
      <c r="G9" s="210">
        <v>7</v>
      </c>
      <c r="H9" s="210"/>
      <c r="I9" s="149">
        <v>270</v>
      </c>
      <c r="J9" s="150"/>
      <c r="K9" s="149">
        <v>30</v>
      </c>
      <c r="L9" s="150"/>
      <c r="M9" s="52">
        <v>567</v>
      </c>
      <c r="N9" s="52">
        <v>18</v>
      </c>
      <c r="O9" s="52">
        <v>0</v>
      </c>
      <c r="P9" s="52">
        <v>5</v>
      </c>
      <c r="Q9" s="52">
        <v>1</v>
      </c>
    </row>
    <row r="10" spans="1:18" x14ac:dyDescent="0.3">
      <c r="A10" s="101" t="s">
        <v>15</v>
      </c>
      <c r="B10" s="102"/>
      <c r="C10" s="210">
        <v>250</v>
      </c>
      <c r="D10" s="210"/>
      <c r="E10" s="210">
        <v>13</v>
      </c>
      <c r="F10" s="210"/>
      <c r="G10" s="210">
        <v>7</v>
      </c>
      <c r="H10" s="210"/>
      <c r="I10" s="149">
        <v>480</v>
      </c>
      <c r="J10" s="150"/>
      <c r="K10" s="149">
        <v>113</v>
      </c>
      <c r="L10" s="150"/>
      <c r="M10" s="52">
        <v>805</v>
      </c>
      <c r="N10" s="52">
        <v>425</v>
      </c>
      <c r="O10" s="52">
        <v>0</v>
      </c>
      <c r="P10" s="52">
        <v>0</v>
      </c>
      <c r="Q10" s="52">
        <v>0</v>
      </c>
    </row>
    <row r="11" spans="1:18" x14ac:dyDescent="0.3">
      <c r="A11" s="101" t="s">
        <v>16</v>
      </c>
      <c r="B11" s="102"/>
      <c r="C11" s="209">
        <v>200</v>
      </c>
      <c r="D11" s="209"/>
      <c r="E11" s="210">
        <v>5</v>
      </c>
      <c r="F11" s="210"/>
      <c r="G11" s="210">
        <v>8</v>
      </c>
      <c r="H11" s="210"/>
      <c r="I11" s="149">
        <v>272</v>
      </c>
      <c r="J11" s="150"/>
      <c r="K11" s="149">
        <v>81</v>
      </c>
      <c r="L11" s="150"/>
      <c r="M11" s="52">
        <v>315</v>
      </c>
      <c r="N11" s="52">
        <v>515</v>
      </c>
      <c r="O11" s="52">
        <v>82</v>
      </c>
      <c r="P11" s="52">
        <v>14</v>
      </c>
      <c r="Q11" s="52">
        <v>0</v>
      </c>
    </row>
    <row r="12" spans="1:18" x14ac:dyDescent="0.3">
      <c r="A12" s="101" t="s">
        <v>17</v>
      </c>
      <c r="B12" s="102"/>
      <c r="C12" s="209">
        <v>90</v>
      </c>
      <c r="D12" s="209"/>
      <c r="E12" s="210">
        <v>0</v>
      </c>
      <c r="F12" s="210"/>
      <c r="G12" s="210">
        <v>0</v>
      </c>
      <c r="H12" s="210"/>
      <c r="I12" s="149">
        <v>237</v>
      </c>
      <c r="J12" s="150"/>
      <c r="K12" s="149">
        <v>11</v>
      </c>
      <c r="L12" s="150"/>
      <c r="M12" s="52">
        <v>306</v>
      </c>
      <c r="N12" s="52">
        <v>53</v>
      </c>
      <c r="O12" s="52">
        <v>0</v>
      </c>
      <c r="P12" s="52">
        <v>16</v>
      </c>
      <c r="Q12" s="52">
        <v>5</v>
      </c>
    </row>
    <row r="13" spans="1:18" x14ac:dyDescent="0.3">
      <c r="A13" s="101" t="s">
        <v>18</v>
      </c>
      <c r="B13" s="102"/>
      <c r="C13" s="149">
        <v>164</v>
      </c>
      <c r="D13" s="150"/>
      <c r="E13" s="149">
        <v>5</v>
      </c>
      <c r="F13" s="150"/>
      <c r="G13" s="149">
        <v>1</v>
      </c>
      <c r="H13" s="150"/>
      <c r="I13" s="149">
        <v>212</v>
      </c>
      <c r="J13" s="150"/>
      <c r="K13" s="149">
        <v>32</v>
      </c>
      <c r="L13" s="150"/>
      <c r="M13" s="52">
        <v>274</v>
      </c>
      <c r="N13" s="52">
        <v>28</v>
      </c>
      <c r="O13" s="52">
        <v>0</v>
      </c>
      <c r="P13" s="52">
        <v>0</v>
      </c>
      <c r="Q13" s="52">
        <v>0</v>
      </c>
    </row>
    <row r="14" spans="1:18" x14ac:dyDescent="0.3">
      <c r="A14" s="207" t="s">
        <v>19</v>
      </c>
      <c r="B14" s="208"/>
      <c r="C14" s="205">
        <v>126</v>
      </c>
      <c r="D14" s="206"/>
      <c r="E14" s="205">
        <v>7</v>
      </c>
      <c r="F14" s="206"/>
      <c r="G14" s="205">
        <v>16</v>
      </c>
      <c r="H14" s="206"/>
      <c r="I14" s="149">
        <v>389</v>
      </c>
      <c r="J14" s="150"/>
      <c r="K14" s="205">
        <v>4</v>
      </c>
      <c r="L14" s="206"/>
      <c r="M14" s="59">
        <v>605</v>
      </c>
      <c r="N14" s="59">
        <v>21</v>
      </c>
      <c r="O14" s="52">
        <v>0</v>
      </c>
      <c r="P14" s="52">
        <v>0</v>
      </c>
      <c r="Q14" s="52">
        <v>0</v>
      </c>
    </row>
    <row r="15" spans="1:18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3847</v>
      </c>
      <c r="P15" s="59">
        <v>3438</v>
      </c>
      <c r="Q15" s="91">
        <v>3350</v>
      </c>
    </row>
    <row r="16" spans="1:18" ht="15" thickBot="1" x14ac:dyDescent="0.35">
      <c r="A16" s="199" t="s">
        <v>20</v>
      </c>
      <c r="B16" s="200"/>
      <c r="C16" s="201">
        <f>SUM(C5:D15)</f>
        <v>3465</v>
      </c>
      <c r="D16" s="202"/>
      <c r="E16" s="201">
        <f>SUM(E5:F15)</f>
        <v>130</v>
      </c>
      <c r="F16" s="202"/>
      <c r="G16" s="201">
        <f>SUM(G5:H15)</f>
        <v>637</v>
      </c>
      <c r="H16" s="202"/>
      <c r="I16" s="201">
        <f>SUM(I5:J15)</f>
        <v>2935</v>
      </c>
      <c r="J16" s="202"/>
      <c r="K16" s="201">
        <f>SUM(K5:L15)</f>
        <v>464</v>
      </c>
      <c r="L16" s="202"/>
      <c r="M16" s="4">
        <f>SUM(M5:M15)</f>
        <v>5868</v>
      </c>
      <c r="N16" s="4">
        <f>SUM(N5:N15)</f>
        <v>1736</v>
      </c>
      <c r="O16" s="4">
        <f>SUM(O5:O15)</f>
        <v>28154</v>
      </c>
      <c r="P16" s="4">
        <f>SUM(P5:P15)</f>
        <v>20975</v>
      </c>
      <c r="Q16" s="5">
        <f>SUM(Q5:Q15)</f>
        <v>19127</v>
      </c>
    </row>
    <row r="17" spans="1:17" ht="15" thickBot="1" x14ac:dyDescent="0.35">
      <c r="A17" s="190" t="s">
        <v>21</v>
      </c>
      <c r="B17" s="191"/>
      <c r="C17" s="192">
        <v>1246</v>
      </c>
      <c r="D17" s="192"/>
      <c r="E17" s="193">
        <v>10</v>
      </c>
      <c r="F17" s="194"/>
      <c r="G17" s="195">
        <v>306</v>
      </c>
      <c r="H17" s="196"/>
      <c r="I17" s="195">
        <v>514</v>
      </c>
      <c r="J17" s="196"/>
      <c r="K17" s="197">
        <v>34</v>
      </c>
      <c r="L17" s="198"/>
      <c r="M17" s="36">
        <v>1810</v>
      </c>
      <c r="N17" s="30">
        <v>630</v>
      </c>
      <c r="O17" s="86">
        <v>24225</v>
      </c>
      <c r="P17" s="37">
        <v>17502</v>
      </c>
      <c r="Q17" s="87">
        <v>15769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806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33</v>
      </c>
      <c r="D24" s="162"/>
      <c r="E24" s="185" t="s">
        <v>348</v>
      </c>
      <c r="F24" s="186"/>
      <c r="G24" s="161">
        <v>0</v>
      </c>
      <c r="H24" s="162"/>
      <c r="I24" s="161">
        <v>34</v>
      </c>
      <c r="J24" s="162"/>
      <c r="K24" s="70">
        <v>0</v>
      </c>
      <c r="L24" s="78">
        <v>26</v>
      </c>
      <c r="M24" s="78">
        <v>9</v>
      </c>
    </row>
    <row r="25" spans="1:17" x14ac:dyDescent="0.3">
      <c r="A25" s="101" t="s">
        <v>13</v>
      </c>
      <c r="B25" s="102"/>
      <c r="C25" s="149">
        <v>26</v>
      </c>
      <c r="D25" s="150"/>
      <c r="E25" s="165" t="s">
        <v>25</v>
      </c>
      <c r="F25" s="166"/>
      <c r="G25" s="149">
        <v>0</v>
      </c>
      <c r="H25" s="150"/>
      <c r="I25" s="149">
        <v>147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165</v>
      </c>
      <c r="D26" s="150"/>
      <c r="E26" s="165" t="s">
        <v>604</v>
      </c>
      <c r="F26" s="166"/>
      <c r="G26" s="149">
        <v>36</v>
      </c>
      <c r="H26" s="150"/>
      <c r="I26" s="149">
        <v>72</v>
      </c>
      <c r="J26" s="150"/>
      <c r="K26" s="52">
        <v>19</v>
      </c>
      <c r="L26" s="79">
        <v>18</v>
      </c>
      <c r="M26" s="79">
        <v>3</v>
      </c>
    </row>
    <row r="27" spans="1:17" x14ac:dyDescent="0.3">
      <c r="A27" s="101" t="s">
        <v>15</v>
      </c>
      <c r="B27" s="102"/>
      <c r="C27" s="165" t="s">
        <v>802</v>
      </c>
      <c r="D27" s="166"/>
      <c r="E27" s="165" t="s">
        <v>25</v>
      </c>
      <c r="F27" s="166"/>
      <c r="G27" s="149">
        <v>0</v>
      </c>
      <c r="H27" s="150"/>
      <c r="I27" s="149">
        <v>25</v>
      </c>
      <c r="J27" s="150"/>
      <c r="K27" s="52">
        <v>4</v>
      </c>
      <c r="L27" s="81">
        <v>25</v>
      </c>
      <c r="M27" s="79">
        <v>1</v>
      </c>
    </row>
    <row r="28" spans="1:17" x14ac:dyDescent="0.3">
      <c r="A28" s="101" t="s">
        <v>16</v>
      </c>
      <c r="B28" s="102"/>
      <c r="C28" s="183" t="s">
        <v>794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51</v>
      </c>
      <c r="D29" s="153"/>
      <c r="E29" s="165" t="s">
        <v>201</v>
      </c>
      <c r="F29" s="166"/>
      <c r="G29" s="149">
        <v>0</v>
      </c>
      <c r="H29" s="150"/>
      <c r="I29" s="149">
        <v>8</v>
      </c>
      <c r="J29" s="150"/>
      <c r="K29" s="52">
        <v>0</v>
      </c>
      <c r="L29" s="79">
        <v>11</v>
      </c>
      <c r="M29" s="79">
        <v>0</v>
      </c>
    </row>
    <row r="30" spans="1:17" x14ac:dyDescent="0.3">
      <c r="A30" s="101" t="s">
        <v>18</v>
      </c>
      <c r="B30" s="102"/>
      <c r="C30" s="183" t="s">
        <v>743</v>
      </c>
      <c r="D30" s="184"/>
      <c r="E30" s="165" t="s">
        <v>25</v>
      </c>
      <c r="F30" s="166"/>
      <c r="G30" s="149">
        <v>0</v>
      </c>
      <c r="H30" s="150"/>
      <c r="I30" s="149">
        <v>7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806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437</v>
      </c>
      <c r="D37" s="162"/>
      <c r="E37" s="163" t="s">
        <v>69</v>
      </c>
      <c r="F37" s="164"/>
      <c r="G37" s="161">
        <v>0</v>
      </c>
      <c r="H37" s="162"/>
      <c r="I37" s="161" t="s">
        <v>517</v>
      </c>
      <c r="J37" s="162"/>
      <c r="K37" s="70">
        <v>0</v>
      </c>
      <c r="L37" s="78">
        <v>49</v>
      </c>
      <c r="M37" s="78">
        <v>13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808</v>
      </c>
      <c r="F38" s="155"/>
      <c r="G38" s="149" t="s">
        <v>750</v>
      </c>
      <c r="H38" s="150"/>
      <c r="I38" s="149">
        <v>0</v>
      </c>
      <c r="J38" s="150"/>
      <c r="K38" s="52">
        <v>0</v>
      </c>
      <c r="L38" s="79">
        <v>6</v>
      </c>
      <c r="M38" s="79">
        <v>2</v>
      </c>
    </row>
    <row r="39" spans="1:13" x14ac:dyDescent="0.3">
      <c r="A39" s="147" t="s">
        <v>14</v>
      </c>
      <c r="B39" s="148"/>
      <c r="C39" s="149" t="s">
        <v>631</v>
      </c>
      <c r="D39" s="150"/>
      <c r="E39" s="154" t="s">
        <v>756</v>
      </c>
      <c r="F39" s="155"/>
      <c r="G39" s="149" t="s">
        <v>784</v>
      </c>
      <c r="H39" s="150"/>
      <c r="I39" s="149" t="s">
        <v>795</v>
      </c>
      <c r="J39" s="150"/>
      <c r="K39" s="52" t="s">
        <v>437</v>
      </c>
      <c r="L39" s="79">
        <v>16</v>
      </c>
      <c r="M39" s="79">
        <v>1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602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235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746</v>
      </c>
      <c r="D43" s="153"/>
      <c r="E43" s="149" t="s">
        <v>807</v>
      </c>
      <c r="F43" s="150"/>
      <c r="G43" s="149">
        <v>0</v>
      </c>
      <c r="H43" s="150"/>
      <c r="I43" s="149" t="s">
        <v>571</v>
      </c>
      <c r="J43" s="150"/>
      <c r="K43" s="52">
        <v>0</v>
      </c>
      <c r="L43" s="79">
        <v>3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793</v>
      </c>
      <c r="D49" s="146"/>
      <c r="E49" s="145" t="s">
        <v>797</v>
      </c>
      <c r="F49" s="146"/>
      <c r="G49" s="145" t="s">
        <v>800</v>
      </c>
      <c r="H49" s="146"/>
      <c r="I49" s="145" t="s">
        <v>806</v>
      </c>
      <c r="J49" s="146"/>
    </row>
    <row r="50" spans="1:10" x14ac:dyDescent="0.3">
      <c r="A50" s="120" t="s">
        <v>30</v>
      </c>
      <c r="B50" s="121"/>
      <c r="C50" s="136">
        <v>10157</v>
      </c>
      <c r="D50" s="137"/>
      <c r="E50" s="136">
        <v>10116</v>
      </c>
      <c r="F50" s="137"/>
      <c r="G50" s="136">
        <v>10083</v>
      </c>
      <c r="H50" s="137"/>
      <c r="I50" s="136">
        <v>10044</v>
      </c>
      <c r="J50" s="137"/>
    </row>
    <row r="51" spans="1:10" x14ac:dyDescent="0.3">
      <c r="A51" s="120" t="s">
        <v>31</v>
      </c>
      <c r="B51" s="121"/>
      <c r="C51" s="136">
        <v>11270</v>
      </c>
      <c r="D51" s="137"/>
      <c r="E51" s="136">
        <v>11273</v>
      </c>
      <c r="F51" s="137"/>
      <c r="G51" s="136">
        <v>11252</v>
      </c>
      <c r="H51" s="137"/>
      <c r="I51" s="136">
        <v>11262</v>
      </c>
      <c r="J51" s="137"/>
    </row>
    <row r="52" spans="1:10" x14ac:dyDescent="0.3">
      <c r="A52" s="120" t="s">
        <v>32</v>
      </c>
      <c r="B52" s="121"/>
      <c r="C52" s="136">
        <v>110576</v>
      </c>
      <c r="D52" s="137"/>
      <c r="E52" s="136">
        <v>110481</v>
      </c>
      <c r="F52" s="137"/>
      <c r="G52" s="136">
        <v>110395</v>
      </c>
      <c r="H52" s="137"/>
      <c r="I52" s="136">
        <v>110395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48944</v>
      </c>
      <c r="D54" s="137"/>
      <c r="E54" s="136">
        <v>48909</v>
      </c>
      <c r="F54" s="137"/>
      <c r="G54" s="136">
        <v>48860</v>
      </c>
      <c r="H54" s="137"/>
      <c r="I54" s="136">
        <v>48842</v>
      </c>
      <c r="J54" s="137"/>
    </row>
    <row r="55" spans="1:10" x14ac:dyDescent="0.3">
      <c r="A55" s="120" t="s">
        <v>53</v>
      </c>
      <c r="B55" s="121"/>
      <c r="C55" s="138">
        <v>5567</v>
      </c>
      <c r="D55" s="139"/>
      <c r="E55" s="138">
        <v>5599</v>
      </c>
      <c r="F55" s="139"/>
      <c r="G55" s="138">
        <v>5632</v>
      </c>
      <c r="H55" s="139"/>
      <c r="I55" s="138">
        <v>5663</v>
      </c>
      <c r="J55" s="139"/>
    </row>
    <row r="56" spans="1:10" x14ac:dyDescent="0.3">
      <c r="A56" s="120" t="s">
        <v>49</v>
      </c>
      <c r="B56" s="121"/>
      <c r="C56" s="136">
        <v>23601</v>
      </c>
      <c r="D56" s="137"/>
      <c r="E56" s="136">
        <v>23810</v>
      </c>
      <c r="F56" s="137"/>
      <c r="G56" s="136">
        <v>22271</v>
      </c>
      <c r="H56" s="137"/>
      <c r="I56" s="136">
        <v>24183</v>
      </c>
      <c r="J56" s="137"/>
    </row>
    <row r="57" spans="1:10" x14ac:dyDescent="0.3">
      <c r="A57" s="120" t="s">
        <v>35</v>
      </c>
      <c r="B57" s="121"/>
      <c r="C57" s="138">
        <v>3916</v>
      </c>
      <c r="D57" s="139"/>
      <c r="E57" s="138">
        <v>3912</v>
      </c>
      <c r="F57" s="139"/>
      <c r="G57" s="138">
        <v>3916</v>
      </c>
      <c r="H57" s="139"/>
      <c r="I57" s="138">
        <v>3918</v>
      </c>
      <c r="J57" s="139"/>
    </row>
    <row r="58" spans="1:10" x14ac:dyDescent="0.3">
      <c r="A58" s="120" t="s">
        <v>36</v>
      </c>
      <c r="B58" s="121"/>
      <c r="C58" s="122">
        <f>SUM(C50:D57)</f>
        <v>214267</v>
      </c>
      <c r="D58" s="123"/>
      <c r="E58" s="122">
        <f>SUM(E50:F57)</f>
        <v>214336</v>
      </c>
      <c r="F58" s="123"/>
      <c r="G58" s="122">
        <f>SUM(G50:H57)</f>
        <v>212645</v>
      </c>
      <c r="H58" s="123"/>
      <c r="I58" s="122">
        <f>SUM(I50:J57)</f>
        <v>214543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793</v>
      </c>
      <c r="D60" s="131"/>
      <c r="E60" s="130" t="s">
        <v>797</v>
      </c>
      <c r="F60" s="131"/>
      <c r="G60" s="130" t="s">
        <v>800</v>
      </c>
      <c r="H60" s="131"/>
      <c r="I60" s="130" t="s">
        <v>806</v>
      </c>
      <c r="J60" s="131"/>
    </row>
    <row r="61" spans="1:10" x14ac:dyDescent="0.3">
      <c r="A61" s="126"/>
      <c r="B61" s="127"/>
      <c r="C61" s="132">
        <v>140887</v>
      </c>
      <c r="D61" s="133"/>
      <c r="E61" s="132">
        <v>141008</v>
      </c>
      <c r="F61" s="133"/>
      <c r="G61" s="132">
        <v>141061</v>
      </c>
      <c r="H61" s="133"/>
      <c r="I61" s="132">
        <v>141148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718</v>
      </c>
      <c r="D66" s="115"/>
      <c r="E66" s="114" t="s">
        <v>760</v>
      </c>
      <c r="F66" s="115"/>
      <c r="G66" s="114" t="s">
        <v>776</v>
      </c>
      <c r="H66" s="115"/>
      <c r="I66" s="114" t="s">
        <v>801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32418</v>
      </c>
      <c r="D69" s="104"/>
      <c r="E69" s="103">
        <v>33056</v>
      </c>
      <c r="F69" s="104"/>
      <c r="G69" s="103">
        <v>32925</v>
      </c>
      <c r="H69" s="104"/>
      <c r="I69" s="103">
        <v>33221</v>
      </c>
      <c r="J69" s="104"/>
    </row>
    <row r="70" spans="1:10" x14ac:dyDescent="0.3">
      <c r="A70" s="101" t="s">
        <v>13</v>
      </c>
      <c r="B70" s="102"/>
      <c r="C70" s="103">
        <v>7352</v>
      </c>
      <c r="D70" s="104"/>
      <c r="E70" s="103">
        <v>7380</v>
      </c>
      <c r="F70" s="104"/>
      <c r="G70" s="103">
        <v>7455</v>
      </c>
      <c r="H70" s="104"/>
      <c r="I70" s="103">
        <v>7510</v>
      </c>
      <c r="J70" s="104"/>
    </row>
    <row r="71" spans="1:10" x14ac:dyDescent="0.3">
      <c r="A71" s="107" t="s">
        <v>14</v>
      </c>
      <c r="B71" s="108"/>
      <c r="C71" s="103">
        <v>6558</v>
      </c>
      <c r="D71" s="104"/>
      <c r="E71" s="103">
        <v>6610</v>
      </c>
      <c r="F71" s="104"/>
      <c r="G71" s="103">
        <v>6681</v>
      </c>
      <c r="H71" s="104"/>
      <c r="I71" s="103">
        <v>6761</v>
      </c>
      <c r="J71" s="104"/>
    </row>
    <row r="72" spans="1:10" x14ac:dyDescent="0.3">
      <c r="A72" s="107" t="s">
        <v>41</v>
      </c>
      <c r="B72" s="108"/>
      <c r="C72" s="103">
        <v>1621</v>
      </c>
      <c r="D72" s="104"/>
      <c r="E72" s="103">
        <v>1653</v>
      </c>
      <c r="F72" s="104"/>
      <c r="G72" s="103">
        <v>1688</v>
      </c>
      <c r="H72" s="104"/>
      <c r="I72" s="103">
        <v>1705</v>
      </c>
      <c r="J72" s="104"/>
    </row>
    <row r="73" spans="1:10" x14ac:dyDescent="0.3">
      <c r="A73" s="101" t="s">
        <v>15</v>
      </c>
      <c r="B73" s="102"/>
      <c r="C73" s="103">
        <v>5117</v>
      </c>
      <c r="D73" s="104"/>
      <c r="E73" s="103">
        <v>5163</v>
      </c>
      <c r="F73" s="104"/>
      <c r="G73" s="103">
        <v>5228</v>
      </c>
      <c r="H73" s="104"/>
      <c r="I73" s="103">
        <v>5304</v>
      </c>
      <c r="J73" s="104"/>
    </row>
    <row r="74" spans="1:10" x14ac:dyDescent="0.3">
      <c r="A74" s="107" t="s">
        <v>16</v>
      </c>
      <c r="B74" s="108"/>
      <c r="C74" s="103">
        <v>5068</v>
      </c>
      <c r="D74" s="104"/>
      <c r="E74" s="103">
        <v>5103</v>
      </c>
      <c r="F74" s="104"/>
      <c r="G74" s="103">
        <v>5115</v>
      </c>
      <c r="H74" s="104"/>
      <c r="I74" s="103">
        <v>5147</v>
      </c>
      <c r="J74" s="104"/>
    </row>
    <row r="75" spans="1:10" x14ac:dyDescent="0.3">
      <c r="A75" s="101" t="s">
        <v>17</v>
      </c>
      <c r="B75" s="102"/>
      <c r="C75" s="103">
        <v>8163</v>
      </c>
      <c r="D75" s="104"/>
      <c r="E75" s="103">
        <v>8230</v>
      </c>
      <c r="F75" s="104"/>
      <c r="G75" s="103">
        <v>8315</v>
      </c>
      <c r="H75" s="104"/>
      <c r="I75" s="103">
        <v>8392</v>
      </c>
      <c r="J75" s="104"/>
    </row>
    <row r="76" spans="1:10" x14ac:dyDescent="0.3">
      <c r="A76" s="107" t="s">
        <v>18</v>
      </c>
      <c r="B76" s="108"/>
      <c r="C76" s="103">
        <v>1679</v>
      </c>
      <c r="D76" s="104"/>
      <c r="E76" s="103">
        <v>1683</v>
      </c>
      <c r="F76" s="104"/>
      <c r="G76" s="103">
        <v>1686</v>
      </c>
      <c r="H76" s="104"/>
      <c r="I76" s="103">
        <v>1697</v>
      </c>
      <c r="J76" s="104"/>
    </row>
    <row r="77" spans="1:10" x14ac:dyDescent="0.3">
      <c r="A77" s="101" t="s">
        <v>19</v>
      </c>
      <c r="B77" s="102"/>
      <c r="C77" s="103">
        <v>6309</v>
      </c>
      <c r="D77" s="104"/>
      <c r="E77" s="103">
        <v>6449</v>
      </c>
      <c r="F77" s="104"/>
      <c r="G77" s="103">
        <v>6545</v>
      </c>
      <c r="H77" s="104"/>
      <c r="I77" s="103">
        <v>6619</v>
      </c>
      <c r="J77" s="104"/>
    </row>
    <row r="78" spans="1:10" x14ac:dyDescent="0.3">
      <c r="A78" s="105" t="s">
        <v>42</v>
      </c>
      <c r="B78" s="106"/>
      <c r="C78" s="103">
        <f>SUM(C69:C77)</f>
        <v>74285</v>
      </c>
      <c r="D78" s="104"/>
      <c r="E78" s="103">
        <f>SUM(E69:E77)</f>
        <v>75327</v>
      </c>
      <c r="F78" s="104"/>
      <c r="G78" s="103">
        <f>SUM(G69:G77)</f>
        <v>75638</v>
      </c>
      <c r="H78" s="104"/>
      <c r="I78" s="103">
        <f>SUM(I69:I77)</f>
        <v>76356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78"/>
  <sheetViews>
    <sheetView topLeftCell="A36" workbookViewId="0">
      <selection activeCell="Q22" sqref="Q22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809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1246</v>
      </c>
      <c r="D5" s="215"/>
      <c r="E5" s="215">
        <v>10</v>
      </c>
      <c r="F5" s="215"/>
      <c r="G5" s="215">
        <v>306</v>
      </c>
      <c r="H5" s="215"/>
      <c r="I5" s="213">
        <v>394</v>
      </c>
      <c r="J5" s="214"/>
      <c r="K5" s="216">
        <v>34</v>
      </c>
      <c r="L5" s="217"/>
      <c r="M5" s="56">
        <v>1810</v>
      </c>
      <c r="N5" s="53">
        <v>630</v>
      </c>
      <c r="O5" s="88">
        <v>24225</v>
      </c>
      <c r="P5" s="53">
        <v>17502</v>
      </c>
      <c r="Q5" s="89">
        <v>15769</v>
      </c>
    </row>
    <row r="6" spans="1:17" x14ac:dyDescent="0.3">
      <c r="A6" s="211" t="s">
        <v>11</v>
      </c>
      <c r="B6" s="212"/>
      <c r="C6" s="213">
        <v>270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334</v>
      </c>
      <c r="D7" s="210"/>
      <c r="E7" s="210">
        <v>70</v>
      </c>
      <c r="F7" s="210"/>
      <c r="G7" s="210">
        <v>290</v>
      </c>
      <c r="H7" s="210"/>
      <c r="I7" s="149">
        <v>428</v>
      </c>
      <c r="J7" s="150"/>
      <c r="K7" s="149">
        <v>155</v>
      </c>
      <c r="L7" s="150"/>
      <c r="M7" s="52">
        <v>0</v>
      </c>
      <c r="N7" s="52">
        <v>26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290</v>
      </c>
      <c r="D8" s="210"/>
      <c r="E8" s="210">
        <v>0</v>
      </c>
      <c r="F8" s="210"/>
      <c r="G8" s="210">
        <v>2</v>
      </c>
      <c r="H8" s="210"/>
      <c r="I8" s="149">
        <v>169</v>
      </c>
      <c r="J8" s="150"/>
      <c r="K8" s="149">
        <v>0</v>
      </c>
      <c r="L8" s="150"/>
      <c r="M8" s="52">
        <v>562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328</v>
      </c>
      <c r="D9" s="210"/>
      <c r="E9" s="210">
        <v>14</v>
      </c>
      <c r="F9" s="210"/>
      <c r="G9" s="210">
        <v>6</v>
      </c>
      <c r="H9" s="210"/>
      <c r="I9" s="149">
        <v>252</v>
      </c>
      <c r="J9" s="150"/>
      <c r="K9" s="149">
        <v>30</v>
      </c>
      <c r="L9" s="150"/>
      <c r="M9" s="52">
        <v>580</v>
      </c>
      <c r="N9" s="52">
        <v>16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150</v>
      </c>
      <c r="D10" s="210"/>
      <c r="E10" s="210">
        <v>13</v>
      </c>
      <c r="F10" s="210"/>
      <c r="G10" s="210">
        <v>7</v>
      </c>
      <c r="H10" s="210"/>
      <c r="I10" s="149">
        <v>420</v>
      </c>
      <c r="J10" s="150"/>
      <c r="K10" s="149">
        <v>111</v>
      </c>
      <c r="L10" s="150"/>
      <c r="M10" s="52">
        <v>780</v>
      </c>
      <c r="N10" s="52">
        <v>410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200</v>
      </c>
      <c r="D11" s="209"/>
      <c r="E11" s="210">
        <v>5</v>
      </c>
      <c r="F11" s="210"/>
      <c r="G11" s="210">
        <v>8</v>
      </c>
      <c r="H11" s="210"/>
      <c r="I11" s="149">
        <v>230</v>
      </c>
      <c r="J11" s="150"/>
      <c r="K11" s="149">
        <v>77</v>
      </c>
      <c r="L11" s="150"/>
      <c r="M11" s="52">
        <v>313</v>
      </c>
      <c r="N11" s="52">
        <v>512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81</v>
      </c>
      <c r="D12" s="209"/>
      <c r="E12" s="210">
        <v>0</v>
      </c>
      <c r="F12" s="210"/>
      <c r="G12" s="210">
        <v>0</v>
      </c>
      <c r="H12" s="210"/>
      <c r="I12" s="149">
        <v>225</v>
      </c>
      <c r="J12" s="150"/>
      <c r="K12" s="149">
        <v>9</v>
      </c>
      <c r="L12" s="150"/>
      <c r="M12" s="52">
        <v>296</v>
      </c>
      <c r="N12" s="52">
        <v>52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147</v>
      </c>
      <c r="D13" s="150"/>
      <c r="E13" s="149">
        <v>5</v>
      </c>
      <c r="F13" s="150"/>
      <c r="G13" s="149">
        <v>1</v>
      </c>
      <c r="H13" s="150"/>
      <c r="I13" s="149">
        <v>201</v>
      </c>
      <c r="J13" s="150"/>
      <c r="K13" s="149">
        <v>31</v>
      </c>
      <c r="L13" s="150"/>
      <c r="M13" s="52">
        <v>271</v>
      </c>
      <c r="N13" s="52">
        <v>27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222</v>
      </c>
      <c r="D14" s="206"/>
      <c r="E14" s="205">
        <v>7</v>
      </c>
      <c r="F14" s="206"/>
      <c r="G14" s="205">
        <v>18</v>
      </c>
      <c r="H14" s="206"/>
      <c r="I14" s="149">
        <v>358</v>
      </c>
      <c r="J14" s="150"/>
      <c r="K14" s="205">
        <v>4</v>
      </c>
      <c r="L14" s="206"/>
      <c r="M14" s="59">
        <v>608</v>
      </c>
      <c r="N14" s="59">
        <v>21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3011</v>
      </c>
      <c r="P15" s="59">
        <v>3272</v>
      </c>
      <c r="Q15" s="91">
        <v>3142</v>
      </c>
    </row>
    <row r="16" spans="1:17" ht="15" thickBot="1" x14ac:dyDescent="0.35">
      <c r="A16" s="199" t="s">
        <v>20</v>
      </c>
      <c r="B16" s="200"/>
      <c r="C16" s="201">
        <f>SUM(C5:D15)</f>
        <v>3268</v>
      </c>
      <c r="D16" s="202"/>
      <c r="E16" s="201">
        <f>SUM(E5:F15)</f>
        <v>124</v>
      </c>
      <c r="F16" s="202"/>
      <c r="G16" s="201">
        <f>SUM(G5:H15)</f>
        <v>638</v>
      </c>
      <c r="H16" s="202"/>
      <c r="I16" s="201">
        <f>SUM(I5:J15)</f>
        <v>2677</v>
      </c>
      <c r="J16" s="202"/>
      <c r="K16" s="201">
        <f>SUM(K5:L15)</f>
        <v>451</v>
      </c>
      <c r="L16" s="202"/>
      <c r="M16" s="4">
        <f>SUM(M5:M15)</f>
        <v>5220</v>
      </c>
      <c r="N16" s="4">
        <f>SUM(N5:N15)</f>
        <v>1709</v>
      </c>
      <c r="O16" s="4">
        <f>SUM(O5:O15)</f>
        <v>27318</v>
      </c>
      <c r="P16" s="4">
        <f>SUM(P5:P15)</f>
        <v>20809</v>
      </c>
      <c r="Q16" s="5">
        <f>SUM(Q5:Q15)</f>
        <v>18919</v>
      </c>
    </row>
    <row r="17" spans="1:17" ht="15" thickBot="1" x14ac:dyDescent="0.35">
      <c r="A17" s="190" t="s">
        <v>21</v>
      </c>
      <c r="B17" s="191"/>
      <c r="C17" s="192">
        <v>1096</v>
      </c>
      <c r="D17" s="192"/>
      <c r="E17" s="193">
        <v>10</v>
      </c>
      <c r="F17" s="194"/>
      <c r="G17" s="195">
        <v>306</v>
      </c>
      <c r="H17" s="196"/>
      <c r="I17" s="195">
        <v>394</v>
      </c>
      <c r="J17" s="196"/>
      <c r="K17" s="197">
        <v>34</v>
      </c>
      <c r="L17" s="198"/>
      <c r="M17" s="36">
        <v>1810</v>
      </c>
      <c r="N17" s="30">
        <v>630</v>
      </c>
      <c r="O17" s="86">
        <v>24225</v>
      </c>
      <c r="P17" s="37">
        <v>17502</v>
      </c>
      <c r="Q17" s="87">
        <v>15769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809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45</v>
      </c>
      <c r="D24" s="162"/>
      <c r="E24" s="185" t="s">
        <v>276</v>
      </c>
      <c r="F24" s="186"/>
      <c r="G24" s="161">
        <v>0</v>
      </c>
      <c r="H24" s="162"/>
      <c r="I24" s="161">
        <v>27</v>
      </c>
      <c r="J24" s="162"/>
      <c r="K24" s="70">
        <v>0</v>
      </c>
      <c r="L24" s="78">
        <v>21</v>
      </c>
      <c r="M24" s="78">
        <v>8</v>
      </c>
    </row>
    <row r="25" spans="1:17" x14ac:dyDescent="0.3">
      <c r="A25" s="101" t="s">
        <v>13</v>
      </c>
      <c r="B25" s="102"/>
      <c r="C25" s="149">
        <v>29</v>
      </c>
      <c r="D25" s="150"/>
      <c r="E25" s="165" t="s">
        <v>25</v>
      </c>
      <c r="F25" s="166"/>
      <c r="G25" s="149">
        <v>0</v>
      </c>
      <c r="H25" s="150"/>
      <c r="I25" s="149">
        <v>149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171</v>
      </c>
      <c r="D26" s="150"/>
      <c r="E26" s="165" t="s">
        <v>604</v>
      </c>
      <c r="F26" s="166"/>
      <c r="G26" s="149">
        <v>26</v>
      </c>
      <c r="H26" s="150"/>
      <c r="I26" s="149">
        <v>73</v>
      </c>
      <c r="J26" s="150"/>
      <c r="K26" s="52">
        <v>19</v>
      </c>
      <c r="L26" s="79">
        <v>22</v>
      </c>
      <c r="M26" s="79">
        <v>5</v>
      </c>
    </row>
    <row r="27" spans="1:17" x14ac:dyDescent="0.3">
      <c r="A27" s="101" t="s">
        <v>15</v>
      </c>
      <c r="B27" s="102"/>
      <c r="C27" s="165" t="s">
        <v>810</v>
      </c>
      <c r="D27" s="166"/>
      <c r="E27" s="165" t="s">
        <v>25</v>
      </c>
      <c r="F27" s="166"/>
      <c r="G27" s="149">
        <v>0</v>
      </c>
      <c r="H27" s="150"/>
      <c r="I27" s="149">
        <v>25</v>
      </c>
      <c r="J27" s="150"/>
      <c r="K27" s="52">
        <v>4</v>
      </c>
      <c r="L27" s="81">
        <v>25</v>
      </c>
      <c r="M27" s="79">
        <v>1</v>
      </c>
    </row>
    <row r="28" spans="1:17" x14ac:dyDescent="0.3">
      <c r="A28" s="101" t="s">
        <v>16</v>
      </c>
      <c r="B28" s="102"/>
      <c r="C28" s="183" t="s">
        <v>739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43</v>
      </c>
      <c r="D29" s="153"/>
      <c r="E29" s="165" t="s">
        <v>201</v>
      </c>
      <c r="F29" s="166"/>
      <c r="G29" s="149">
        <v>0</v>
      </c>
      <c r="H29" s="150"/>
      <c r="I29" s="149">
        <v>6</v>
      </c>
      <c r="J29" s="150"/>
      <c r="K29" s="52">
        <v>0</v>
      </c>
      <c r="L29" s="79">
        <v>8</v>
      </c>
      <c r="M29" s="79">
        <v>0</v>
      </c>
    </row>
    <row r="30" spans="1:17" x14ac:dyDescent="0.3">
      <c r="A30" s="101" t="s">
        <v>18</v>
      </c>
      <c r="B30" s="102"/>
      <c r="C30" s="183" t="s">
        <v>783</v>
      </c>
      <c r="D30" s="184"/>
      <c r="E30" s="165" t="s">
        <v>25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809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378</v>
      </c>
      <c r="D37" s="162"/>
      <c r="E37" s="163" t="s">
        <v>390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42</v>
      </c>
      <c r="M37" s="78">
        <v>9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812</v>
      </c>
      <c r="F38" s="155"/>
      <c r="G38" s="149" t="s">
        <v>750</v>
      </c>
      <c r="H38" s="150"/>
      <c r="I38" s="149">
        <v>0</v>
      </c>
      <c r="J38" s="150"/>
      <c r="K38" s="52">
        <v>0</v>
      </c>
      <c r="L38" s="79">
        <v>6</v>
      </c>
      <c r="M38" s="79">
        <v>2</v>
      </c>
    </row>
    <row r="39" spans="1:13" x14ac:dyDescent="0.3">
      <c r="A39" s="147" t="s">
        <v>14</v>
      </c>
      <c r="B39" s="148"/>
      <c r="C39" s="149" t="s">
        <v>631</v>
      </c>
      <c r="D39" s="150"/>
      <c r="E39" s="154" t="s">
        <v>756</v>
      </c>
      <c r="F39" s="155"/>
      <c r="G39" s="149" t="s">
        <v>784</v>
      </c>
      <c r="H39" s="150"/>
      <c r="I39" s="149" t="s">
        <v>795</v>
      </c>
      <c r="J39" s="150"/>
      <c r="K39" s="52" t="s">
        <v>437</v>
      </c>
      <c r="L39" s="79">
        <v>16</v>
      </c>
      <c r="M39" s="79">
        <v>1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530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235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746</v>
      </c>
      <c r="D43" s="153"/>
      <c r="E43" s="149" t="s">
        <v>813</v>
      </c>
      <c r="F43" s="150"/>
      <c r="G43" s="149">
        <v>0</v>
      </c>
      <c r="H43" s="150"/>
      <c r="I43" s="149" t="s">
        <v>558</v>
      </c>
      <c r="J43" s="150"/>
      <c r="K43" s="52">
        <v>0</v>
      </c>
      <c r="L43" s="79">
        <v>6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797</v>
      </c>
      <c r="D49" s="146"/>
      <c r="E49" s="145" t="s">
        <v>800</v>
      </c>
      <c r="F49" s="146"/>
      <c r="G49" s="145" t="s">
        <v>806</v>
      </c>
      <c r="H49" s="146"/>
      <c r="I49" s="145" t="s">
        <v>809</v>
      </c>
      <c r="J49" s="146"/>
    </row>
    <row r="50" spans="1:10" x14ac:dyDescent="0.3">
      <c r="A50" s="120" t="s">
        <v>30</v>
      </c>
      <c r="B50" s="121"/>
      <c r="C50" s="136">
        <v>10116</v>
      </c>
      <c r="D50" s="137"/>
      <c r="E50" s="136">
        <v>10083</v>
      </c>
      <c r="F50" s="137"/>
      <c r="G50" s="136">
        <v>10044</v>
      </c>
      <c r="H50" s="137"/>
      <c r="I50" s="136">
        <v>9977</v>
      </c>
      <c r="J50" s="137"/>
    </row>
    <row r="51" spans="1:10" x14ac:dyDescent="0.3">
      <c r="A51" s="120" t="s">
        <v>31</v>
      </c>
      <c r="B51" s="121"/>
      <c r="C51" s="136">
        <v>11273</v>
      </c>
      <c r="D51" s="137"/>
      <c r="E51" s="136">
        <v>11252</v>
      </c>
      <c r="F51" s="137"/>
      <c r="G51" s="136">
        <v>11262</v>
      </c>
      <c r="H51" s="137"/>
      <c r="I51" s="136">
        <v>11260</v>
      </c>
      <c r="J51" s="137"/>
    </row>
    <row r="52" spans="1:10" x14ac:dyDescent="0.3">
      <c r="A52" s="120" t="s">
        <v>32</v>
      </c>
      <c r="B52" s="121"/>
      <c r="C52" s="136">
        <v>110481</v>
      </c>
      <c r="D52" s="137"/>
      <c r="E52" s="136">
        <v>110395</v>
      </c>
      <c r="F52" s="137"/>
      <c r="G52" s="136">
        <v>110395</v>
      </c>
      <c r="H52" s="137"/>
      <c r="I52" s="136">
        <v>110331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48909</v>
      </c>
      <c r="D54" s="137"/>
      <c r="E54" s="136">
        <v>48860</v>
      </c>
      <c r="F54" s="137"/>
      <c r="G54" s="136">
        <v>48842</v>
      </c>
      <c r="H54" s="137"/>
      <c r="I54" s="136">
        <v>48823</v>
      </c>
      <c r="J54" s="137"/>
    </row>
    <row r="55" spans="1:10" x14ac:dyDescent="0.3">
      <c r="A55" s="120" t="s">
        <v>53</v>
      </c>
      <c r="B55" s="121"/>
      <c r="C55" s="138">
        <v>5599</v>
      </c>
      <c r="D55" s="139"/>
      <c r="E55" s="138">
        <v>5632</v>
      </c>
      <c r="F55" s="139"/>
      <c r="G55" s="138">
        <v>5663</v>
      </c>
      <c r="H55" s="139"/>
      <c r="I55" s="138">
        <v>5684</v>
      </c>
      <c r="J55" s="139"/>
    </row>
    <row r="56" spans="1:10" x14ac:dyDescent="0.3">
      <c r="A56" s="120" t="s">
        <v>49</v>
      </c>
      <c r="B56" s="121"/>
      <c r="C56" s="136">
        <v>23810</v>
      </c>
      <c r="D56" s="137"/>
      <c r="E56" s="136">
        <v>22271</v>
      </c>
      <c r="F56" s="137"/>
      <c r="G56" s="136">
        <v>24183</v>
      </c>
      <c r="H56" s="137"/>
      <c r="I56" s="136">
        <v>24429</v>
      </c>
      <c r="J56" s="137"/>
    </row>
    <row r="57" spans="1:10" x14ac:dyDescent="0.3">
      <c r="A57" s="120" t="s">
        <v>35</v>
      </c>
      <c r="B57" s="121"/>
      <c r="C57" s="138">
        <v>3912</v>
      </c>
      <c r="D57" s="139"/>
      <c r="E57" s="138">
        <v>3916</v>
      </c>
      <c r="F57" s="139"/>
      <c r="G57" s="138">
        <v>3918</v>
      </c>
      <c r="H57" s="139"/>
      <c r="I57" s="138">
        <v>3921</v>
      </c>
      <c r="J57" s="139"/>
    </row>
    <row r="58" spans="1:10" x14ac:dyDescent="0.3">
      <c r="A58" s="120" t="s">
        <v>36</v>
      </c>
      <c r="B58" s="121"/>
      <c r="C58" s="122">
        <f>SUM(C50:D57)</f>
        <v>214336</v>
      </c>
      <c r="D58" s="123"/>
      <c r="E58" s="122">
        <f>SUM(E50:F57)</f>
        <v>212645</v>
      </c>
      <c r="F58" s="123"/>
      <c r="G58" s="122">
        <f>SUM(G50:H57)</f>
        <v>214543</v>
      </c>
      <c r="H58" s="123"/>
      <c r="I58" s="122">
        <f>SUM(I50:J57)</f>
        <v>214661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797</v>
      </c>
      <c r="D60" s="131"/>
      <c r="E60" s="130" t="s">
        <v>800</v>
      </c>
      <c r="F60" s="131"/>
      <c r="G60" s="130" t="s">
        <v>806</v>
      </c>
      <c r="H60" s="131"/>
      <c r="I60" s="130" t="s">
        <v>809</v>
      </c>
      <c r="J60" s="131"/>
    </row>
    <row r="61" spans="1:10" x14ac:dyDescent="0.3">
      <c r="A61" s="126"/>
      <c r="B61" s="127"/>
      <c r="C61" s="132">
        <v>141008</v>
      </c>
      <c r="D61" s="133"/>
      <c r="E61" s="132">
        <v>141061</v>
      </c>
      <c r="F61" s="133"/>
      <c r="G61" s="132">
        <v>141148</v>
      </c>
      <c r="H61" s="133"/>
      <c r="I61" s="132">
        <v>141236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718</v>
      </c>
      <c r="D66" s="115"/>
      <c r="E66" s="114" t="s">
        <v>760</v>
      </c>
      <c r="F66" s="115"/>
      <c r="G66" s="114" t="s">
        <v>776</v>
      </c>
      <c r="H66" s="115"/>
      <c r="I66" s="114" t="s">
        <v>801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32418</v>
      </c>
      <c r="D69" s="104"/>
      <c r="E69" s="103">
        <v>33056</v>
      </c>
      <c r="F69" s="104"/>
      <c r="G69" s="103">
        <v>32925</v>
      </c>
      <c r="H69" s="104"/>
      <c r="I69" s="103">
        <v>33221</v>
      </c>
      <c r="J69" s="104"/>
    </row>
    <row r="70" spans="1:10" x14ac:dyDescent="0.3">
      <c r="A70" s="101" t="s">
        <v>13</v>
      </c>
      <c r="B70" s="102"/>
      <c r="C70" s="103">
        <v>7352</v>
      </c>
      <c r="D70" s="104"/>
      <c r="E70" s="103">
        <v>7380</v>
      </c>
      <c r="F70" s="104"/>
      <c r="G70" s="103">
        <v>7455</v>
      </c>
      <c r="H70" s="104"/>
      <c r="I70" s="103">
        <v>7510</v>
      </c>
      <c r="J70" s="104"/>
    </row>
    <row r="71" spans="1:10" x14ac:dyDescent="0.3">
      <c r="A71" s="107" t="s">
        <v>14</v>
      </c>
      <c r="B71" s="108"/>
      <c r="C71" s="103">
        <v>6558</v>
      </c>
      <c r="D71" s="104"/>
      <c r="E71" s="103">
        <v>6610</v>
      </c>
      <c r="F71" s="104"/>
      <c r="G71" s="103">
        <v>6681</v>
      </c>
      <c r="H71" s="104"/>
      <c r="I71" s="103">
        <v>6761</v>
      </c>
      <c r="J71" s="104"/>
    </row>
    <row r="72" spans="1:10" x14ac:dyDescent="0.3">
      <c r="A72" s="107" t="s">
        <v>41</v>
      </c>
      <c r="B72" s="108"/>
      <c r="C72" s="103">
        <v>1621</v>
      </c>
      <c r="D72" s="104"/>
      <c r="E72" s="103">
        <v>1653</v>
      </c>
      <c r="F72" s="104"/>
      <c r="G72" s="103">
        <v>1688</v>
      </c>
      <c r="H72" s="104"/>
      <c r="I72" s="103">
        <v>1705</v>
      </c>
      <c r="J72" s="104"/>
    </row>
    <row r="73" spans="1:10" x14ac:dyDescent="0.3">
      <c r="A73" s="101" t="s">
        <v>15</v>
      </c>
      <c r="B73" s="102"/>
      <c r="C73" s="103">
        <v>5117</v>
      </c>
      <c r="D73" s="104"/>
      <c r="E73" s="103">
        <v>5163</v>
      </c>
      <c r="F73" s="104"/>
      <c r="G73" s="103">
        <v>5228</v>
      </c>
      <c r="H73" s="104"/>
      <c r="I73" s="103">
        <v>5304</v>
      </c>
      <c r="J73" s="104"/>
    </row>
    <row r="74" spans="1:10" x14ac:dyDescent="0.3">
      <c r="A74" s="107" t="s">
        <v>16</v>
      </c>
      <c r="B74" s="108"/>
      <c r="C74" s="103">
        <v>5068</v>
      </c>
      <c r="D74" s="104"/>
      <c r="E74" s="103">
        <v>5103</v>
      </c>
      <c r="F74" s="104"/>
      <c r="G74" s="103">
        <v>5115</v>
      </c>
      <c r="H74" s="104"/>
      <c r="I74" s="103">
        <v>5147</v>
      </c>
      <c r="J74" s="104"/>
    </row>
    <row r="75" spans="1:10" x14ac:dyDescent="0.3">
      <c r="A75" s="101" t="s">
        <v>17</v>
      </c>
      <c r="B75" s="102"/>
      <c r="C75" s="103">
        <v>8163</v>
      </c>
      <c r="D75" s="104"/>
      <c r="E75" s="103">
        <v>8230</v>
      </c>
      <c r="F75" s="104"/>
      <c r="G75" s="103">
        <v>8315</v>
      </c>
      <c r="H75" s="104"/>
      <c r="I75" s="103">
        <v>8392</v>
      </c>
      <c r="J75" s="104"/>
    </row>
    <row r="76" spans="1:10" x14ac:dyDescent="0.3">
      <c r="A76" s="107" t="s">
        <v>18</v>
      </c>
      <c r="B76" s="108"/>
      <c r="C76" s="103">
        <v>1679</v>
      </c>
      <c r="D76" s="104"/>
      <c r="E76" s="103">
        <v>1683</v>
      </c>
      <c r="F76" s="104"/>
      <c r="G76" s="103">
        <v>1686</v>
      </c>
      <c r="H76" s="104"/>
      <c r="I76" s="103">
        <v>1697</v>
      </c>
      <c r="J76" s="104"/>
    </row>
    <row r="77" spans="1:10" x14ac:dyDescent="0.3">
      <c r="A77" s="101" t="s">
        <v>19</v>
      </c>
      <c r="B77" s="102"/>
      <c r="C77" s="103">
        <v>6309</v>
      </c>
      <c r="D77" s="104"/>
      <c r="E77" s="103">
        <v>6449</v>
      </c>
      <c r="F77" s="104"/>
      <c r="G77" s="103">
        <v>6545</v>
      </c>
      <c r="H77" s="104"/>
      <c r="I77" s="103">
        <v>6619</v>
      </c>
      <c r="J77" s="104"/>
    </row>
    <row r="78" spans="1:10" x14ac:dyDescent="0.3">
      <c r="A78" s="105" t="s">
        <v>42</v>
      </c>
      <c r="B78" s="106"/>
      <c r="C78" s="103">
        <f>SUM(C69:C77)</f>
        <v>74285</v>
      </c>
      <c r="D78" s="104"/>
      <c r="E78" s="103">
        <f>SUM(E69:E77)</f>
        <v>75327</v>
      </c>
      <c r="F78" s="104"/>
      <c r="G78" s="103">
        <f>SUM(G69:G77)</f>
        <v>75638</v>
      </c>
      <c r="H78" s="104"/>
      <c r="I78" s="103">
        <f>SUM(I69:I77)</f>
        <v>76356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78"/>
  <sheetViews>
    <sheetView workbookViewId="0">
      <selection activeCell="T6" sqref="T6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814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996</v>
      </c>
      <c r="D5" s="215"/>
      <c r="E5" s="215">
        <v>10</v>
      </c>
      <c r="F5" s="215"/>
      <c r="G5" s="215">
        <v>306</v>
      </c>
      <c r="H5" s="215"/>
      <c r="I5" s="213">
        <v>394</v>
      </c>
      <c r="J5" s="214"/>
      <c r="K5" s="216">
        <v>34</v>
      </c>
      <c r="L5" s="217"/>
      <c r="M5" s="56">
        <v>1810</v>
      </c>
      <c r="N5" s="53">
        <v>610</v>
      </c>
      <c r="O5" s="88">
        <v>23970</v>
      </c>
      <c r="P5" s="53">
        <v>17427</v>
      </c>
      <c r="Q5" s="89">
        <v>15693</v>
      </c>
    </row>
    <row r="6" spans="1:17" x14ac:dyDescent="0.3">
      <c r="A6" s="211" t="s">
        <v>11</v>
      </c>
      <c r="B6" s="212"/>
      <c r="C6" s="213">
        <v>270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287</v>
      </c>
      <c r="D7" s="210"/>
      <c r="E7" s="210">
        <v>69</v>
      </c>
      <c r="F7" s="210"/>
      <c r="G7" s="210">
        <v>289</v>
      </c>
      <c r="H7" s="210"/>
      <c r="I7" s="149">
        <v>348</v>
      </c>
      <c r="J7" s="150"/>
      <c r="K7" s="149">
        <v>102</v>
      </c>
      <c r="L7" s="150"/>
      <c r="M7" s="52">
        <v>344</v>
      </c>
      <c r="N7" s="52">
        <v>22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265</v>
      </c>
      <c r="D8" s="210"/>
      <c r="E8" s="210">
        <v>0</v>
      </c>
      <c r="F8" s="210"/>
      <c r="G8" s="210">
        <v>2</v>
      </c>
      <c r="H8" s="210"/>
      <c r="I8" s="149">
        <v>142</v>
      </c>
      <c r="J8" s="150"/>
      <c r="K8" s="149">
        <v>0</v>
      </c>
      <c r="L8" s="150"/>
      <c r="M8" s="52">
        <v>556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267</v>
      </c>
      <c r="D9" s="210"/>
      <c r="E9" s="210">
        <v>14</v>
      </c>
      <c r="F9" s="210"/>
      <c r="G9" s="210">
        <v>6</v>
      </c>
      <c r="H9" s="210"/>
      <c r="I9" s="149">
        <v>213</v>
      </c>
      <c r="J9" s="150"/>
      <c r="K9" s="149">
        <v>30</v>
      </c>
      <c r="L9" s="150"/>
      <c r="M9" s="52">
        <v>589</v>
      </c>
      <c r="N9" s="52">
        <v>16</v>
      </c>
      <c r="O9" s="52">
        <v>0</v>
      </c>
      <c r="P9" s="52">
        <v>5</v>
      </c>
      <c r="Q9" s="52">
        <v>1</v>
      </c>
    </row>
    <row r="10" spans="1:17" x14ac:dyDescent="0.3">
      <c r="A10" s="101" t="s">
        <v>15</v>
      </c>
      <c r="B10" s="102"/>
      <c r="C10" s="210">
        <v>300</v>
      </c>
      <c r="D10" s="210"/>
      <c r="E10" s="210">
        <v>13</v>
      </c>
      <c r="F10" s="210"/>
      <c r="G10" s="210">
        <v>7</v>
      </c>
      <c r="H10" s="210"/>
      <c r="I10" s="149">
        <v>401</v>
      </c>
      <c r="J10" s="150"/>
      <c r="K10" s="149">
        <v>105</v>
      </c>
      <c r="L10" s="150"/>
      <c r="M10" s="52">
        <v>770</v>
      </c>
      <c r="N10" s="52">
        <v>392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175</v>
      </c>
      <c r="D11" s="209"/>
      <c r="E11" s="210">
        <v>5</v>
      </c>
      <c r="F11" s="210"/>
      <c r="G11" s="210">
        <v>8</v>
      </c>
      <c r="H11" s="210"/>
      <c r="I11" s="149">
        <v>214</v>
      </c>
      <c r="J11" s="150"/>
      <c r="K11" s="149">
        <v>75</v>
      </c>
      <c r="L11" s="150"/>
      <c r="M11" s="52">
        <v>311</v>
      </c>
      <c r="N11" s="52">
        <v>507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72</v>
      </c>
      <c r="D12" s="209"/>
      <c r="E12" s="210">
        <v>0</v>
      </c>
      <c r="F12" s="210"/>
      <c r="G12" s="210">
        <v>0</v>
      </c>
      <c r="H12" s="210"/>
      <c r="I12" s="149">
        <v>198</v>
      </c>
      <c r="J12" s="150"/>
      <c r="K12" s="149">
        <v>7</v>
      </c>
      <c r="L12" s="150"/>
      <c r="M12" s="52">
        <v>271</v>
      </c>
      <c r="N12" s="52">
        <v>51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127</v>
      </c>
      <c r="D13" s="150"/>
      <c r="E13" s="149">
        <v>5</v>
      </c>
      <c r="F13" s="150"/>
      <c r="G13" s="149">
        <v>1</v>
      </c>
      <c r="H13" s="150"/>
      <c r="I13" s="149">
        <v>191</v>
      </c>
      <c r="J13" s="150"/>
      <c r="K13" s="149">
        <v>26</v>
      </c>
      <c r="L13" s="150"/>
      <c r="M13" s="52">
        <v>264</v>
      </c>
      <c r="N13" s="52">
        <v>27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248</v>
      </c>
      <c r="D14" s="206"/>
      <c r="E14" s="205">
        <v>4</v>
      </c>
      <c r="F14" s="206"/>
      <c r="G14" s="205">
        <v>2</v>
      </c>
      <c r="H14" s="206"/>
      <c r="I14" s="149">
        <v>340</v>
      </c>
      <c r="J14" s="150"/>
      <c r="K14" s="205">
        <v>2</v>
      </c>
      <c r="L14" s="206"/>
      <c r="M14" s="59">
        <v>591</v>
      </c>
      <c r="N14" s="59">
        <v>18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2847</v>
      </c>
      <c r="P15" s="59">
        <v>3115</v>
      </c>
      <c r="Q15" s="91">
        <v>2954</v>
      </c>
    </row>
    <row r="16" spans="1:17" ht="15" thickBot="1" x14ac:dyDescent="0.35">
      <c r="A16" s="199" t="s">
        <v>20</v>
      </c>
      <c r="B16" s="200"/>
      <c r="C16" s="201">
        <f>SUM(C5:D15)</f>
        <v>3007</v>
      </c>
      <c r="D16" s="202"/>
      <c r="E16" s="201">
        <f>SUM(E5:F15)</f>
        <v>120</v>
      </c>
      <c r="F16" s="202"/>
      <c r="G16" s="201">
        <f>SUM(G5:H15)</f>
        <v>621</v>
      </c>
      <c r="H16" s="202"/>
      <c r="I16" s="201">
        <f>SUM(I5:J15)</f>
        <v>2441</v>
      </c>
      <c r="J16" s="202"/>
      <c r="K16" s="201">
        <f>SUM(K5:L15)</f>
        <v>381</v>
      </c>
      <c r="L16" s="202"/>
      <c r="M16" s="4">
        <f>SUM(M5:M15)</f>
        <v>5506</v>
      </c>
      <c r="N16" s="4">
        <f>SUM(N5:N15)</f>
        <v>1658</v>
      </c>
      <c r="O16" s="4">
        <f>SUM(O5:O15)</f>
        <v>26899</v>
      </c>
      <c r="P16" s="4">
        <f>SUM(P5:P15)</f>
        <v>20577</v>
      </c>
      <c r="Q16" s="5">
        <f>SUM(Q5:Q15)</f>
        <v>18655</v>
      </c>
    </row>
    <row r="17" spans="1:17" x14ac:dyDescent="0.3">
      <c r="A17" s="190" t="s">
        <v>21</v>
      </c>
      <c r="B17" s="191"/>
      <c r="C17" s="192">
        <v>846</v>
      </c>
      <c r="D17" s="192"/>
      <c r="E17" s="193">
        <v>10</v>
      </c>
      <c r="F17" s="194"/>
      <c r="G17" s="195">
        <v>306</v>
      </c>
      <c r="H17" s="196"/>
      <c r="I17" s="195">
        <v>274</v>
      </c>
      <c r="J17" s="196"/>
      <c r="K17" s="197">
        <v>34</v>
      </c>
      <c r="L17" s="198"/>
      <c r="M17" s="36">
        <v>1610</v>
      </c>
      <c r="N17" s="96">
        <v>610</v>
      </c>
      <c r="O17" s="94">
        <v>23970</v>
      </c>
      <c r="P17" s="34">
        <v>17427</v>
      </c>
      <c r="Q17" s="95">
        <v>15693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814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55</v>
      </c>
      <c r="D24" s="162"/>
      <c r="E24" s="185" t="s">
        <v>307</v>
      </c>
      <c r="F24" s="186"/>
      <c r="G24" s="161">
        <v>0</v>
      </c>
      <c r="H24" s="162"/>
      <c r="I24" s="161">
        <v>25</v>
      </c>
      <c r="J24" s="162"/>
      <c r="K24" s="70">
        <v>0</v>
      </c>
      <c r="L24" s="78">
        <v>20</v>
      </c>
      <c r="M24" s="78">
        <v>8</v>
      </c>
    </row>
    <row r="25" spans="1:17" x14ac:dyDescent="0.3">
      <c r="A25" s="101" t="s">
        <v>13</v>
      </c>
      <c r="B25" s="102"/>
      <c r="C25" s="149">
        <v>38</v>
      </c>
      <c r="D25" s="150"/>
      <c r="E25" s="165" t="s">
        <v>25</v>
      </c>
      <c r="F25" s="166"/>
      <c r="G25" s="149">
        <v>0</v>
      </c>
      <c r="H25" s="150"/>
      <c r="I25" s="149">
        <v>154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157</v>
      </c>
      <c r="D26" s="150"/>
      <c r="E26" s="165" t="s">
        <v>344</v>
      </c>
      <c r="F26" s="166"/>
      <c r="G26" s="149">
        <v>26</v>
      </c>
      <c r="H26" s="150"/>
      <c r="I26" s="149">
        <v>71</v>
      </c>
      <c r="J26" s="150"/>
      <c r="K26" s="52">
        <v>19</v>
      </c>
      <c r="L26" s="79">
        <v>22</v>
      </c>
      <c r="M26" s="79">
        <v>5</v>
      </c>
    </row>
    <row r="27" spans="1:17" x14ac:dyDescent="0.3">
      <c r="A27" s="101" t="s">
        <v>15</v>
      </c>
      <c r="B27" s="102"/>
      <c r="C27" s="165" t="s">
        <v>810</v>
      </c>
      <c r="D27" s="166"/>
      <c r="E27" s="165" t="s">
        <v>25</v>
      </c>
      <c r="F27" s="166"/>
      <c r="G27" s="149">
        <v>0</v>
      </c>
      <c r="H27" s="150"/>
      <c r="I27" s="149">
        <v>26</v>
      </c>
      <c r="J27" s="150"/>
      <c r="K27" s="52">
        <v>5</v>
      </c>
      <c r="L27" s="81">
        <v>24</v>
      </c>
      <c r="M27" s="79">
        <v>1</v>
      </c>
    </row>
    <row r="28" spans="1:17" x14ac:dyDescent="0.3">
      <c r="A28" s="101" t="s">
        <v>16</v>
      </c>
      <c r="B28" s="102"/>
      <c r="C28" s="183" t="s">
        <v>739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39</v>
      </c>
      <c r="D29" s="153"/>
      <c r="E29" s="165" t="s">
        <v>201</v>
      </c>
      <c r="F29" s="166"/>
      <c r="G29" s="149">
        <v>0</v>
      </c>
      <c r="H29" s="150"/>
      <c r="I29" s="149">
        <v>9</v>
      </c>
      <c r="J29" s="150"/>
      <c r="K29" s="52">
        <v>0</v>
      </c>
      <c r="L29" s="79">
        <v>7</v>
      </c>
      <c r="M29" s="79">
        <v>0</v>
      </c>
    </row>
    <row r="30" spans="1:17" x14ac:dyDescent="0.3">
      <c r="A30" s="101" t="s">
        <v>18</v>
      </c>
      <c r="B30" s="102"/>
      <c r="C30" s="183" t="s">
        <v>743</v>
      </c>
      <c r="D30" s="184"/>
      <c r="E30" s="165" t="s">
        <v>25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814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378</v>
      </c>
      <c r="D37" s="162"/>
      <c r="E37" s="163" t="s">
        <v>390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41</v>
      </c>
      <c r="M37" s="78">
        <v>8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815</v>
      </c>
      <c r="F38" s="155"/>
      <c r="G38" s="149" t="s">
        <v>750</v>
      </c>
      <c r="H38" s="150"/>
      <c r="I38" s="149">
        <v>0</v>
      </c>
      <c r="J38" s="150"/>
      <c r="K38" s="52">
        <v>0</v>
      </c>
      <c r="L38" s="79">
        <v>6</v>
      </c>
      <c r="M38" s="79">
        <v>2</v>
      </c>
    </row>
    <row r="39" spans="1:13" x14ac:dyDescent="0.3">
      <c r="A39" s="147" t="s">
        <v>14</v>
      </c>
      <c r="B39" s="148"/>
      <c r="C39" s="149" t="s">
        <v>816</v>
      </c>
      <c r="D39" s="150"/>
      <c r="E39" s="154" t="s">
        <v>817</v>
      </c>
      <c r="F39" s="155"/>
      <c r="G39" s="149" t="s">
        <v>358</v>
      </c>
      <c r="H39" s="150"/>
      <c r="I39" s="149" t="s">
        <v>818</v>
      </c>
      <c r="J39" s="150"/>
      <c r="K39" s="52">
        <v>0</v>
      </c>
      <c r="L39" s="79">
        <v>19</v>
      </c>
      <c r="M39" s="79">
        <v>2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530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235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746</v>
      </c>
      <c r="D43" s="153"/>
      <c r="E43" s="149" t="s">
        <v>819</v>
      </c>
      <c r="F43" s="150"/>
      <c r="G43" s="149">
        <v>0</v>
      </c>
      <c r="H43" s="150"/>
      <c r="I43" s="149" t="s">
        <v>558</v>
      </c>
      <c r="J43" s="150"/>
      <c r="K43" s="52">
        <v>0</v>
      </c>
      <c r="L43" s="79">
        <v>6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800</v>
      </c>
      <c r="D49" s="146"/>
      <c r="E49" s="145" t="s">
        <v>806</v>
      </c>
      <c r="F49" s="146"/>
      <c r="G49" s="145" t="s">
        <v>814</v>
      </c>
      <c r="H49" s="146"/>
      <c r="I49" s="145" t="s">
        <v>820</v>
      </c>
      <c r="J49" s="146"/>
    </row>
    <row r="50" spans="1:10" x14ac:dyDescent="0.3">
      <c r="A50" s="120" t="s">
        <v>30</v>
      </c>
      <c r="B50" s="121"/>
      <c r="C50" s="136">
        <v>10083</v>
      </c>
      <c r="D50" s="137"/>
      <c r="E50" s="136">
        <v>10044</v>
      </c>
      <c r="F50" s="137"/>
      <c r="G50" s="136">
        <v>9895</v>
      </c>
      <c r="H50" s="137"/>
      <c r="I50" s="136"/>
      <c r="J50" s="137"/>
    </row>
    <row r="51" spans="1:10" x14ac:dyDescent="0.3">
      <c r="A51" s="120" t="s">
        <v>31</v>
      </c>
      <c r="B51" s="121"/>
      <c r="C51" s="136">
        <v>11252</v>
      </c>
      <c r="D51" s="137"/>
      <c r="E51" s="136">
        <v>11262</v>
      </c>
      <c r="F51" s="137"/>
      <c r="G51" s="136">
        <v>11235</v>
      </c>
      <c r="H51" s="137"/>
      <c r="I51" s="136"/>
      <c r="J51" s="137"/>
    </row>
    <row r="52" spans="1:10" x14ac:dyDescent="0.3">
      <c r="A52" s="120" t="s">
        <v>32</v>
      </c>
      <c r="B52" s="121"/>
      <c r="C52" s="136">
        <v>110395</v>
      </c>
      <c r="D52" s="137"/>
      <c r="E52" s="136">
        <v>110395</v>
      </c>
      <c r="F52" s="137"/>
      <c r="G52" s="136">
        <v>110200</v>
      </c>
      <c r="H52" s="137"/>
      <c r="I52" s="136"/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/>
      <c r="J53" s="139"/>
    </row>
    <row r="54" spans="1:10" x14ac:dyDescent="0.3">
      <c r="A54" s="120" t="s">
        <v>34</v>
      </c>
      <c r="B54" s="121"/>
      <c r="C54" s="136">
        <v>48860</v>
      </c>
      <c r="D54" s="137"/>
      <c r="E54" s="136">
        <v>48842</v>
      </c>
      <c r="F54" s="137"/>
      <c r="G54" s="136">
        <v>48772</v>
      </c>
      <c r="H54" s="137"/>
      <c r="I54" s="136"/>
      <c r="J54" s="137"/>
    </row>
    <row r="55" spans="1:10" x14ac:dyDescent="0.3">
      <c r="A55" s="120" t="s">
        <v>53</v>
      </c>
      <c r="B55" s="121"/>
      <c r="C55" s="138">
        <v>5632</v>
      </c>
      <c r="D55" s="139"/>
      <c r="E55" s="138">
        <v>5663</v>
      </c>
      <c r="F55" s="139"/>
      <c r="G55" s="138">
        <v>5681</v>
      </c>
      <c r="H55" s="139"/>
      <c r="I55" s="138"/>
      <c r="J55" s="139"/>
    </row>
    <row r="56" spans="1:10" x14ac:dyDescent="0.3">
      <c r="A56" s="120" t="s">
        <v>49</v>
      </c>
      <c r="B56" s="121"/>
      <c r="C56" s="136">
        <v>22271</v>
      </c>
      <c r="D56" s="137"/>
      <c r="E56" s="136">
        <v>24183</v>
      </c>
      <c r="F56" s="137"/>
      <c r="G56" s="136">
        <v>24702</v>
      </c>
      <c r="H56" s="137"/>
      <c r="I56" s="136"/>
      <c r="J56" s="137"/>
    </row>
    <row r="57" spans="1:10" x14ac:dyDescent="0.3">
      <c r="A57" s="120" t="s">
        <v>35</v>
      </c>
      <c r="B57" s="121"/>
      <c r="C57" s="138">
        <v>3916</v>
      </c>
      <c r="D57" s="139"/>
      <c r="E57" s="138">
        <v>3918</v>
      </c>
      <c r="F57" s="139"/>
      <c r="G57" s="138">
        <v>3935</v>
      </c>
      <c r="H57" s="139"/>
      <c r="I57" s="138"/>
      <c r="J57" s="139"/>
    </row>
    <row r="58" spans="1:10" x14ac:dyDescent="0.3">
      <c r="A58" s="120" t="s">
        <v>36</v>
      </c>
      <c r="B58" s="121"/>
      <c r="C58" s="122">
        <f>SUM(C50:D57)</f>
        <v>212645</v>
      </c>
      <c r="D58" s="123"/>
      <c r="E58" s="122">
        <f>SUM(E50:F57)</f>
        <v>214543</v>
      </c>
      <c r="F58" s="123"/>
      <c r="G58" s="122">
        <f>SUM(G50:G57)</f>
        <v>214656</v>
      </c>
      <c r="H58" s="123"/>
      <c r="I58" s="122">
        <f>SUM(I50:J57)</f>
        <v>0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806</v>
      </c>
      <c r="D60" s="131"/>
      <c r="E60" s="130" t="s">
        <v>809</v>
      </c>
      <c r="F60" s="131"/>
      <c r="G60" s="130" t="s">
        <v>814</v>
      </c>
      <c r="H60" s="131"/>
      <c r="I60" s="130" t="s">
        <v>820</v>
      </c>
      <c r="J60" s="131"/>
    </row>
    <row r="61" spans="1:10" x14ac:dyDescent="0.3">
      <c r="A61" s="126"/>
      <c r="B61" s="127"/>
      <c r="C61" s="132">
        <v>141148</v>
      </c>
      <c r="D61" s="133"/>
      <c r="E61" s="132">
        <v>141236</v>
      </c>
      <c r="F61" s="133"/>
      <c r="G61" s="132">
        <v>141352</v>
      </c>
      <c r="H61" s="133"/>
      <c r="I61" s="132"/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718</v>
      </c>
      <c r="D66" s="115"/>
      <c r="E66" s="114" t="s">
        <v>760</v>
      </c>
      <c r="F66" s="115"/>
      <c r="G66" s="114" t="s">
        <v>776</v>
      </c>
      <c r="H66" s="115"/>
      <c r="I66" s="114" t="s">
        <v>801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32418</v>
      </c>
      <c r="D69" s="104"/>
      <c r="E69" s="103">
        <v>33056</v>
      </c>
      <c r="F69" s="104"/>
      <c r="G69" s="103">
        <v>32925</v>
      </c>
      <c r="H69" s="104"/>
      <c r="I69" s="103">
        <v>33221</v>
      </c>
      <c r="J69" s="104"/>
    </row>
    <row r="70" spans="1:10" x14ac:dyDescent="0.3">
      <c r="A70" s="101" t="s">
        <v>13</v>
      </c>
      <c r="B70" s="102"/>
      <c r="C70" s="103">
        <v>7352</v>
      </c>
      <c r="D70" s="104"/>
      <c r="E70" s="103">
        <v>7380</v>
      </c>
      <c r="F70" s="104"/>
      <c r="G70" s="103">
        <v>7455</v>
      </c>
      <c r="H70" s="104"/>
      <c r="I70" s="103">
        <v>7510</v>
      </c>
      <c r="J70" s="104"/>
    </row>
    <row r="71" spans="1:10" x14ac:dyDescent="0.3">
      <c r="A71" s="107" t="s">
        <v>14</v>
      </c>
      <c r="B71" s="108"/>
      <c r="C71" s="103">
        <v>6558</v>
      </c>
      <c r="D71" s="104"/>
      <c r="E71" s="103">
        <v>6610</v>
      </c>
      <c r="F71" s="104"/>
      <c r="G71" s="103">
        <v>6681</v>
      </c>
      <c r="H71" s="104"/>
      <c r="I71" s="103">
        <v>6761</v>
      </c>
      <c r="J71" s="104"/>
    </row>
    <row r="72" spans="1:10" x14ac:dyDescent="0.3">
      <c r="A72" s="107" t="s">
        <v>41</v>
      </c>
      <c r="B72" s="108"/>
      <c r="C72" s="103">
        <v>1621</v>
      </c>
      <c r="D72" s="104"/>
      <c r="E72" s="103">
        <v>1653</v>
      </c>
      <c r="F72" s="104"/>
      <c r="G72" s="103">
        <v>1688</v>
      </c>
      <c r="H72" s="104"/>
      <c r="I72" s="103">
        <v>1705</v>
      </c>
      <c r="J72" s="104"/>
    </row>
    <row r="73" spans="1:10" x14ac:dyDescent="0.3">
      <c r="A73" s="101" t="s">
        <v>15</v>
      </c>
      <c r="B73" s="102"/>
      <c r="C73" s="103">
        <v>5117</v>
      </c>
      <c r="D73" s="104"/>
      <c r="E73" s="103">
        <v>5163</v>
      </c>
      <c r="F73" s="104"/>
      <c r="G73" s="103">
        <v>5228</v>
      </c>
      <c r="H73" s="104"/>
      <c r="I73" s="103">
        <v>5304</v>
      </c>
      <c r="J73" s="104"/>
    </row>
    <row r="74" spans="1:10" x14ac:dyDescent="0.3">
      <c r="A74" s="107" t="s">
        <v>16</v>
      </c>
      <c r="B74" s="108"/>
      <c r="C74" s="103">
        <v>5068</v>
      </c>
      <c r="D74" s="104"/>
      <c r="E74" s="103">
        <v>5103</v>
      </c>
      <c r="F74" s="104"/>
      <c r="G74" s="103">
        <v>5115</v>
      </c>
      <c r="H74" s="104"/>
      <c r="I74" s="103">
        <v>5147</v>
      </c>
      <c r="J74" s="104"/>
    </row>
    <row r="75" spans="1:10" x14ac:dyDescent="0.3">
      <c r="A75" s="101" t="s">
        <v>17</v>
      </c>
      <c r="B75" s="102"/>
      <c r="C75" s="103">
        <v>8163</v>
      </c>
      <c r="D75" s="104"/>
      <c r="E75" s="103">
        <v>8230</v>
      </c>
      <c r="F75" s="104"/>
      <c r="G75" s="103">
        <v>8315</v>
      </c>
      <c r="H75" s="104"/>
      <c r="I75" s="103">
        <v>8392</v>
      </c>
      <c r="J75" s="104"/>
    </row>
    <row r="76" spans="1:10" x14ac:dyDescent="0.3">
      <c r="A76" s="107" t="s">
        <v>18</v>
      </c>
      <c r="B76" s="108"/>
      <c r="C76" s="103">
        <v>1679</v>
      </c>
      <c r="D76" s="104"/>
      <c r="E76" s="103">
        <v>1683</v>
      </c>
      <c r="F76" s="104"/>
      <c r="G76" s="103">
        <v>1686</v>
      </c>
      <c r="H76" s="104"/>
      <c r="I76" s="103">
        <v>1697</v>
      </c>
      <c r="J76" s="104"/>
    </row>
    <row r="77" spans="1:10" x14ac:dyDescent="0.3">
      <c r="A77" s="101" t="s">
        <v>19</v>
      </c>
      <c r="B77" s="102"/>
      <c r="C77" s="103">
        <v>6309</v>
      </c>
      <c r="D77" s="104"/>
      <c r="E77" s="103">
        <v>6449</v>
      </c>
      <c r="F77" s="104"/>
      <c r="G77" s="103">
        <v>6545</v>
      </c>
      <c r="H77" s="104"/>
      <c r="I77" s="103">
        <v>6619</v>
      </c>
      <c r="J77" s="104"/>
    </row>
    <row r="78" spans="1:10" x14ac:dyDescent="0.3">
      <c r="A78" s="105" t="s">
        <v>42</v>
      </c>
      <c r="B78" s="106"/>
      <c r="C78" s="103">
        <f>SUM(C69:C77)</f>
        <v>74285</v>
      </c>
      <c r="D78" s="104"/>
      <c r="E78" s="103">
        <f>SUM(E69:E77)</f>
        <v>75327</v>
      </c>
      <c r="F78" s="104"/>
      <c r="G78" s="103">
        <f>SUM(G69:G77)</f>
        <v>75638</v>
      </c>
      <c r="H78" s="104"/>
      <c r="I78" s="103">
        <f>SUM(I69:I77)</f>
        <v>76356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78"/>
  <sheetViews>
    <sheetView workbookViewId="0">
      <selection sqref="A1:XFD1048576"/>
    </sheetView>
  </sheetViews>
  <sheetFormatPr defaultRowHeight="14.4" x14ac:dyDescent="0.3"/>
  <cols>
    <col min="2" max="2" width="18.44140625" customWidth="1"/>
    <col min="13" max="13" width="10.88671875" customWidth="1"/>
  </cols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ht="26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820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8636</v>
      </c>
      <c r="D5" s="215"/>
      <c r="E5" s="215">
        <v>10</v>
      </c>
      <c r="F5" s="215"/>
      <c r="G5" s="215">
        <v>306</v>
      </c>
      <c r="H5" s="215"/>
      <c r="I5" s="213">
        <v>274</v>
      </c>
      <c r="J5" s="214"/>
      <c r="K5" s="216">
        <v>34</v>
      </c>
      <c r="L5" s="217"/>
      <c r="M5" s="56">
        <v>1610</v>
      </c>
      <c r="N5" s="53">
        <v>610</v>
      </c>
      <c r="O5" s="88">
        <v>23570</v>
      </c>
      <c r="P5" s="53">
        <v>17387</v>
      </c>
      <c r="Q5" s="89">
        <v>15213</v>
      </c>
    </row>
    <row r="6" spans="1:17" x14ac:dyDescent="0.3">
      <c r="A6" s="211" t="s">
        <v>11</v>
      </c>
      <c r="B6" s="212"/>
      <c r="C6" s="213">
        <v>220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369</v>
      </c>
      <c r="D7" s="210"/>
      <c r="E7" s="210">
        <v>69</v>
      </c>
      <c r="F7" s="210"/>
      <c r="G7" s="210">
        <v>289</v>
      </c>
      <c r="H7" s="210"/>
      <c r="I7" s="149">
        <v>339</v>
      </c>
      <c r="J7" s="150"/>
      <c r="K7" s="149">
        <v>108</v>
      </c>
      <c r="L7" s="150"/>
      <c r="M7" s="52">
        <v>401</v>
      </c>
      <c r="N7" s="52">
        <v>24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218</v>
      </c>
      <c r="D8" s="210"/>
      <c r="E8" s="210">
        <v>0</v>
      </c>
      <c r="F8" s="210"/>
      <c r="G8" s="210">
        <v>2</v>
      </c>
      <c r="H8" s="210"/>
      <c r="I8" s="149">
        <v>119</v>
      </c>
      <c r="J8" s="150"/>
      <c r="K8" s="149">
        <v>0</v>
      </c>
      <c r="L8" s="150"/>
      <c r="M8" s="52">
        <v>549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218</v>
      </c>
      <c r="D9" s="210"/>
      <c r="E9" s="210">
        <v>14</v>
      </c>
      <c r="F9" s="210"/>
      <c r="G9" s="210">
        <v>5</v>
      </c>
      <c r="H9" s="210"/>
      <c r="I9" s="149">
        <v>200</v>
      </c>
      <c r="J9" s="150"/>
      <c r="K9" s="149">
        <v>29</v>
      </c>
      <c r="L9" s="150"/>
      <c r="M9" s="52">
        <v>496</v>
      </c>
      <c r="N9" s="52">
        <v>16</v>
      </c>
      <c r="O9" s="52">
        <v>0</v>
      </c>
      <c r="P9" s="52">
        <v>12</v>
      </c>
      <c r="Q9" s="52">
        <v>1</v>
      </c>
    </row>
    <row r="10" spans="1:17" x14ac:dyDescent="0.3">
      <c r="A10" s="101" t="s">
        <v>15</v>
      </c>
      <c r="B10" s="102"/>
      <c r="C10" s="210">
        <v>260</v>
      </c>
      <c r="D10" s="210"/>
      <c r="E10" s="210">
        <v>13</v>
      </c>
      <c r="F10" s="210"/>
      <c r="G10" s="210">
        <v>7</v>
      </c>
      <c r="H10" s="210"/>
      <c r="I10" s="149">
        <v>350</v>
      </c>
      <c r="J10" s="150"/>
      <c r="K10" s="149">
        <v>105</v>
      </c>
      <c r="L10" s="150"/>
      <c r="M10" s="52">
        <v>750</v>
      </c>
      <c r="N10" s="52">
        <v>380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168</v>
      </c>
      <c r="D11" s="209"/>
      <c r="E11" s="210">
        <v>5</v>
      </c>
      <c r="F11" s="210"/>
      <c r="G11" s="210">
        <v>8</v>
      </c>
      <c r="H11" s="210"/>
      <c r="I11" s="149">
        <v>197</v>
      </c>
      <c r="J11" s="150"/>
      <c r="K11" s="149">
        <v>73</v>
      </c>
      <c r="L11" s="150"/>
      <c r="M11" s="52">
        <v>307</v>
      </c>
      <c r="N11" s="52">
        <v>502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63</v>
      </c>
      <c r="D12" s="209"/>
      <c r="E12" s="210">
        <v>0</v>
      </c>
      <c r="F12" s="210"/>
      <c r="G12" s="210">
        <v>0</v>
      </c>
      <c r="H12" s="210"/>
      <c r="I12" s="149">
        <v>168</v>
      </c>
      <c r="J12" s="150"/>
      <c r="K12" s="149">
        <v>5</v>
      </c>
      <c r="L12" s="150"/>
      <c r="M12" s="52">
        <v>241</v>
      </c>
      <c r="N12" s="52">
        <v>50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107</v>
      </c>
      <c r="D13" s="150"/>
      <c r="E13" s="149">
        <v>5</v>
      </c>
      <c r="F13" s="150"/>
      <c r="G13" s="149">
        <v>1</v>
      </c>
      <c r="H13" s="150"/>
      <c r="I13" s="149">
        <v>182</v>
      </c>
      <c r="J13" s="150"/>
      <c r="K13" s="149">
        <v>21</v>
      </c>
      <c r="L13" s="150"/>
      <c r="M13" s="52">
        <v>257</v>
      </c>
      <c r="N13" s="52">
        <v>27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235</v>
      </c>
      <c r="D14" s="206"/>
      <c r="E14" s="205">
        <v>4</v>
      </c>
      <c r="F14" s="206"/>
      <c r="G14" s="205">
        <v>2</v>
      </c>
      <c r="H14" s="206"/>
      <c r="I14" s="149">
        <v>321</v>
      </c>
      <c r="J14" s="150"/>
      <c r="K14" s="205">
        <v>2</v>
      </c>
      <c r="L14" s="206"/>
      <c r="M14" s="59">
        <v>545</v>
      </c>
      <c r="N14" s="59">
        <v>18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62">
        <v>2980</v>
      </c>
      <c r="P15" s="59">
        <v>2994</v>
      </c>
      <c r="Q15" s="91">
        <v>3126</v>
      </c>
    </row>
    <row r="16" spans="1:17" ht="15" thickBot="1" x14ac:dyDescent="0.35">
      <c r="A16" s="199" t="s">
        <v>20</v>
      </c>
      <c r="B16" s="200"/>
      <c r="C16" s="201">
        <f>SUM(C5:D15)</f>
        <v>10494</v>
      </c>
      <c r="D16" s="202"/>
      <c r="E16" s="201">
        <f>SUM(E5:F15)</f>
        <v>120</v>
      </c>
      <c r="F16" s="202"/>
      <c r="G16" s="201">
        <f>SUM(G5:H15)</f>
        <v>620</v>
      </c>
      <c r="H16" s="202"/>
      <c r="I16" s="201">
        <f>SUM(I5:J15)</f>
        <v>2150</v>
      </c>
      <c r="J16" s="202"/>
      <c r="K16" s="201">
        <f>SUM(K5:L15)</f>
        <v>377</v>
      </c>
      <c r="L16" s="202"/>
      <c r="M16" s="4">
        <f>SUM(M5:M15)</f>
        <v>5156</v>
      </c>
      <c r="N16" s="4">
        <f>SUM(N5:N15)</f>
        <v>1642</v>
      </c>
      <c r="O16" s="4">
        <f>SUM(O5:O15)</f>
        <v>26632</v>
      </c>
      <c r="P16" s="4">
        <f>SUM(P5:P15)</f>
        <v>20423</v>
      </c>
      <c r="Q16" s="5">
        <f>SUM(Q5:Q15)</f>
        <v>18347</v>
      </c>
    </row>
    <row r="17" spans="1:17" x14ac:dyDescent="0.3">
      <c r="A17" s="190" t="s">
        <v>21</v>
      </c>
      <c r="B17" s="191"/>
      <c r="C17" s="192">
        <v>8636</v>
      </c>
      <c r="D17" s="192"/>
      <c r="E17" s="193">
        <v>10</v>
      </c>
      <c r="F17" s="194"/>
      <c r="G17" s="195">
        <v>306</v>
      </c>
      <c r="H17" s="196"/>
      <c r="I17" s="195">
        <v>274</v>
      </c>
      <c r="J17" s="196"/>
      <c r="K17" s="197">
        <v>34</v>
      </c>
      <c r="L17" s="198"/>
      <c r="M17" s="36">
        <v>1610</v>
      </c>
      <c r="N17" s="96">
        <v>560</v>
      </c>
      <c r="O17" s="94">
        <v>23570</v>
      </c>
      <c r="P17" s="34">
        <v>17287</v>
      </c>
      <c r="Q17" s="95">
        <v>15213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820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66</v>
      </c>
      <c r="D24" s="162"/>
      <c r="E24" s="185" t="s">
        <v>244</v>
      </c>
      <c r="F24" s="186"/>
      <c r="G24" s="161">
        <v>0</v>
      </c>
      <c r="H24" s="162"/>
      <c r="I24" s="161">
        <v>28</v>
      </c>
      <c r="J24" s="162"/>
      <c r="K24" s="70">
        <v>0</v>
      </c>
      <c r="L24" s="78">
        <v>20</v>
      </c>
      <c r="M24" s="78">
        <v>8</v>
      </c>
    </row>
    <row r="25" spans="1:17" x14ac:dyDescent="0.3">
      <c r="A25" s="101" t="s">
        <v>13</v>
      </c>
      <c r="B25" s="102"/>
      <c r="C25" s="149">
        <v>28</v>
      </c>
      <c r="D25" s="150"/>
      <c r="E25" s="165" t="s">
        <v>25</v>
      </c>
      <c r="F25" s="166"/>
      <c r="G25" s="149">
        <v>0</v>
      </c>
      <c r="H25" s="150"/>
      <c r="I25" s="149">
        <v>149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97</v>
      </c>
      <c r="D26" s="150"/>
      <c r="E26" s="165" t="s">
        <v>303</v>
      </c>
      <c r="F26" s="166"/>
      <c r="G26" s="149">
        <v>22</v>
      </c>
      <c r="H26" s="150"/>
      <c r="I26" s="149">
        <v>69</v>
      </c>
      <c r="J26" s="150"/>
      <c r="K26" s="52">
        <v>4</v>
      </c>
      <c r="L26" s="79">
        <v>26</v>
      </c>
      <c r="M26" s="79">
        <v>5</v>
      </c>
    </row>
    <row r="27" spans="1:17" x14ac:dyDescent="0.3">
      <c r="A27" s="101" t="s">
        <v>15</v>
      </c>
      <c r="B27" s="102"/>
      <c r="C27" s="165" t="s">
        <v>810</v>
      </c>
      <c r="D27" s="166"/>
      <c r="E27" s="165" t="s">
        <v>25</v>
      </c>
      <c r="F27" s="166"/>
      <c r="G27" s="149">
        <v>0</v>
      </c>
      <c r="H27" s="150"/>
      <c r="I27" s="149">
        <v>26</v>
      </c>
      <c r="J27" s="150"/>
      <c r="K27" s="52">
        <v>5</v>
      </c>
      <c r="L27" s="81">
        <v>24</v>
      </c>
      <c r="M27" s="79">
        <v>1</v>
      </c>
    </row>
    <row r="28" spans="1:17" x14ac:dyDescent="0.3">
      <c r="A28" s="101" t="s">
        <v>16</v>
      </c>
      <c r="B28" s="102"/>
      <c r="C28" s="183" t="s">
        <v>739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44</v>
      </c>
      <c r="D29" s="153"/>
      <c r="E29" s="165" t="s">
        <v>201</v>
      </c>
      <c r="F29" s="166"/>
      <c r="G29" s="149">
        <v>0</v>
      </c>
      <c r="H29" s="150"/>
      <c r="I29" s="149">
        <v>7</v>
      </c>
      <c r="J29" s="150"/>
      <c r="K29" s="52">
        <v>0</v>
      </c>
      <c r="L29" s="79">
        <v>4</v>
      </c>
      <c r="M29" s="79">
        <v>0</v>
      </c>
    </row>
    <row r="30" spans="1:17" x14ac:dyDescent="0.3">
      <c r="A30" s="101" t="s">
        <v>18</v>
      </c>
      <c r="B30" s="102"/>
      <c r="C30" s="183" t="s">
        <v>783</v>
      </c>
      <c r="D30" s="184"/>
      <c r="E30" s="165" t="s">
        <v>25</v>
      </c>
      <c r="F30" s="166"/>
      <c r="G30" s="149">
        <v>0</v>
      </c>
      <c r="H30" s="150"/>
      <c r="I30" s="149">
        <v>8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820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378</v>
      </c>
      <c r="D37" s="162"/>
      <c r="E37" s="163" t="s">
        <v>152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43</v>
      </c>
      <c r="M37" s="78">
        <v>8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821</v>
      </c>
      <c r="F38" s="155"/>
      <c r="G38" s="149" t="s">
        <v>786</v>
      </c>
      <c r="H38" s="150"/>
      <c r="I38" s="149">
        <v>0</v>
      </c>
      <c r="J38" s="150"/>
      <c r="K38" s="52">
        <v>0</v>
      </c>
      <c r="L38" s="79">
        <v>7</v>
      </c>
      <c r="M38" s="79">
        <v>2</v>
      </c>
    </row>
    <row r="39" spans="1:13" x14ac:dyDescent="0.3">
      <c r="A39" s="147" t="s">
        <v>14</v>
      </c>
      <c r="B39" s="148"/>
      <c r="C39" s="149" t="s">
        <v>822</v>
      </c>
      <c r="D39" s="150"/>
      <c r="E39" s="154" t="s">
        <v>823</v>
      </c>
      <c r="F39" s="155"/>
      <c r="G39" s="149" t="s">
        <v>358</v>
      </c>
      <c r="H39" s="150"/>
      <c r="I39" s="149" t="s">
        <v>824</v>
      </c>
      <c r="J39" s="150"/>
      <c r="K39" s="52">
        <v>19</v>
      </c>
      <c r="L39" s="79">
        <v>19</v>
      </c>
      <c r="M39" s="79">
        <v>2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733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530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235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748</v>
      </c>
      <c r="D43" s="153"/>
      <c r="E43" s="149" t="s">
        <v>95</v>
      </c>
      <c r="F43" s="150"/>
      <c r="G43" s="149">
        <v>0</v>
      </c>
      <c r="H43" s="150"/>
      <c r="I43" s="149" t="s">
        <v>517</v>
      </c>
      <c r="J43" s="150"/>
      <c r="K43" s="52">
        <v>0</v>
      </c>
      <c r="L43" s="79">
        <v>3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806</v>
      </c>
      <c r="D49" s="146"/>
      <c r="E49" s="145" t="s">
        <v>809</v>
      </c>
      <c r="F49" s="146"/>
      <c r="G49" s="145" t="s">
        <v>814</v>
      </c>
      <c r="H49" s="146"/>
      <c r="I49" s="145" t="s">
        <v>820</v>
      </c>
      <c r="J49" s="146"/>
    </row>
    <row r="50" spans="1:10" x14ac:dyDescent="0.3">
      <c r="A50" s="120" t="s">
        <v>30</v>
      </c>
      <c r="B50" s="121"/>
      <c r="C50" s="136">
        <v>10044</v>
      </c>
      <c r="D50" s="137"/>
      <c r="E50" s="136">
        <v>9977</v>
      </c>
      <c r="F50" s="137"/>
      <c r="G50" s="136">
        <v>9895</v>
      </c>
      <c r="H50" s="137"/>
      <c r="I50" s="136">
        <v>9834</v>
      </c>
      <c r="J50" s="137"/>
    </row>
    <row r="51" spans="1:10" x14ac:dyDescent="0.3">
      <c r="A51" s="120" t="s">
        <v>31</v>
      </c>
      <c r="B51" s="121"/>
      <c r="C51" s="136">
        <v>11262</v>
      </c>
      <c r="D51" s="137"/>
      <c r="E51" s="136">
        <v>11260</v>
      </c>
      <c r="F51" s="137"/>
      <c r="G51" s="136">
        <v>11235</v>
      </c>
      <c r="H51" s="137"/>
      <c r="I51" s="136">
        <v>11222</v>
      </c>
      <c r="J51" s="137"/>
    </row>
    <row r="52" spans="1:10" x14ac:dyDescent="0.3">
      <c r="A52" s="120" t="s">
        <v>32</v>
      </c>
      <c r="B52" s="121"/>
      <c r="C52" s="136">
        <v>110395</v>
      </c>
      <c r="D52" s="137"/>
      <c r="E52" s="136">
        <v>110331</v>
      </c>
      <c r="F52" s="137"/>
      <c r="G52" s="136">
        <v>110200</v>
      </c>
      <c r="H52" s="137"/>
      <c r="I52" s="136">
        <v>110105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48842</v>
      </c>
      <c r="D54" s="137"/>
      <c r="E54" s="136">
        <v>48823</v>
      </c>
      <c r="F54" s="137"/>
      <c r="G54" s="136">
        <v>48772</v>
      </c>
      <c r="H54" s="137"/>
      <c r="I54" s="136">
        <v>48736</v>
      </c>
      <c r="J54" s="137"/>
    </row>
    <row r="55" spans="1:10" x14ac:dyDescent="0.3">
      <c r="A55" s="120" t="s">
        <v>53</v>
      </c>
      <c r="B55" s="121"/>
      <c r="C55" s="138">
        <v>5663</v>
      </c>
      <c r="D55" s="139"/>
      <c r="E55" s="138">
        <v>5684</v>
      </c>
      <c r="F55" s="139"/>
      <c r="G55" s="138">
        <v>5681</v>
      </c>
      <c r="H55" s="139"/>
      <c r="I55" s="138">
        <v>5723</v>
      </c>
      <c r="J55" s="139"/>
    </row>
    <row r="56" spans="1:10" x14ac:dyDescent="0.3">
      <c r="A56" s="120" t="s">
        <v>49</v>
      </c>
      <c r="B56" s="121"/>
      <c r="C56" s="136">
        <v>24183</v>
      </c>
      <c r="D56" s="137"/>
      <c r="E56" s="136">
        <v>24429</v>
      </c>
      <c r="F56" s="137"/>
      <c r="G56" s="136">
        <v>24702</v>
      </c>
      <c r="H56" s="137"/>
      <c r="I56" s="136">
        <v>24931</v>
      </c>
      <c r="J56" s="137"/>
    </row>
    <row r="57" spans="1:10" x14ac:dyDescent="0.3">
      <c r="A57" s="120" t="s">
        <v>35</v>
      </c>
      <c r="B57" s="121"/>
      <c r="C57" s="138">
        <v>3918</v>
      </c>
      <c r="D57" s="139"/>
      <c r="E57" s="138">
        <v>3921</v>
      </c>
      <c r="F57" s="139"/>
      <c r="G57" s="138">
        <v>3935</v>
      </c>
      <c r="H57" s="139"/>
      <c r="I57" s="138">
        <v>3937</v>
      </c>
      <c r="J57" s="139"/>
    </row>
    <row r="58" spans="1:10" x14ac:dyDescent="0.3">
      <c r="A58" s="120" t="s">
        <v>36</v>
      </c>
      <c r="B58" s="121"/>
      <c r="C58" s="122">
        <f>SUM(C50:D57)</f>
        <v>214543</v>
      </c>
      <c r="D58" s="123"/>
      <c r="E58" s="122">
        <f>SUM(E50:F57)</f>
        <v>214661</v>
      </c>
      <c r="F58" s="123"/>
      <c r="G58" s="122">
        <f>SUM(G50:G57)</f>
        <v>214656</v>
      </c>
      <c r="H58" s="123"/>
      <c r="I58" s="122">
        <f>SUM(I50:J57)</f>
        <v>214724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806</v>
      </c>
      <c r="D60" s="131"/>
      <c r="E60" s="130" t="s">
        <v>809</v>
      </c>
      <c r="F60" s="131"/>
      <c r="G60" s="130" t="s">
        <v>814</v>
      </c>
      <c r="H60" s="131"/>
      <c r="I60" s="130" t="s">
        <v>820</v>
      </c>
      <c r="J60" s="131"/>
    </row>
    <row r="61" spans="1:10" x14ac:dyDescent="0.3">
      <c r="A61" s="126"/>
      <c r="B61" s="127"/>
      <c r="C61" s="132">
        <v>141148</v>
      </c>
      <c r="D61" s="133"/>
      <c r="E61" s="132">
        <v>141236</v>
      </c>
      <c r="F61" s="133"/>
      <c r="G61" s="132">
        <v>141352</v>
      </c>
      <c r="H61" s="133"/>
      <c r="I61" s="132">
        <v>141450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760</v>
      </c>
      <c r="D66" s="115"/>
      <c r="E66" s="114" t="s">
        <v>776</v>
      </c>
      <c r="F66" s="115"/>
      <c r="G66" s="114" t="s">
        <v>801</v>
      </c>
      <c r="H66" s="115"/>
      <c r="I66" s="114" t="s">
        <v>825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33056</v>
      </c>
      <c r="D69" s="104"/>
      <c r="E69" s="103">
        <v>32925</v>
      </c>
      <c r="F69" s="104"/>
      <c r="G69" s="103">
        <v>33221</v>
      </c>
      <c r="H69" s="104"/>
      <c r="I69" s="103">
        <v>33534</v>
      </c>
      <c r="J69" s="104"/>
    </row>
    <row r="70" spans="1:10" x14ac:dyDescent="0.3">
      <c r="A70" s="101" t="s">
        <v>13</v>
      </c>
      <c r="B70" s="102"/>
      <c r="C70" s="103">
        <v>7380</v>
      </c>
      <c r="D70" s="104"/>
      <c r="E70" s="103">
        <v>7455</v>
      </c>
      <c r="F70" s="104"/>
      <c r="G70" s="103">
        <v>7510</v>
      </c>
      <c r="H70" s="104"/>
      <c r="I70" s="103">
        <v>7563</v>
      </c>
      <c r="J70" s="104"/>
    </row>
    <row r="71" spans="1:10" x14ac:dyDescent="0.3">
      <c r="A71" s="107" t="s">
        <v>14</v>
      </c>
      <c r="B71" s="108"/>
      <c r="C71" s="103">
        <v>6610</v>
      </c>
      <c r="D71" s="104"/>
      <c r="E71" s="103">
        <v>6681</v>
      </c>
      <c r="F71" s="104"/>
      <c r="G71" s="103">
        <v>6761</v>
      </c>
      <c r="H71" s="104"/>
      <c r="I71" s="103">
        <v>6817</v>
      </c>
      <c r="J71" s="104"/>
    </row>
    <row r="72" spans="1:10" x14ac:dyDescent="0.3">
      <c r="A72" s="107" t="s">
        <v>41</v>
      </c>
      <c r="B72" s="108"/>
      <c r="C72" s="103">
        <v>1653</v>
      </c>
      <c r="D72" s="104"/>
      <c r="E72" s="103">
        <v>1688</v>
      </c>
      <c r="F72" s="104"/>
      <c r="G72" s="103">
        <v>1705</v>
      </c>
      <c r="H72" s="104"/>
      <c r="I72" s="103">
        <v>1728</v>
      </c>
      <c r="J72" s="104"/>
    </row>
    <row r="73" spans="1:10" x14ac:dyDescent="0.3">
      <c r="A73" s="101" t="s">
        <v>15</v>
      </c>
      <c r="B73" s="102"/>
      <c r="C73" s="103">
        <v>5163</v>
      </c>
      <c r="D73" s="104"/>
      <c r="E73" s="103">
        <v>5228</v>
      </c>
      <c r="F73" s="104"/>
      <c r="G73" s="103">
        <v>5304</v>
      </c>
      <c r="H73" s="104"/>
      <c r="I73" s="103">
        <v>5368</v>
      </c>
      <c r="J73" s="104"/>
    </row>
    <row r="74" spans="1:10" x14ac:dyDescent="0.3">
      <c r="A74" s="107" t="s">
        <v>16</v>
      </c>
      <c r="B74" s="108"/>
      <c r="C74" s="103">
        <v>5103</v>
      </c>
      <c r="D74" s="104"/>
      <c r="E74" s="103">
        <v>5115</v>
      </c>
      <c r="F74" s="104"/>
      <c r="G74" s="103">
        <v>5147</v>
      </c>
      <c r="H74" s="104"/>
      <c r="I74" s="103">
        <v>5162</v>
      </c>
      <c r="J74" s="104"/>
    </row>
    <row r="75" spans="1:10" x14ac:dyDescent="0.3">
      <c r="A75" s="101" t="s">
        <v>17</v>
      </c>
      <c r="B75" s="102"/>
      <c r="C75" s="103">
        <v>8230</v>
      </c>
      <c r="D75" s="104"/>
      <c r="E75" s="103">
        <v>8315</v>
      </c>
      <c r="F75" s="104"/>
      <c r="G75" s="103">
        <v>8392</v>
      </c>
      <c r="H75" s="104"/>
      <c r="I75" s="103">
        <v>8545</v>
      </c>
      <c r="J75" s="104"/>
    </row>
    <row r="76" spans="1:10" x14ac:dyDescent="0.3">
      <c r="A76" s="107" t="s">
        <v>18</v>
      </c>
      <c r="B76" s="108"/>
      <c r="C76" s="103">
        <v>1683</v>
      </c>
      <c r="D76" s="104"/>
      <c r="E76" s="103">
        <v>1686</v>
      </c>
      <c r="F76" s="104"/>
      <c r="G76" s="103">
        <v>1697</v>
      </c>
      <c r="H76" s="104"/>
      <c r="I76" s="103">
        <v>1709</v>
      </c>
      <c r="J76" s="104"/>
    </row>
    <row r="77" spans="1:10" x14ac:dyDescent="0.3">
      <c r="A77" s="101" t="s">
        <v>19</v>
      </c>
      <c r="B77" s="102"/>
      <c r="C77" s="103">
        <v>6449</v>
      </c>
      <c r="D77" s="104"/>
      <c r="E77" s="103">
        <v>6545</v>
      </c>
      <c r="F77" s="104"/>
      <c r="G77" s="103">
        <v>6619</v>
      </c>
      <c r="H77" s="104"/>
      <c r="I77" s="103">
        <v>6659</v>
      </c>
      <c r="J77" s="104"/>
    </row>
    <row r="78" spans="1:10" x14ac:dyDescent="0.3">
      <c r="A78" s="105" t="s">
        <v>42</v>
      </c>
      <c r="B78" s="106"/>
      <c r="C78" s="103">
        <f>SUM(C69:C77)</f>
        <v>75327</v>
      </c>
      <c r="D78" s="104"/>
      <c r="E78" s="103">
        <f>SUM(E69:E77)</f>
        <v>75638</v>
      </c>
      <c r="F78" s="104"/>
      <c r="G78" s="103">
        <f>SUM(G69:G77)</f>
        <v>76356</v>
      </c>
      <c r="H78" s="104"/>
      <c r="I78" s="103">
        <f>SUM(I69:I77)</f>
        <v>77085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T78"/>
  <sheetViews>
    <sheetView topLeftCell="A49" workbookViewId="0">
      <selection activeCell="A64" sqref="A64:J78"/>
    </sheetView>
  </sheetViews>
  <sheetFormatPr defaultRowHeight="14.4" x14ac:dyDescent="0.3"/>
  <cols>
    <col min="2" max="2" width="18.44140625" customWidth="1"/>
    <col min="13" max="13" width="10.88671875" customWidth="1"/>
  </cols>
  <sheetData>
    <row r="1" spans="1:20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20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20" ht="26.2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20" x14ac:dyDescent="0.3">
      <c r="A4" s="105" t="s">
        <v>9</v>
      </c>
      <c r="B4" s="106"/>
      <c r="C4" s="221" t="s">
        <v>826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20" x14ac:dyDescent="0.3">
      <c r="A5" s="211" t="s">
        <v>10</v>
      </c>
      <c r="B5" s="212"/>
      <c r="C5" s="215">
        <v>8536</v>
      </c>
      <c r="D5" s="215"/>
      <c r="E5" s="215">
        <v>10</v>
      </c>
      <c r="F5" s="215"/>
      <c r="G5" s="215">
        <v>256</v>
      </c>
      <c r="H5" s="215"/>
      <c r="I5" s="213">
        <v>34</v>
      </c>
      <c r="J5" s="214"/>
      <c r="K5" s="216">
        <v>34</v>
      </c>
      <c r="L5" s="217"/>
      <c r="M5" s="56">
        <v>1410</v>
      </c>
      <c r="N5" s="53">
        <v>560</v>
      </c>
      <c r="O5" s="89">
        <v>23570</v>
      </c>
      <c r="P5" s="89">
        <v>17387</v>
      </c>
      <c r="Q5" s="53">
        <v>15213</v>
      </c>
    </row>
    <row r="6" spans="1:20" x14ac:dyDescent="0.3">
      <c r="A6" s="211" t="s">
        <v>11</v>
      </c>
      <c r="B6" s="212"/>
      <c r="C6" s="213">
        <v>857</v>
      </c>
      <c r="D6" s="214"/>
      <c r="E6" s="213">
        <v>42</v>
      </c>
      <c r="F6" s="214"/>
      <c r="G6" s="213">
        <v>1</v>
      </c>
      <c r="H6" s="214"/>
      <c r="I6" s="213">
        <v>10</v>
      </c>
      <c r="J6" s="214"/>
      <c r="K6" s="213">
        <v>15</v>
      </c>
      <c r="L6" s="214"/>
      <c r="M6" s="53">
        <v>17</v>
      </c>
      <c r="N6" s="53">
        <v>0</v>
      </c>
      <c r="O6" s="53">
        <v>0</v>
      </c>
      <c r="P6" s="53">
        <v>0</v>
      </c>
      <c r="Q6" s="53">
        <v>0</v>
      </c>
    </row>
    <row r="7" spans="1:20" x14ac:dyDescent="0.3">
      <c r="A7" s="101" t="s">
        <v>12</v>
      </c>
      <c r="B7" s="102"/>
      <c r="C7" s="210">
        <v>296</v>
      </c>
      <c r="D7" s="210"/>
      <c r="E7" s="210">
        <v>69</v>
      </c>
      <c r="F7" s="210"/>
      <c r="G7" s="210">
        <v>289</v>
      </c>
      <c r="H7" s="210"/>
      <c r="I7" s="149">
        <v>252</v>
      </c>
      <c r="J7" s="150"/>
      <c r="K7" s="149">
        <v>101</v>
      </c>
      <c r="L7" s="150"/>
      <c r="M7" s="52">
        <v>310</v>
      </c>
      <c r="N7" s="52">
        <v>51</v>
      </c>
      <c r="O7" s="52">
        <v>0</v>
      </c>
      <c r="P7" s="52">
        <v>0</v>
      </c>
      <c r="Q7" s="52">
        <v>0</v>
      </c>
    </row>
    <row r="8" spans="1:20" x14ac:dyDescent="0.3">
      <c r="A8" s="101" t="s">
        <v>13</v>
      </c>
      <c r="B8" s="102"/>
      <c r="C8" s="210">
        <v>188</v>
      </c>
      <c r="D8" s="210"/>
      <c r="E8" s="210">
        <v>0</v>
      </c>
      <c r="F8" s="210"/>
      <c r="G8" s="210">
        <v>2</v>
      </c>
      <c r="H8" s="210"/>
      <c r="I8" s="149">
        <v>67</v>
      </c>
      <c r="J8" s="150"/>
      <c r="K8" s="149">
        <v>0</v>
      </c>
      <c r="L8" s="150"/>
      <c r="M8" s="52">
        <v>518</v>
      </c>
      <c r="N8" s="52">
        <v>15</v>
      </c>
      <c r="O8" s="52">
        <v>0</v>
      </c>
      <c r="P8" s="52">
        <v>0</v>
      </c>
      <c r="Q8" s="52">
        <v>2</v>
      </c>
    </row>
    <row r="9" spans="1:20" x14ac:dyDescent="0.3">
      <c r="A9" s="101" t="s">
        <v>14</v>
      </c>
      <c r="B9" s="102"/>
      <c r="C9" s="210">
        <v>175</v>
      </c>
      <c r="D9" s="210"/>
      <c r="E9" s="210">
        <v>14</v>
      </c>
      <c r="F9" s="210"/>
      <c r="G9" s="210">
        <v>5</v>
      </c>
      <c r="H9" s="210"/>
      <c r="I9" s="149">
        <v>157</v>
      </c>
      <c r="J9" s="150"/>
      <c r="K9" s="149">
        <v>29</v>
      </c>
      <c r="L9" s="150"/>
      <c r="M9" s="52">
        <v>506</v>
      </c>
      <c r="N9" s="52">
        <v>16</v>
      </c>
      <c r="O9" s="52">
        <v>0</v>
      </c>
      <c r="P9" s="52">
        <v>12</v>
      </c>
      <c r="Q9" s="52">
        <v>1</v>
      </c>
    </row>
    <row r="10" spans="1:20" x14ac:dyDescent="0.3">
      <c r="A10" s="101" t="s">
        <v>15</v>
      </c>
      <c r="B10" s="102"/>
      <c r="C10" s="210">
        <v>240</v>
      </c>
      <c r="D10" s="210"/>
      <c r="E10" s="210">
        <v>13</v>
      </c>
      <c r="F10" s="210"/>
      <c r="G10" s="210">
        <v>7</v>
      </c>
      <c r="H10" s="210"/>
      <c r="I10" s="149">
        <v>305</v>
      </c>
      <c r="J10" s="150"/>
      <c r="K10" s="149">
        <v>93</v>
      </c>
      <c r="L10" s="150"/>
      <c r="M10" s="52">
        <v>710</v>
      </c>
      <c r="N10" s="52">
        <v>360</v>
      </c>
      <c r="O10" s="52">
        <v>0</v>
      </c>
      <c r="P10" s="52">
        <v>0</v>
      </c>
      <c r="Q10" s="52">
        <v>0</v>
      </c>
    </row>
    <row r="11" spans="1:20" x14ac:dyDescent="0.3">
      <c r="A11" s="101" t="s">
        <v>16</v>
      </c>
      <c r="B11" s="102"/>
      <c r="C11" s="209">
        <v>161</v>
      </c>
      <c r="D11" s="209"/>
      <c r="E11" s="210">
        <v>5</v>
      </c>
      <c r="F11" s="210"/>
      <c r="G11" s="210">
        <v>8</v>
      </c>
      <c r="H11" s="210"/>
      <c r="I11" s="149">
        <v>191</v>
      </c>
      <c r="J11" s="150"/>
      <c r="K11" s="149">
        <v>71</v>
      </c>
      <c r="L11" s="150"/>
      <c r="M11" s="52">
        <v>303</v>
      </c>
      <c r="N11" s="52">
        <v>502</v>
      </c>
      <c r="O11" s="52">
        <v>82</v>
      </c>
      <c r="P11" s="52">
        <v>14</v>
      </c>
      <c r="Q11" s="52">
        <v>0</v>
      </c>
    </row>
    <row r="12" spans="1:20" x14ac:dyDescent="0.3">
      <c r="A12" s="101" t="s">
        <v>17</v>
      </c>
      <c r="B12" s="102"/>
      <c r="C12" s="209">
        <v>58</v>
      </c>
      <c r="D12" s="209"/>
      <c r="E12" s="210">
        <v>100</v>
      </c>
      <c r="F12" s="210"/>
      <c r="G12" s="210">
        <v>0</v>
      </c>
      <c r="H12" s="210"/>
      <c r="I12" s="149">
        <v>148</v>
      </c>
      <c r="J12" s="150"/>
      <c r="K12" s="149">
        <v>0</v>
      </c>
      <c r="L12" s="150"/>
      <c r="M12" s="52">
        <v>216</v>
      </c>
      <c r="N12" s="52">
        <v>49</v>
      </c>
      <c r="O12" s="52">
        <v>0</v>
      </c>
      <c r="P12" s="52">
        <v>16</v>
      </c>
      <c r="Q12" s="52">
        <v>5</v>
      </c>
    </row>
    <row r="13" spans="1:20" x14ac:dyDescent="0.3">
      <c r="A13" s="101" t="s">
        <v>18</v>
      </c>
      <c r="B13" s="102"/>
      <c r="C13" s="149">
        <v>90</v>
      </c>
      <c r="D13" s="150"/>
      <c r="E13" s="149">
        <v>5</v>
      </c>
      <c r="F13" s="150"/>
      <c r="G13" s="149">
        <v>1</v>
      </c>
      <c r="H13" s="150"/>
      <c r="I13" s="149">
        <v>171</v>
      </c>
      <c r="J13" s="150"/>
      <c r="K13" s="149">
        <v>15</v>
      </c>
      <c r="L13" s="150"/>
      <c r="M13" s="52">
        <v>252</v>
      </c>
      <c r="N13" s="52">
        <v>27</v>
      </c>
      <c r="O13" s="52">
        <v>0</v>
      </c>
      <c r="P13" s="52">
        <v>0</v>
      </c>
      <c r="Q13" s="52">
        <v>0</v>
      </c>
    </row>
    <row r="14" spans="1:20" x14ac:dyDescent="0.3">
      <c r="A14" s="207" t="s">
        <v>19</v>
      </c>
      <c r="B14" s="208"/>
      <c r="C14" s="205">
        <v>202</v>
      </c>
      <c r="D14" s="206"/>
      <c r="E14" s="205">
        <v>4</v>
      </c>
      <c r="F14" s="206"/>
      <c r="G14" s="205">
        <v>52</v>
      </c>
      <c r="H14" s="206"/>
      <c r="I14" s="149">
        <v>306</v>
      </c>
      <c r="J14" s="150"/>
      <c r="K14" s="205">
        <v>2</v>
      </c>
      <c r="L14" s="206"/>
      <c r="M14" s="59">
        <v>520</v>
      </c>
      <c r="N14" s="59">
        <v>18</v>
      </c>
      <c r="O14" s="52">
        <v>0</v>
      </c>
      <c r="P14" s="52">
        <v>0</v>
      </c>
      <c r="Q14" s="52">
        <v>0</v>
      </c>
    </row>
    <row r="15" spans="1:20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91">
        <v>2732</v>
      </c>
      <c r="P15" s="59">
        <v>2834</v>
      </c>
      <c r="Q15" s="98">
        <v>2938</v>
      </c>
    </row>
    <row r="16" spans="1:20" ht="15" thickBot="1" x14ac:dyDescent="0.35">
      <c r="A16" s="199" t="s">
        <v>20</v>
      </c>
      <c r="B16" s="200"/>
      <c r="C16" s="201">
        <f>SUM(C5:D15)</f>
        <v>10803</v>
      </c>
      <c r="D16" s="202"/>
      <c r="E16" s="201">
        <f>SUM(E5:F15)</f>
        <v>262</v>
      </c>
      <c r="F16" s="202"/>
      <c r="G16" s="201">
        <f>SUM(G5:H15)</f>
        <v>621</v>
      </c>
      <c r="H16" s="202"/>
      <c r="I16" s="201">
        <f>SUM(I5:J15)</f>
        <v>1641</v>
      </c>
      <c r="J16" s="202"/>
      <c r="K16" s="201">
        <f>SUM(K5:L15)</f>
        <v>360</v>
      </c>
      <c r="L16" s="202"/>
      <c r="M16" s="4">
        <f>SUM(M5:M15)</f>
        <v>4762</v>
      </c>
      <c r="N16" s="97">
        <f>SUM(N5:N15)</f>
        <v>1598</v>
      </c>
      <c r="O16" s="99">
        <f>SUM(O5:O15)</f>
        <v>26384</v>
      </c>
      <c r="P16" s="4">
        <f>SUM(P5:P15)</f>
        <v>20263</v>
      </c>
      <c r="Q16" s="5">
        <f>SUM(Q5:Q15)</f>
        <v>18159</v>
      </c>
      <c r="T16" s="85"/>
    </row>
    <row r="17" spans="1:17" x14ac:dyDescent="0.3">
      <c r="A17" s="190" t="s">
        <v>21</v>
      </c>
      <c r="B17" s="191"/>
      <c r="C17" s="192">
        <v>8436</v>
      </c>
      <c r="D17" s="192"/>
      <c r="E17" s="193">
        <v>10</v>
      </c>
      <c r="F17" s="194"/>
      <c r="G17" s="195">
        <v>256</v>
      </c>
      <c r="H17" s="196"/>
      <c r="I17" s="195">
        <v>34</v>
      </c>
      <c r="J17" s="196"/>
      <c r="K17" s="197">
        <v>34</v>
      </c>
      <c r="L17" s="198"/>
      <c r="M17" s="36">
        <v>1410</v>
      </c>
      <c r="N17" s="96">
        <v>560</v>
      </c>
      <c r="O17" s="94">
        <v>2370</v>
      </c>
      <c r="P17" s="34">
        <v>17387</v>
      </c>
      <c r="Q17" s="95">
        <v>15213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826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80</v>
      </c>
      <c r="D24" s="162"/>
      <c r="E24" s="185" t="s">
        <v>353</v>
      </c>
      <c r="F24" s="186"/>
      <c r="G24" s="161">
        <v>0</v>
      </c>
      <c r="H24" s="162"/>
      <c r="I24" s="161">
        <v>27</v>
      </c>
      <c r="J24" s="162"/>
      <c r="K24" s="70">
        <v>0</v>
      </c>
      <c r="L24" s="78">
        <v>20</v>
      </c>
      <c r="M24" s="78">
        <v>8</v>
      </c>
    </row>
    <row r="25" spans="1:17" x14ac:dyDescent="0.3">
      <c r="A25" s="101" t="s">
        <v>13</v>
      </c>
      <c r="B25" s="102"/>
      <c r="C25" s="149">
        <v>28</v>
      </c>
      <c r="D25" s="150"/>
      <c r="E25" s="165" t="s">
        <v>827</v>
      </c>
      <c r="F25" s="166"/>
      <c r="G25" s="149">
        <v>0</v>
      </c>
      <c r="H25" s="150"/>
      <c r="I25" s="149">
        <v>149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96</v>
      </c>
      <c r="D26" s="150"/>
      <c r="E26" s="165" t="s">
        <v>303</v>
      </c>
      <c r="F26" s="166"/>
      <c r="G26" s="149">
        <v>22</v>
      </c>
      <c r="H26" s="150"/>
      <c r="I26" s="149">
        <v>69</v>
      </c>
      <c r="J26" s="150"/>
      <c r="K26" s="52">
        <v>4</v>
      </c>
      <c r="L26" s="79">
        <v>25</v>
      </c>
      <c r="M26" s="79">
        <v>5</v>
      </c>
    </row>
    <row r="27" spans="1:17" x14ac:dyDescent="0.3">
      <c r="A27" s="101" t="s">
        <v>15</v>
      </c>
      <c r="B27" s="102"/>
      <c r="C27" s="165" t="s">
        <v>833</v>
      </c>
      <c r="D27" s="166"/>
      <c r="E27" s="165" t="s">
        <v>25</v>
      </c>
      <c r="F27" s="166"/>
      <c r="G27" s="149">
        <v>0</v>
      </c>
      <c r="H27" s="150"/>
      <c r="I27" s="149">
        <v>30</v>
      </c>
      <c r="J27" s="150"/>
      <c r="K27" s="52">
        <v>5</v>
      </c>
      <c r="L27" s="81">
        <v>26</v>
      </c>
      <c r="M27" s="79">
        <v>2</v>
      </c>
    </row>
    <row r="28" spans="1:17" x14ac:dyDescent="0.3">
      <c r="A28" s="101" t="s">
        <v>16</v>
      </c>
      <c r="B28" s="102"/>
      <c r="C28" s="183" t="s">
        <v>696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53</v>
      </c>
      <c r="D29" s="153"/>
      <c r="E29" s="165" t="s">
        <v>201</v>
      </c>
      <c r="F29" s="166"/>
      <c r="G29" s="149">
        <v>0</v>
      </c>
      <c r="H29" s="150"/>
      <c r="I29" s="149">
        <v>9</v>
      </c>
      <c r="J29" s="150"/>
      <c r="K29" s="52">
        <v>0</v>
      </c>
      <c r="L29" s="79">
        <v>2</v>
      </c>
      <c r="M29" s="79">
        <v>0</v>
      </c>
    </row>
    <row r="30" spans="1:17" x14ac:dyDescent="0.3">
      <c r="A30" s="101" t="s">
        <v>18</v>
      </c>
      <c r="B30" s="102"/>
      <c r="C30" s="183" t="s">
        <v>739</v>
      </c>
      <c r="D30" s="184"/>
      <c r="E30" s="165" t="s">
        <v>25</v>
      </c>
      <c r="F30" s="166"/>
      <c r="G30" s="149">
        <v>0</v>
      </c>
      <c r="H30" s="150"/>
      <c r="I30" s="149">
        <v>6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826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378</v>
      </c>
      <c r="D37" s="162"/>
      <c r="E37" s="163" t="s">
        <v>152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39</v>
      </c>
      <c r="M37" s="78">
        <v>9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828</v>
      </c>
      <c r="F38" s="155"/>
      <c r="G38" s="149" t="s">
        <v>829</v>
      </c>
      <c r="H38" s="150"/>
      <c r="I38" s="149">
        <v>0</v>
      </c>
      <c r="J38" s="150"/>
      <c r="K38" s="52">
        <v>0</v>
      </c>
      <c r="L38" s="79">
        <v>7</v>
      </c>
      <c r="M38" s="79">
        <v>2</v>
      </c>
    </row>
    <row r="39" spans="1:13" x14ac:dyDescent="0.3">
      <c r="A39" s="147" t="s">
        <v>14</v>
      </c>
      <c r="B39" s="148"/>
      <c r="C39" s="149" t="s">
        <v>822</v>
      </c>
      <c r="D39" s="150"/>
      <c r="E39" s="154" t="s">
        <v>823</v>
      </c>
      <c r="F39" s="155"/>
      <c r="G39" s="149" t="s">
        <v>358</v>
      </c>
      <c r="H39" s="150"/>
      <c r="I39" s="149" t="s">
        <v>824</v>
      </c>
      <c r="J39" s="150"/>
      <c r="K39" s="52">
        <v>19</v>
      </c>
      <c r="L39" s="79">
        <v>19</v>
      </c>
      <c r="M39" s="79">
        <v>2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834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830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 t="s">
        <v>835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 t="s">
        <v>831</v>
      </c>
      <c r="D43" s="153"/>
      <c r="E43" s="149" t="s">
        <v>832</v>
      </c>
      <c r="F43" s="150"/>
      <c r="G43" s="149">
        <v>0</v>
      </c>
      <c r="H43" s="150"/>
      <c r="I43" s="149" t="s">
        <v>517</v>
      </c>
      <c r="J43" s="150"/>
      <c r="K43" s="52">
        <v>0</v>
      </c>
      <c r="L43" s="79">
        <v>2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809</v>
      </c>
      <c r="D49" s="146"/>
      <c r="E49" s="145" t="s">
        <v>814</v>
      </c>
      <c r="F49" s="146"/>
      <c r="G49" s="145" t="s">
        <v>820</v>
      </c>
      <c r="H49" s="146"/>
      <c r="I49" s="145" t="s">
        <v>826</v>
      </c>
      <c r="J49" s="146"/>
    </row>
    <row r="50" spans="1:10" x14ac:dyDescent="0.3">
      <c r="A50" s="120" t="s">
        <v>30</v>
      </c>
      <c r="B50" s="121"/>
      <c r="C50" s="136">
        <v>9977</v>
      </c>
      <c r="D50" s="137"/>
      <c r="E50" s="136">
        <v>9895</v>
      </c>
      <c r="F50" s="137"/>
      <c r="G50" s="136">
        <v>9834</v>
      </c>
      <c r="H50" s="137"/>
      <c r="I50" s="136">
        <v>9765</v>
      </c>
      <c r="J50" s="137"/>
    </row>
    <row r="51" spans="1:10" x14ac:dyDescent="0.3">
      <c r="A51" s="120" t="s">
        <v>31</v>
      </c>
      <c r="B51" s="121"/>
      <c r="C51" s="136">
        <v>11260</v>
      </c>
      <c r="D51" s="137"/>
      <c r="E51" s="136">
        <v>11235</v>
      </c>
      <c r="F51" s="137"/>
      <c r="G51" s="136">
        <v>11222</v>
      </c>
      <c r="H51" s="137"/>
      <c r="I51" s="136">
        <v>11208</v>
      </c>
      <c r="J51" s="137"/>
    </row>
    <row r="52" spans="1:10" x14ac:dyDescent="0.3">
      <c r="A52" s="120" t="s">
        <v>32</v>
      </c>
      <c r="B52" s="121"/>
      <c r="C52" s="136">
        <v>110331</v>
      </c>
      <c r="D52" s="137"/>
      <c r="E52" s="136">
        <v>110200</v>
      </c>
      <c r="F52" s="137"/>
      <c r="G52" s="136">
        <v>110105</v>
      </c>
      <c r="H52" s="137"/>
      <c r="I52" s="136">
        <v>110056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48823</v>
      </c>
      <c r="D54" s="137"/>
      <c r="E54" s="136">
        <v>48772</v>
      </c>
      <c r="F54" s="137"/>
      <c r="G54" s="136">
        <v>48736</v>
      </c>
      <c r="H54" s="137"/>
      <c r="I54" s="136">
        <v>48691</v>
      </c>
      <c r="J54" s="137"/>
    </row>
    <row r="55" spans="1:10" x14ac:dyDescent="0.3">
      <c r="A55" s="120" t="s">
        <v>53</v>
      </c>
      <c r="B55" s="121"/>
      <c r="C55" s="138">
        <v>5684</v>
      </c>
      <c r="D55" s="139"/>
      <c r="E55" s="138">
        <v>5681</v>
      </c>
      <c r="F55" s="139"/>
      <c r="G55" s="138">
        <v>5723</v>
      </c>
      <c r="H55" s="139"/>
      <c r="I55" s="138">
        <v>5758</v>
      </c>
      <c r="J55" s="139"/>
    </row>
    <row r="56" spans="1:10" x14ac:dyDescent="0.3">
      <c r="A56" s="120" t="s">
        <v>49</v>
      </c>
      <c r="B56" s="121"/>
      <c r="C56" s="136">
        <v>24429</v>
      </c>
      <c r="D56" s="137"/>
      <c r="E56" s="136">
        <v>24702</v>
      </c>
      <c r="F56" s="137"/>
      <c r="G56" s="136">
        <v>24931</v>
      </c>
      <c r="H56" s="137"/>
      <c r="I56" s="136">
        <v>25154</v>
      </c>
      <c r="J56" s="137"/>
    </row>
    <row r="57" spans="1:10" x14ac:dyDescent="0.3">
      <c r="A57" s="120" t="s">
        <v>35</v>
      </c>
      <c r="B57" s="121"/>
      <c r="C57" s="138">
        <v>3921</v>
      </c>
      <c r="D57" s="139"/>
      <c r="E57" s="138">
        <v>3935</v>
      </c>
      <c r="F57" s="139"/>
      <c r="G57" s="138">
        <v>3937</v>
      </c>
      <c r="H57" s="139"/>
      <c r="I57" s="138">
        <v>3930</v>
      </c>
      <c r="J57" s="139"/>
    </row>
    <row r="58" spans="1:10" x14ac:dyDescent="0.3">
      <c r="A58" s="120" t="s">
        <v>36</v>
      </c>
      <c r="B58" s="121"/>
      <c r="C58" s="122">
        <f>SUM(C50:D57)</f>
        <v>214661</v>
      </c>
      <c r="D58" s="123"/>
      <c r="E58" s="122">
        <f>SUM(E50:E57)</f>
        <v>214656</v>
      </c>
      <c r="F58" s="123"/>
      <c r="G58" s="122">
        <f>SUM(G50:H57)</f>
        <v>214724</v>
      </c>
      <c r="H58" s="123"/>
      <c r="I58" s="122">
        <f>SUM(I50:J57)</f>
        <v>214798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809</v>
      </c>
      <c r="D60" s="131"/>
      <c r="E60" s="130" t="s">
        <v>814</v>
      </c>
      <c r="F60" s="131"/>
      <c r="G60" s="130" t="s">
        <v>820</v>
      </c>
      <c r="H60" s="131"/>
      <c r="I60" s="130" t="s">
        <v>826</v>
      </c>
      <c r="J60" s="131"/>
    </row>
    <row r="61" spans="1:10" x14ac:dyDescent="0.3">
      <c r="A61" s="126"/>
      <c r="B61" s="127"/>
      <c r="C61" s="132">
        <v>141236</v>
      </c>
      <c r="D61" s="133"/>
      <c r="E61" s="132">
        <v>141352</v>
      </c>
      <c r="F61" s="133"/>
      <c r="G61" s="132">
        <v>141450</v>
      </c>
      <c r="H61" s="133"/>
      <c r="I61" s="132">
        <v>141487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760</v>
      </c>
      <c r="D66" s="115"/>
      <c r="E66" s="114" t="s">
        <v>776</v>
      </c>
      <c r="F66" s="115"/>
      <c r="G66" s="114" t="s">
        <v>801</v>
      </c>
      <c r="H66" s="115"/>
      <c r="I66" s="114" t="s">
        <v>825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33056</v>
      </c>
      <c r="D69" s="104"/>
      <c r="E69" s="103">
        <v>32925</v>
      </c>
      <c r="F69" s="104"/>
      <c r="G69" s="103">
        <v>33221</v>
      </c>
      <c r="H69" s="104"/>
      <c r="I69" s="103">
        <v>33534</v>
      </c>
      <c r="J69" s="104"/>
    </row>
    <row r="70" spans="1:10" x14ac:dyDescent="0.3">
      <c r="A70" s="101" t="s">
        <v>13</v>
      </c>
      <c r="B70" s="102"/>
      <c r="C70" s="103">
        <v>7380</v>
      </c>
      <c r="D70" s="104"/>
      <c r="E70" s="103">
        <v>7455</v>
      </c>
      <c r="F70" s="104"/>
      <c r="G70" s="103">
        <v>7510</v>
      </c>
      <c r="H70" s="104"/>
      <c r="I70" s="103">
        <v>7563</v>
      </c>
      <c r="J70" s="104"/>
    </row>
    <row r="71" spans="1:10" x14ac:dyDescent="0.3">
      <c r="A71" s="107" t="s">
        <v>14</v>
      </c>
      <c r="B71" s="108"/>
      <c r="C71" s="103">
        <v>6610</v>
      </c>
      <c r="D71" s="104"/>
      <c r="E71" s="103">
        <v>6681</v>
      </c>
      <c r="F71" s="104"/>
      <c r="G71" s="103">
        <v>6761</v>
      </c>
      <c r="H71" s="104"/>
      <c r="I71" s="103">
        <v>6817</v>
      </c>
      <c r="J71" s="104"/>
    </row>
    <row r="72" spans="1:10" x14ac:dyDescent="0.3">
      <c r="A72" s="107" t="s">
        <v>41</v>
      </c>
      <c r="B72" s="108"/>
      <c r="C72" s="103">
        <v>1653</v>
      </c>
      <c r="D72" s="104"/>
      <c r="E72" s="103">
        <v>1688</v>
      </c>
      <c r="F72" s="104"/>
      <c r="G72" s="103">
        <v>1705</v>
      </c>
      <c r="H72" s="104"/>
      <c r="I72" s="103">
        <v>1728</v>
      </c>
      <c r="J72" s="104"/>
    </row>
    <row r="73" spans="1:10" x14ac:dyDescent="0.3">
      <c r="A73" s="101" t="s">
        <v>15</v>
      </c>
      <c r="B73" s="102"/>
      <c r="C73" s="103">
        <v>5163</v>
      </c>
      <c r="D73" s="104"/>
      <c r="E73" s="103">
        <v>5228</v>
      </c>
      <c r="F73" s="104"/>
      <c r="G73" s="103">
        <v>5304</v>
      </c>
      <c r="H73" s="104"/>
      <c r="I73" s="103">
        <v>5368</v>
      </c>
      <c r="J73" s="104"/>
    </row>
    <row r="74" spans="1:10" x14ac:dyDescent="0.3">
      <c r="A74" s="107" t="s">
        <v>16</v>
      </c>
      <c r="B74" s="108"/>
      <c r="C74" s="103">
        <v>5103</v>
      </c>
      <c r="D74" s="104"/>
      <c r="E74" s="103">
        <v>5115</v>
      </c>
      <c r="F74" s="104"/>
      <c r="G74" s="103">
        <v>5147</v>
      </c>
      <c r="H74" s="104"/>
      <c r="I74" s="103">
        <v>5162</v>
      </c>
      <c r="J74" s="104"/>
    </row>
    <row r="75" spans="1:10" x14ac:dyDescent="0.3">
      <c r="A75" s="101" t="s">
        <v>17</v>
      </c>
      <c r="B75" s="102"/>
      <c r="C75" s="103">
        <v>8230</v>
      </c>
      <c r="D75" s="104"/>
      <c r="E75" s="103">
        <v>8315</v>
      </c>
      <c r="F75" s="104"/>
      <c r="G75" s="103">
        <v>8392</v>
      </c>
      <c r="H75" s="104"/>
      <c r="I75" s="103">
        <v>8545</v>
      </c>
      <c r="J75" s="104"/>
    </row>
    <row r="76" spans="1:10" x14ac:dyDescent="0.3">
      <c r="A76" s="107" t="s">
        <v>18</v>
      </c>
      <c r="B76" s="108"/>
      <c r="C76" s="103">
        <v>1683</v>
      </c>
      <c r="D76" s="104"/>
      <c r="E76" s="103">
        <v>1686</v>
      </c>
      <c r="F76" s="104"/>
      <c r="G76" s="103">
        <v>1697</v>
      </c>
      <c r="H76" s="104"/>
      <c r="I76" s="103">
        <v>1709</v>
      </c>
      <c r="J76" s="104"/>
    </row>
    <row r="77" spans="1:10" x14ac:dyDescent="0.3">
      <c r="A77" s="101" t="s">
        <v>19</v>
      </c>
      <c r="B77" s="102"/>
      <c r="C77" s="103">
        <v>6449</v>
      </c>
      <c r="D77" s="104"/>
      <c r="E77" s="103">
        <v>6545</v>
      </c>
      <c r="F77" s="104"/>
      <c r="G77" s="103">
        <v>6619</v>
      </c>
      <c r="H77" s="104"/>
      <c r="I77" s="103">
        <v>6659</v>
      </c>
      <c r="J77" s="104"/>
    </row>
    <row r="78" spans="1:10" x14ac:dyDescent="0.3">
      <c r="A78" s="105" t="s">
        <v>42</v>
      </c>
      <c r="B78" s="106"/>
      <c r="C78" s="103">
        <f>SUM(C69:C77)</f>
        <v>75327</v>
      </c>
      <c r="D78" s="104"/>
      <c r="E78" s="103">
        <f>SUM(E69:E77)</f>
        <v>75638</v>
      </c>
      <c r="F78" s="104"/>
      <c r="G78" s="103">
        <f>SUM(G69:G77)</f>
        <v>76356</v>
      </c>
      <c r="H78" s="104"/>
      <c r="I78" s="103">
        <f>SUM(I69:I77)</f>
        <v>77085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78"/>
  <sheetViews>
    <sheetView workbookViewId="0">
      <selection sqref="A1:Q19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836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8786</v>
      </c>
      <c r="D5" s="215"/>
      <c r="E5" s="215">
        <v>10</v>
      </c>
      <c r="F5" s="215"/>
      <c r="G5" s="215">
        <v>256</v>
      </c>
      <c r="H5" s="215"/>
      <c r="I5" s="213">
        <v>34</v>
      </c>
      <c r="J5" s="214"/>
      <c r="K5" s="216">
        <v>34</v>
      </c>
      <c r="L5" s="217"/>
      <c r="M5" s="56">
        <v>1410</v>
      </c>
      <c r="N5" s="53">
        <v>510</v>
      </c>
      <c r="O5" s="89">
        <v>23490</v>
      </c>
      <c r="P5" s="89">
        <v>17387</v>
      </c>
      <c r="Q5" s="53">
        <v>15173</v>
      </c>
    </row>
    <row r="6" spans="1:17" x14ac:dyDescent="0.3">
      <c r="A6" s="211" t="s">
        <v>11</v>
      </c>
      <c r="B6" s="212"/>
      <c r="C6" s="213">
        <v>220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324</v>
      </c>
      <c r="D7" s="210"/>
      <c r="E7" s="210">
        <v>69</v>
      </c>
      <c r="F7" s="210"/>
      <c r="G7" s="210">
        <v>289</v>
      </c>
      <c r="H7" s="210"/>
      <c r="I7" s="149">
        <v>404</v>
      </c>
      <c r="J7" s="150"/>
      <c r="K7" s="149">
        <v>88</v>
      </c>
      <c r="L7" s="150"/>
      <c r="M7" s="52">
        <v>383</v>
      </c>
      <c r="N7" s="52">
        <v>37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176</v>
      </c>
      <c r="D8" s="210"/>
      <c r="E8" s="210">
        <v>0</v>
      </c>
      <c r="F8" s="210"/>
      <c r="G8" s="210">
        <v>2</v>
      </c>
      <c r="H8" s="210"/>
      <c r="I8" s="149">
        <v>41</v>
      </c>
      <c r="J8" s="150"/>
      <c r="K8" s="149">
        <v>0</v>
      </c>
      <c r="L8" s="150"/>
      <c r="M8" s="52">
        <v>489</v>
      </c>
      <c r="N8" s="52">
        <v>15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120</v>
      </c>
      <c r="D9" s="210"/>
      <c r="E9" s="210">
        <v>14</v>
      </c>
      <c r="F9" s="210"/>
      <c r="G9" s="210">
        <v>4</v>
      </c>
      <c r="H9" s="210"/>
      <c r="I9" s="149">
        <v>109</v>
      </c>
      <c r="J9" s="150"/>
      <c r="K9" s="149">
        <v>29</v>
      </c>
      <c r="L9" s="150"/>
      <c r="M9" s="52">
        <v>473</v>
      </c>
      <c r="N9" s="52">
        <v>16</v>
      </c>
      <c r="O9" s="52">
        <v>0</v>
      </c>
      <c r="P9" s="52">
        <v>12</v>
      </c>
      <c r="Q9" s="52">
        <v>1</v>
      </c>
    </row>
    <row r="10" spans="1:17" x14ac:dyDescent="0.3">
      <c r="A10" s="101" t="s">
        <v>15</v>
      </c>
      <c r="B10" s="102"/>
      <c r="C10" s="210">
        <v>238</v>
      </c>
      <c r="D10" s="210"/>
      <c r="E10" s="210">
        <v>0</v>
      </c>
      <c r="F10" s="210"/>
      <c r="G10" s="210">
        <v>1</v>
      </c>
      <c r="H10" s="210"/>
      <c r="I10" s="149">
        <v>230</v>
      </c>
      <c r="J10" s="150"/>
      <c r="K10" s="149">
        <v>93</v>
      </c>
      <c r="L10" s="150"/>
      <c r="M10" s="52">
        <v>690</v>
      </c>
      <c r="N10" s="52">
        <v>340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147</v>
      </c>
      <c r="D11" s="209"/>
      <c r="E11" s="210">
        <v>5</v>
      </c>
      <c r="F11" s="210"/>
      <c r="G11" s="210">
        <v>8</v>
      </c>
      <c r="H11" s="210"/>
      <c r="I11" s="149">
        <v>168</v>
      </c>
      <c r="J11" s="150"/>
      <c r="K11" s="149">
        <v>64</v>
      </c>
      <c r="L11" s="150"/>
      <c r="M11" s="52">
        <v>298</v>
      </c>
      <c r="N11" s="52">
        <v>494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51</v>
      </c>
      <c r="D12" s="209"/>
      <c r="E12" s="210">
        <v>85</v>
      </c>
      <c r="F12" s="210"/>
      <c r="G12" s="210">
        <v>0</v>
      </c>
      <c r="H12" s="210"/>
      <c r="I12" s="149">
        <v>101</v>
      </c>
      <c r="J12" s="150"/>
      <c r="K12" s="149">
        <v>0</v>
      </c>
      <c r="L12" s="150"/>
      <c r="M12" s="52">
        <v>186</v>
      </c>
      <c r="N12" s="52">
        <v>49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225</v>
      </c>
      <c r="D13" s="150"/>
      <c r="E13" s="149">
        <v>5</v>
      </c>
      <c r="F13" s="150"/>
      <c r="G13" s="149">
        <v>1</v>
      </c>
      <c r="H13" s="150"/>
      <c r="I13" s="149">
        <v>164</v>
      </c>
      <c r="J13" s="150"/>
      <c r="K13" s="149">
        <v>15</v>
      </c>
      <c r="L13" s="150"/>
      <c r="M13" s="52">
        <v>249</v>
      </c>
      <c r="N13" s="52">
        <v>26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186</v>
      </c>
      <c r="D14" s="206"/>
      <c r="E14" s="205">
        <v>4</v>
      </c>
      <c r="F14" s="206"/>
      <c r="G14" s="205">
        <v>52</v>
      </c>
      <c r="H14" s="206"/>
      <c r="I14" s="149">
        <v>281</v>
      </c>
      <c r="J14" s="150"/>
      <c r="K14" s="205">
        <v>2</v>
      </c>
      <c r="L14" s="206"/>
      <c r="M14" s="59">
        <v>501</v>
      </c>
      <c r="N14" s="59">
        <v>16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91">
        <v>2555</v>
      </c>
      <c r="P15" s="59">
        <v>2669</v>
      </c>
      <c r="Q15" s="98">
        <v>2776</v>
      </c>
    </row>
    <row r="16" spans="1:17" ht="15" thickBot="1" x14ac:dyDescent="0.35">
      <c r="A16" s="199" t="s">
        <v>20</v>
      </c>
      <c r="B16" s="200"/>
      <c r="C16" s="201">
        <f>SUM(C5:D15)</f>
        <v>10473</v>
      </c>
      <c r="D16" s="202"/>
      <c r="E16" s="201">
        <f>SUM(E5:F15)</f>
        <v>192</v>
      </c>
      <c r="F16" s="202"/>
      <c r="G16" s="201">
        <f>SUM(G5:H15)</f>
        <v>613</v>
      </c>
      <c r="H16" s="202"/>
      <c r="I16" s="201">
        <f>SUM(I5:J15)</f>
        <v>1532</v>
      </c>
      <c r="J16" s="202"/>
      <c r="K16" s="201">
        <f>SUM(K5:L15)</f>
        <v>325</v>
      </c>
      <c r="L16" s="202"/>
      <c r="M16" s="4">
        <f>SUM(M5:M15)</f>
        <v>4679</v>
      </c>
      <c r="N16" s="97">
        <f>SUM(N5:N15)</f>
        <v>1503</v>
      </c>
      <c r="O16" s="99">
        <f>SUM(O5:O15)</f>
        <v>26127</v>
      </c>
      <c r="P16" s="4">
        <f>SUM(P5:P15)</f>
        <v>20098</v>
      </c>
      <c r="Q16" s="5">
        <f>SUM(Q5:Q15)</f>
        <v>17957</v>
      </c>
    </row>
    <row r="17" spans="1:17" x14ac:dyDescent="0.3">
      <c r="A17" s="190" t="s">
        <v>21</v>
      </c>
      <c r="B17" s="191"/>
      <c r="C17" s="192">
        <v>8236</v>
      </c>
      <c r="D17" s="192"/>
      <c r="E17" s="193">
        <v>10</v>
      </c>
      <c r="F17" s="194"/>
      <c r="G17" s="195">
        <v>256</v>
      </c>
      <c r="H17" s="196"/>
      <c r="I17" s="195">
        <v>34</v>
      </c>
      <c r="J17" s="196"/>
      <c r="K17" s="197">
        <v>34</v>
      </c>
      <c r="L17" s="198"/>
      <c r="M17" s="36">
        <v>1410</v>
      </c>
      <c r="N17" s="96">
        <v>510</v>
      </c>
      <c r="O17" s="94">
        <v>23490</v>
      </c>
      <c r="P17" s="34">
        <v>17387</v>
      </c>
      <c r="Q17" s="95">
        <v>15173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836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116</v>
      </c>
      <c r="D24" s="162"/>
      <c r="E24" s="185" t="s">
        <v>653</v>
      </c>
      <c r="F24" s="186"/>
      <c r="G24" s="161">
        <v>0</v>
      </c>
      <c r="H24" s="162"/>
      <c r="I24" s="161">
        <v>27</v>
      </c>
      <c r="J24" s="162"/>
      <c r="K24" s="70">
        <v>0</v>
      </c>
      <c r="L24" s="78">
        <v>21</v>
      </c>
      <c r="M24" s="78">
        <v>8</v>
      </c>
    </row>
    <row r="25" spans="1:17" x14ac:dyDescent="0.3">
      <c r="A25" s="101" t="s">
        <v>13</v>
      </c>
      <c r="B25" s="102"/>
      <c r="C25" s="149">
        <v>39</v>
      </c>
      <c r="D25" s="150"/>
      <c r="E25" s="165" t="s">
        <v>827</v>
      </c>
      <c r="F25" s="166"/>
      <c r="G25" s="149">
        <v>0</v>
      </c>
      <c r="H25" s="150"/>
      <c r="I25" s="149">
        <v>148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105</v>
      </c>
      <c r="D26" s="150"/>
      <c r="E26" s="165" t="s">
        <v>837</v>
      </c>
      <c r="F26" s="166"/>
      <c r="G26" s="149">
        <v>22</v>
      </c>
      <c r="H26" s="150"/>
      <c r="I26" s="149">
        <v>69</v>
      </c>
      <c r="J26" s="150"/>
      <c r="K26" s="52">
        <v>4</v>
      </c>
      <c r="L26" s="79">
        <v>20</v>
      </c>
      <c r="M26" s="79">
        <v>4</v>
      </c>
    </row>
    <row r="27" spans="1:17" x14ac:dyDescent="0.3">
      <c r="A27" s="101" t="s">
        <v>15</v>
      </c>
      <c r="B27" s="102"/>
      <c r="C27" s="165" t="s">
        <v>838</v>
      </c>
      <c r="D27" s="166"/>
      <c r="E27" s="165" t="s">
        <v>25</v>
      </c>
      <c r="F27" s="166"/>
      <c r="G27" s="149">
        <v>0</v>
      </c>
      <c r="H27" s="150"/>
      <c r="I27" s="149">
        <v>25</v>
      </c>
      <c r="J27" s="150"/>
      <c r="K27" s="52">
        <v>0</v>
      </c>
      <c r="L27" s="81">
        <v>21</v>
      </c>
      <c r="M27" s="79">
        <v>2</v>
      </c>
    </row>
    <row r="28" spans="1:17" x14ac:dyDescent="0.3">
      <c r="A28" s="101" t="s">
        <v>16</v>
      </c>
      <c r="B28" s="102"/>
      <c r="C28" s="183" t="s">
        <v>696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48</v>
      </c>
      <c r="D29" s="153"/>
      <c r="E29" s="165" t="s">
        <v>25</v>
      </c>
      <c r="F29" s="166"/>
      <c r="G29" s="149">
        <v>0</v>
      </c>
      <c r="H29" s="150"/>
      <c r="I29" s="149">
        <v>6</v>
      </c>
      <c r="J29" s="150"/>
      <c r="K29" s="52">
        <v>0</v>
      </c>
      <c r="L29" s="79">
        <v>0</v>
      </c>
      <c r="M29" s="79">
        <v>0</v>
      </c>
    </row>
    <row r="30" spans="1:17" x14ac:dyDescent="0.3">
      <c r="A30" s="101" t="s">
        <v>18</v>
      </c>
      <c r="B30" s="102"/>
      <c r="C30" s="183" t="s">
        <v>839</v>
      </c>
      <c r="D30" s="184"/>
      <c r="E30" s="165" t="s">
        <v>762</v>
      </c>
      <c r="F30" s="166"/>
      <c r="G30" s="149">
        <v>0</v>
      </c>
      <c r="H30" s="150"/>
      <c r="I30" s="149">
        <v>5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836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378</v>
      </c>
      <c r="D37" s="162"/>
      <c r="E37" s="163" t="s">
        <v>622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52</v>
      </c>
      <c r="M37" s="78">
        <v>9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840</v>
      </c>
      <c r="F38" s="155"/>
      <c r="G38" s="149" t="s">
        <v>829</v>
      </c>
      <c r="H38" s="150"/>
      <c r="I38" s="149">
        <v>0</v>
      </c>
      <c r="J38" s="150"/>
      <c r="K38" s="52">
        <v>0</v>
      </c>
      <c r="L38" s="79">
        <v>5</v>
      </c>
      <c r="M38" s="79">
        <v>2</v>
      </c>
    </row>
    <row r="39" spans="1:13" x14ac:dyDescent="0.3">
      <c r="A39" s="147" t="s">
        <v>14</v>
      </c>
      <c r="B39" s="148"/>
      <c r="C39" s="149" t="s">
        <v>841</v>
      </c>
      <c r="D39" s="150"/>
      <c r="E39" s="154" t="s">
        <v>587</v>
      </c>
      <c r="F39" s="155"/>
      <c r="G39" s="149" t="s">
        <v>287</v>
      </c>
      <c r="H39" s="150"/>
      <c r="I39" s="149" t="s">
        <v>516</v>
      </c>
      <c r="J39" s="150"/>
      <c r="K39" s="52">
        <v>15</v>
      </c>
      <c r="L39" s="79">
        <v>16</v>
      </c>
      <c r="M39" s="79">
        <v>1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834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830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>
        <v>0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>
        <v>0</v>
      </c>
      <c r="D43" s="153"/>
      <c r="E43" s="149" t="s">
        <v>842</v>
      </c>
      <c r="F43" s="150"/>
      <c r="G43" s="149">
        <v>0</v>
      </c>
      <c r="H43" s="150"/>
      <c r="I43" s="149" t="s">
        <v>748</v>
      </c>
      <c r="J43" s="150"/>
      <c r="K43" s="52">
        <v>0</v>
      </c>
      <c r="L43" s="79">
        <v>6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814</v>
      </c>
      <c r="D49" s="146"/>
      <c r="E49" s="145" t="s">
        <v>820</v>
      </c>
      <c r="F49" s="146"/>
      <c r="G49" s="145" t="s">
        <v>826</v>
      </c>
      <c r="H49" s="146"/>
      <c r="I49" s="145" t="s">
        <v>836</v>
      </c>
      <c r="J49" s="146"/>
    </row>
    <row r="50" spans="1:10" x14ac:dyDescent="0.3">
      <c r="A50" s="120" t="s">
        <v>30</v>
      </c>
      <c r="B50" s="121"/>
      <c r="C50" s="136">
        <v>9895</v>
      </c>
      <c r="D50" s="137"/>
      <c r="E50" s="136">
        <v>9834</v>
      </c>
      <c r="F50" s="137"/>
      <c r="G50" s="136">
        <v>9765</v>
      </c>
      <c r="H50" s="137"/>
      <c r="I50" s="136">
        <v>9697</v>
      </c>
      <c r="J50" s="137"/>
    </row>
    <row r="51" spans="1:10" x14ac:dyDescent="0.3">
      <c r="A51" s="120" t="s">
        <v>31</v>
      </c>
      <c r="B51" s="121"/>
      <c r="C51" s="136">
        <v>11235</v>
      </c>
      <c r="D51" s="137"/>
      <c r="E51" s="136">
        <v>11222</v>
      </c>
      <c r="F51" s="137"/>
      <c r="G51" s="136">
        <v>11208</v>
      </c>
      <c r="H51" s="137"/>
      <c r="I51" s="136">
        <v>11179</v>
      </c>
      <c r="J51" s="137"/>
    </row>
    <row r="52" spans="1:10" x14ac:dyDescent="0.3">
      <c r="A52" s="120" t="s">
        <v>32</v>
      </c>
      <c r="B52" s="121"/>
      <c r="C52" s="136">
        <v>110200</v>
      </c>
      <c r="D52" s="137"/>
      <c r="E52" s="136">
        <v>110105</v>
      </c>
      <c r="F52" s="137"/>
      <c r="G52" s="136">
        <v>110056</v>
      </c>
      <c r="H52" s="137"/>
      <c r="I52" s="136">
        <v>110004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48772</v>
      </c>
      <c r="D54" s="137"/>
      <c r="E54" s="136">
        <v>48736</v>
      </c>
      <c r="F54" s="137"/>
      <c r="G54" s="136">
        <v>48691</v>
      </c>
      <c r="H54" s="137"/>
      <c r="I54" s="136">
        <v>48693</v>
      </c>
      <c r="J54" s="137"/>
    </row>
    <row r="55" spans="1:10" x14ac:dyDescent="0.3">
      <c r="A55" s="120" t="s">
        <v>53</v>
      </c>
      <c r="B55" s="121"/>
      <c r="C55" s="138">
        <v>5681</v>
      </c>
      <c r="D55" s="139"/>
      <c r="E55" s="138">
        <v>5723</v>
      </c>
      <c r="F55" s="139"/>
      <c r="G55" s="138">
        <v>5758</v>
      </c>
      <c r="H55" s="139"/>
      <c r="I55" s="138">
        <v>5782</v>
      </c>
      <c r="J55" s="139"/>
    </row>
    <row r="56" spans="1:10" x14ac:dyDescent="0.3">
      <c r="A56" s="120" t="s">
        <v>49</v>
      </c>
      <c r="B56" s="121"/>
      <c r="C56" s="136">
        <v>24702</v>
      </c>
      <c r="D56" s="137"/>
      <c r="E56" s="136">
        <v>24931</v>
      </c>
      <c r="F56" s="137"/>
      <c r="G56" s="136">
        <v>25154</v>
      </c>
      <c r="H56" s="137"/>
      <c r="I56" s="136">
        <v>25386</v>
      </c>
      <c r="J56" s="137"/>
    </row>
    <row r="57" spans="1:10" x14ac:dyDescent="0.3">
      <c r="A57" s="120" t="s">
        <v>35</v>
      </c>
      <c r="B57" s="121"/>
      <c r="C57" s="138">
        <v>3935</v>
      </c>
      <c r="D57" s="139"/>
      <c r="E57" s="138">
        <v>3937</v>
      </c>
      <c r="F57" s="139"/>
      <c r="G57" s="138">
        <v>3930</v>
      </c>
      <c r="H57" s="139"/>
      <c r="I57" s="138">
        <v>3925</v>
      </c>
      <c r="J57" s="139"/>
    </row>
    <row r="58" spans="1:10" x14ac:dyDescent="0.3">
      <c r="A58" s="120" t="s">
        <v>36</v>
      </c>
      <c r="B58" s="121"/>
      <c r="C58" s="122">
        <f>SUM(C50:C57)</f>
        <v>214656</v>
      </c>
      <c r="D58" s="123"/>
      <c r="E58" s="122">
        <f>SUM(E50:F57)</f>
        <v>214724</v>
      </c>
      <c r="F58" s="123"/>
      <c r="G58" s="122">
        <f>SUM(G50:H57)</f>
        <v>214798</v>
      </c>
      <c r="H58" s="123"/>
      <c r="I58" s="122">
        <f>SUM(I50:J57)</f>
        <v>214902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814</v>
      </c>
      <c r="D60" s="131"/>
      <c r="E60" s="130" t="s">
        <v>820</v>
      </c>
      <c r="F60" s="131"/>
      <c r="G60" s="130" t="s">
        <v>826</v>
      </c>
      <c r="H60" s="131"/>
      <c r="I60" s="130" t="s">
        <v>836</v>
      </c>
      <c r="J60" s="131"/>
    </row>
    <row r="61" spans="1:10" x14ac:dyDescent="0.3">
      <c r="A61" s="126"/>
      <c r="B61" s="127"/>
      <c r="C61" s="132">
        <v>141352</v>
      </c>
      <c r="D61" s="133"/>
      <c r="E61" s="132">
        <v>141450</v>
      </c>
      <c r="F61" s="133"/>
      <c r="G61" s="132">
        <v>141487</v>
      </c>
      <c r="H61" s="133"/>
      <c r="I61" s="132">
        <v>141580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760</v>
      </c>
      <c r="D66" s="115"/>
      <c r="E66" s="114" t="s">
        <v>776</v>
      </c>
      <c r="F66" s="115"/>
      <c r="G66" s="114" t="s">
        <v>801</v>
      </c>
      <c r="H66" s="115"/>
      <c r="I66" s="114" t="s">
        <v>825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33056</v>
      </c>
      <c r="D69" s="104"/>
      <c r="E69" s="103">
        <v>32925</v>
      </c>
      <c r="F69" s="104"/>
      <c r="G69" s="103">
        <v>33221</v>
      </c>
      <c r="H69" s="104"/>
      <c r="I69" s="103">
        <v>33534</v>
      </c>
      <c r="J69" s="104"/>
    </row>
    <row r="70" spans="1:10" x14ac:dyDescent="0.3">
      <c r="A70" s="101" t="s">
        <v>13</v>
      </c>
      <c r="B70" s="102"/>
      <c r="C70" s="103">
        <v>7380</v>
      </c>
      <c r="D70" s="104"/>
      <c r="E70" s="103">
        <v>7455</v>
      </c>
      <c r="F70" s="104"/>
      <c r="G70" s="103">
        <v>7510</v>
      </c>
      <c r="H70" s="104"/>
      <c r="I70" s="103">
        <v>7563</v>
      </c>
      <c r="J70" s="104"/>
    </row>
    <row r="71" spans="1:10" x14ac:dyDescent="0.3">
      <c r="A71" s="107" t="s">
        <v>14</v>
      </c>
      <c r="B71" s="108"/>
      <c r="C71" s="103">
        <v>6610</v>
      </c>
      <c r="D71" s="104"/>
      <c r="E71" s="103">
        <v>6681</v>
      </c>
      <c r="F71" s="104"/>
      <c r="G71" s="103">
        <v>6761</v>
      </c>
      <c r="H71" s="104"/>
      <c r="I71" s="103">
        <v>6817</v>
      </c>
      <c r="J71" s="104"/>
    </row>
    <row r="72" spans="1:10" x14ac:dyDescent="0.3">
      <c r="A72" s="107" t="s">
        <v>41</v>
      </c>
      <c r="B72" s="108"/>
      <c r="C72" s="103">
        <v>1653</v>
      </c>
      <c r="D72" s="104"/>
      <c r="E72" s="103">
        <v>1688</v>
      </c>
      <c r="F72" s="104"/>
      <c r="G72" s="103">
        <v>1705</v>
      </c>
      <c r="H72" s="104"/>
      <c r="I72" s="103">
        <v>1728</v>
      </c>
      <c r="J72" s="104"/>
    </row>
    <row r="73" spans="1:10" x14ac:dyDescent="0.3">
      <c r="A73" s="101" t="s">
        <v>15</v>
      </c>
      <c r="B73" s="102"/>
      <c r="C73" s="103">
        <v>5163</v>
      </c>
      <c r="D73" s="104"/>
      <c r="E73" s="103">
        <v>5228</v>
      </c>
      <c r="F73" s="104"/>
      <c r="G73" s="103">
        <v>5304</v>
      </c>
      <c r="H73" s="104"/>
      <c r="I73" s="103">
        <v>5368</v>
      </c>
      <c r="J73" s="104"/>
    </row>
    <row r="74" spans="1:10" x14ac:dyDescent="0.3">
      <c r="A74" s="107" t="s">
        <v>16</v>
      </c>
      <c r="B74" s="108"/>
      <c r="C74" s="103">
        <v>5103</v>
      </c>
      <c r="D74" s="104"/>
      <c r="E74" s="103">
        <v>5115</v>
      </c>
      <c r="F74" s="104"/>
      <c r="G74" s="103">
        <v>5147</v>
      </c>
      <c r="H74" s="104"/>
      <c r="I74" s="103">
        <v>5162</v>
      </c>
      <c r="J74" s="104"/>
    </row>
    <row r="75" spans="1:10" x14ac:dyDescent="0.3">
      <c r="A75" s="101" t="s">
        <v>17</v>
      </c>
      <c r="B75" s="102"/>
      <c r="C75" s="103">
        <v>8230</v>
      </c>
      <c r="D75" s="104"/>
      <c r="E75" s="103">
        <v>8315</v>
      </c>
      <c r="F75" s="104"/>
      <c r="G75" s="103">
        <v>8392</v>
      </c>
      <c r="H75" s="104"/>
      <c r="I75" s="103">
        <v>8545</v>
      </c>
      <c r="J75" s="104"/>
    </row>
    <row r="76" spans="1:10" x14ac:dyDescent="0.3">
      <c r="A76" s="107" t="s">
        <v>18</v>
      </c>
      <c r="B76" s="108"/>
      <c r="C76" s="103">
        <v>1683</v>
      </c>
      <c r="D76" s="104"/>
      <c r="E76" s="103">
        <v>1686</v>
      </c>
      <c r="F76" s="104"/>
      <c r="G76" s="103">
        <v>1697</v>
      </c>
      <c r="H76" s="104"/>
      <c r="I76" s="103">
        <v>1709</v>
      </c>
      <c r="J76" s="104"/>
    </row>
    <row r="77" spans="1:10" x14ac:dyDescent="0.3">
      <c r="A77" s="101" t="s">
        <v>19</v>
      </c>
      <c r="B77" s="102"/>
      <c r="C77" s="103">
        <v>6449</v>
      </c>
      <c r="D77" s="104"/>
      <c r="E77" s="103">
        <v>6545</v>
      </c>
      <c r="F77" s="104"/>
      <c r="G77" s="103">
        <v>6619</v>
      </c>
      <c r="H77" s="104"/>
      <c r="I77" s="103">
        <v>6659</v>
      </c>
      <c r="J77" s="104"/>
    </row>
    <row r="78" spans="1:10" x14ac:dyDescent="0.3">
      <c r="A78" s="105" t="s">
        <v>42</v>
      </c>
      <c r="B78" s="106"/>
      <c r="C78" s="103">
        <f>SUM(C69:C77)</f>
        <v>75327</v>
      </c>
      <c r="D78" s="104"/>
      <c r="E78" s="103">
        <f>SUM(E69:E77)</f>
        <v>75638</v>
      </c>
      <c r="F78" s="104"/>
      <c r="G78" s="103">
        <f>SUM(G69:G77)</f>
        <v>76356</v>
      </c>
      <c r="H78" s="104"/>
      <c r="I78" s="103">
        <f>SUM(I69:I77)</f>
        <v>77085</v>
      </c>
      <c r="J78" s="104"/>
    </row>
  </sheetData>
  <mergeCells count="310"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</mergeCells>
  <pageMargins left="0.7" right="0.7" top="0.75" bottom="0.75" header="0.3" footer="0.3"/>
  <pageSetup paperSize="9" orientation="portrait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78"/>
  <sheetViews>
    <sheetView workbookViewId="0">
      <selection sqref="A1:XFD1048576"/>
    </sheetView>
  </sheetViews>
  <sheetFormatPr defaultRowHeight="14.4" x14ac:dyDescent="0.3"/>
  <sheetData>
    <row r="1" spans="1:17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7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7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7" x14ac:dyDescent="0.3">
      <c r="A4" s="105" t="s">
        <v>9</v>
      </c>
      <c r="B4" s="106"/>
      <c r="C4" s="221" t="s">
        <v>843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7" x14ac:dyDescent="0.3">
      <c r="A5" s="211" t="s">
        <v>10</v>
      </c>
      <c r="B5" s="212"/>
      <c r="C5" s="215">
        <v>8036</v>
      </c>
      <c r="D5" s="215"/>
      <c r="E5" s="215">
        <v>10</v>
      </c>
      <c r="F5" s="215"/>
      <c r="G5" s="215">
        <v>256</v>
      </c>
      <c r="H5" s="215"/>
      <c r="I5" s="213">
        <v>10</v>
      </c>
      <c r="J5" s="214"/>
      <c r="K5" s="216">
        <v>10</v>
      </c>
      <c r="L5" s="217"/>
      <c r="M5" s="56">
        <v>1410</v>
      </c>
      <c r="N5" s="53">
        <v>470</v>
      </c>
      <c r="O5" s="89">
        <v>22800</v>
      </c>
      <c r="P5" s="89">
        <v>16967</v>
      </c>
      <c r="Q5" s="53">
        <v>14753</v>
      </c>
    </row>
    <row r="6" spans="1:17" x14ac:dyDescent="0.3">
      <c r="A6" s="211" t="s">
        <v>11</v>
      </c>
      <c r="B6" s="212"/>
      <c r="C6" s="213">
        <v>220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7" x14ac:dyDescent="0.3">
      <c r="A7" s="101" t="s">
        <v>12</v>
      </c>
      <c r="B7" s="102"/>
      <c r="C7" s="210">
        <v>322</v>
      </c>
      <c r="D7" s="210"/>
      <c r="E7" s="210">
        <v>68</v>
      </c>
      <c r="F7" s="210"/>
      <c r="G7" s="210">
        <v>289</v>
      </c>
      <c r="H7" s="210"/>
      <c r="I7" s="149">
        <v>314</v>
      </c>
      <c r="J7" s="150"/>
      <c r="K7" s="149">
        <v>106</v>
      </c>
      <c r="L7" s="150"/>
      <c r="M7" s="52">
        <v>293</v>
      </c>
      <c r="N7" s="52">
        <v>43</v>
      </c>
      <c r="O7" s="52">
        <v>0</v>
      </c>
      <c r="P7" s="52">
        <v>0</v>
      </c>
      <c r="Q7" s="52">
        <v>0</v>
      </c>
    </row>
    <row r="8" spans="1:17" x14ac:dyDescent="0.3">
      <c r="A8" s="101" t="s">
        <v>13</v>
      </c>
      <c r="B8" s="102"/>
      <c r="C8" s="210">
        <v>461</v>
      </c>
      <c r="D8" s="210"/>
      <c r="E8" s="210">
        <v>0</v>
      </c>
      <c r="F8" s="210"/>
      <c r="G8" s="210">
        <v>2</v>
      </c>
      <c r="H8" s="210"/>
      <c r="I8" s="149">
        <v>39</v>
      </c>
      <c r="J8" s="150"/>
      <c r="K8" s="149">
        <v>0</v>
      </c>
      <c r="L8" s="150"/>
      <c r="M8" s="52">
        <v>408</v>
      </c>
      <c r="N8" s="52">
        <v>12</v>
      </c>
      <c r="O8" s="52">
        <v>0</v>
      </c>
      <c r="P8" s="52">
        <v>0</v>
      </c>
      <c r="Q8" s="52">
        <v>2</v>
      </c>
    </row>
    <row r="9" spans="1:17" x14ac:dyDescent="0.3">
      <c r="A9" s="101" t="s">
        <v>14</v>
      </c>
      <c r="B9" s="102"/>
      <c r="C9" s="210">
        <v>92</v>
      </c>
      <c r="D9" s="210"/>
      <c r="E9" s="210">
        <v>24</v>
      </c>
      <c r="F9" s="210"/>
      <c r="G9" s="210">
        <v>4</v>
      </c>
      <c r="H9" s="210"/>
      <c r="I9" s="149">
        <v>82</v>
      </c>
      <c r="J9" s="150"/>
      <c r="K9" s="149">
        <v>27</v>
      </c>
      <c r="L9" s="150"/>
      <c r="M9" s="52">
        <v>455</v>
      </c>
      <c r="N9" s="52">
        <v>16</v>
      </c>
      <c r="O9" s="52">
        <v>2</v>
      </c>
      <c r="P9" s="52">
        <v>12</v>
      </c>
      <c r="Q9" s="52">
        <v>2</v>
      </c>
    </row>
    <row r="10" spans="1:17" x14ac:dyDescent="0.3">
      <c r="A10" s="101" t="s">
        <v>15</v>
      </c>
      <c r="B10" s="102"/>
      <c r="C10" s="210">
        <v>400</v>
      </c>
      <c r="D10" s="210"/>
      <c r="E10" s="210">
        <v>0</v>
      </c>
      <c r="F10" s="210"/>
      <c r="G10" s="210">
        <v>1</v>
      </c>
      <c r="H10" s="210"/>
      <c r="I10" s="149">
        <v>198</v>
      </c>
      <c r="J10" s="150"/>
      <c r="K10" s="149">
        <v>97</v>
      </c>
      <c r="L10" s="150"/>
      <c r="M10" s="52">
        <v>660</v>
      </c>
      <c r="N10" s="52">
        <v>310</v>
      </c>
      <c r="O10" s="52">
        <v>0</v>
      </c>
      <c r="P10" s="52">
        <v>0</v>
      </c>
      <c r="Q10" s="52">
        <v>0</v>
      </c>
    </row>
    <row r="11" spans="1:17" x14ac:dyDescent="0.3">
      <c r="A11" s="101" t="s">
        <v>16</v>
      </c>
      <c r="B11" s="102"/>
      <c r="C11" s="209">
        <v>117</v>
      </c>
      <c r="D11" s="209"/>
      <c r="E11" s="210">
        <v>5</v>
      </c>
      <c r="F11" s="210"/>
      <c r="G11" s="210">
        <v>8</v>
      </c>
      <c r="H11" s="210"/>
      <c r="I11" s="149">
        <v>161</v>
      </c>
      <c r="J11" s="150"/>
      <c r="K11" s="149">
        <v>58</v>
      </c>
      <c r="L11" s="150"/>
      <c r="M11" s="52">
        <v>291</v>
      </c>
      <c r="N11" s="52">
        <v>485</v>
      </c>
      <c r="O11" s="52">
        <v>82</v>
      </c>
      <c r="P11" s="52">
        <v>14</v>
      </c>
      <c r="Q11" s="52">
        <v>0</v>
      </c>
    </row>
    <row r="12" spans="1:17" x14ac:dyDescent="0.3">
      <c r="A12" s="101" t="s">
        <v>17</v>
      </c>
      <c r="B12" s="102"/>
      <c r="C12" s="209">
        <v>46</v>
      </c>
      <c r="D12" s="209"/>
      <c r="E12" s="210">
        <v>65</v>
      </c>
      <c r="F12" s="210"/>
      <c r="G12" s="210">
        <v>0</v>
      </c>
      <c r="H12" s="210"/>
      <c r="I12" s="149">
        <v>80</v>
      </c>
      <c r="J12" s="150"/>
      <c r="K12" s="149">
        <v>0</v>
      </c>
      <c r="L12" s="150"/>
      <c r="M12" s="52">
        <v>176</v>
      </c>
      <c r="N12" s="52">
        <v>49</v>
      </c>
      <c r="O12" s="52">
        <v>0</v>
      </c>
      <c r="P12" s="52">
        <v>16</v>
      </c>
      <c r="Q12" s="52">
        <v>5</v>
      </c>
    </row>
    <row r="13" spans="1:17" x14ac:dyDescent="0.3">
      <c r="A13" s="101" t="s">
        <v>18</v>
      </c>
      <c r="B13" s="102"/>
      <c r="C13" s="149">
        <v>204</v>
      </c>
      <c r="D13" s="150"/>
      <c r="E13" s="149">
        <v>5</v>
      </c>
      <c r="F13" s="150"/>
      <c r="G13" s="149">
        <v>1</v>
      </c>
      <c r="H13" s="150"/>
      <c r="I13" s="149">
        <v>152</v>
      </c>
      <c r="J13" s="150"/>
      <c r="K13" s="149">
        <v>8</v>
      </c>
      <c r="L13" s="150"/>
      <c r="M13" s="52">
        <v>245</v>
      </c>
      <c r="N13" s="52">
        <v>25</v>
      </c>
      <c r="O13" s="52">
        <v>0</v>
      </c>
      <c r="P13" s="52">
        <v>0</v>
      </c>
      <c r="Q13" s="52">
        <v>0</v>
      </c>
    </row>
    <row r="14" spans="1:17" x14ac:dyDescent="0.3">
      <c r="A14" s="207" t="s">
        <v>19</v>
      </c>
      <c r="B14" s="208"/>
      <c r="C14" s="205">
        <v>169</v>
      </c>
      <c r="D14" s="206"/>
      <c r="E14" s="205">
        <v>4</v>
      </c>
      <c r="F14" s="206"/>
      <c r="G14" s="205">
        <v>51</v>
      </c>
      <c r="H14" s="206"/>
      <c r="I14" s="149">
        <v>260</v>
      </c>
      <c r="J14" s="150"/>
      <c r="K14" s="205">
        <v>2</v>
      </c>
      <c r="L14" s="206"/>
      <c r="M14" s="59">
        <v>476</v>
      </c>
      <c r="N14" s="59">
        <v>16</v>
      </c>
      <c r="O14" s="52">
        <v>0</v>
      </c>
      <c r="P14" s="52">
        <v>0</v>
      </c>
      <c r="Q14" s="52">
        <v>0</v>
      </c>
    </row>
    <row r="15" spans="1:17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91">
        <v>2834</v>
      </c>
      <c r="P15" s="59">
        <v>2860</v>
      </c>
      <c r="Q15" s="98">
        <v>2897</v>
      </c>
    </row>
    <row r="16" spans="1:17" ht="15" thickBot="1" x14ac:dyDescent="0.35">
      <c r="A16" s="199" t="s">
        <v>20</v>
      </c>
      <c r="B16" s="200"/>
      <c r="C16" s="201">
        <f>SUM(C5:D15)</f>
        <v>10067</v>
      </c>
      <c r="D16" s="202"/>
      <c r="E16" s="201">
        <f>SUM(E5:F15)</f>
        <v>181</v>
      </c>
      <c r="F16" s="202"/>
      <c r="G16" s="201">
        <f>SUM(G5:H15)</f>
        <v>612</v>
      </c>
      <c r="H16" s="202"/>
      <c r="I16" s="201">
        <f>SUM(I5:J15)</f>
        <v>1296</v>
      </c>
      <c r="J16" s="202"/>
      <c r="K16" s="201">
        <f>SUM(K5:L15)</f>
        <v>308</v>
      </c>
      <c r="L16" s="202"/>
      <c r="M16" s="4">
        <f>SUM(M5:M15)</f>
        <v>4414</v>
      </c>
      <c r="N16" s="97">
        <f>SUM(N5:N15)</f>
        <v>1426</v>
      </c>
      <c r="O16" s="99">
        <f>SUM(O5:O15)</f>
        <v>25718</v>
      </c>
      <c r="P16" s="4">
        <f>SUM(P5:P15)</f>
        <v>19869</v>
      </c>
      <c r="Q16" s="5">
        <f>SUM(Q5:Q15)</f>
        <v>17659</v>
      </c>
    </row>
    <row r="17" spans="1:17" x14ac:dyDescent="0.3">
      <c r="A17" s="190" t="s">
        <v>21</v>
      </c>
      <c r="B17" s="191"/>
      <c r="C17" s="192">
        <v>7686</v>
      </c>
      <c r="D17" s="192"/>
      <c r="E17" s="193">
        <v>10</v>
      </c>
      <c r="F17" s="194"/>
      <c r="G17" s="195">
        <v>256</v>
      </c>
      <c r="H17" s="196"/>
      <c r="I17" s="195">
        <v>10</v>
      </c>
      <c r="J17" s="196"/>
      <c r="K17" s="197">
        <v>10</v>
      </c>
      <c r="L17" s="198"/>
      <c r="M17" s="36">
        <v>1410</v>
      </c>
      <c r="N17" s="96">
        <v>470</v>
      </c>
      <c r="O17" s="94">
        <v>22800</v>
      </c>
      <c r="P17" s="34">
        <v>16967</v>
      </c>
      <c r="Q17" s="95">
        <v>14753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843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197</v>
      </c>
      <c r="D24" s="162"/>
      <c r="E24" s="185" t="s">
        <v>446</v>
      </c>
      <c r="F24" s="186"/>
      <c r="G24" s="161">
        <v>0</v>
      </c>
      <c r="H24" s="162"/>
      <c r="I24" s="161">
        <v>24</v>
      </c>
      <c r="J24" s="162"/>
      <c r="K24" s="70">
        <v>0</v>
      </c>
      <c r="L24" s="78">
        <v>19</v>
      </c>
      <c r="M24" s="78">
        <v>9</v>
      </c>
    </row>
    <row r="25" spans="1:17" x14ac:dyDescent="0.3">
      <c r="A25" s="101" t="s">
        <v>13</v>
      </c>
      <c r="B25" s="102"/>
      <c r="C25" s="149">
        <v>42</v>
      </c>
      <c r="D25" s="150"/>
      <c r="E25" s="165" t="s">
        <v>827</v>
      </c>
      <c r="F25" s="166"/>
      <c r="G25" s="149">
        <v>0</v>
      </c>
      <c r="H25" s="150"/>
      <c r="I25" s="149">
        <v>148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106</v>
      </c>
      <c r="D26" s="150"/>
      <c r="E26" s="165" t="s">
        <v>846</v>
      </c>
      <c r="F26" s="166"/>
      <c r="G26" s="149">
        <v>22</v>
      </c>
      <c r="H26" s="150"/>
      <c r="I26" s="149">
        <v>69</v>
      </c>
      <c r="J26" s="150"/>
      <c r="K26" s="52">
        <v>4</v>
      </c>
      <c r="L26" s="79">
        <v>20</v>
      </c>
      <c r="M26" s="79">
        <v>4</v>
      </c>
    </row>
    <row r="27" spans="1:17" x14ac:dyDescent="0.3">
      <c r="A27" s="101" t="s">
        <v>15</v>
      </c>
      <c r="B27" s="102"/>
      <c r="C27" s="165" t="s">
        <v>847</v>
      </c>
      <c r="D27" s="166"/>
      <c r="E27" s="165" t="s">
        <v>25</v>
      </c>
      <c r="F27" s="166"/>
      <c r="G27" s="149">
        <v>0</v>
      </c>
      <c r="H27" s="150"/>
      <c r="I27" s="149">
        <v>29</v>
      </c>
      <c r="J27" s="150"/>
      <c r="K27" s="52">
        <v>0</v>
      </c>
      <c r="L27" s="81">
        <v>25</v>
      </c>
      <c r="M27" s="79">
        <v>2</v>
      </c>
    </row>
    <row r="28" spans="1:17" x14ac:dyDescent="0.3">
      <c r="A28" s="101" t="s">
        <v>16</v>
      </c>
      <c r="B28" s="102"/>
      <c r="C28" s="183" t="s">
        <v>696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62</v>
      </c>
      <c r="D29" s="153"/>
      <c r="E29" s="165" t="s">
        <v>25</v>
      </c>
      <c r="F29" s="166"/>
      <c r="G29" s="149">
        <v>0</v>
      </c>
      <c r="H29" s="150"/>
      <c r="I29" s="149">
        <v>10</v>
      </c>
      <c r="J29" s="150"/>
      <c r="K29" s="52">
        <v>0</v>
      </c>
      <c r="L29" s="79">
        <v>0</v>
      </c>
      <c r="M29" s="79">
        <v>0</v>
      </c>
    </row>
    <row r="30" spans="1:17" x14ac:dyDescent="0.3">
      <c r="A30" s="101" t="s">
        <v>18</v>
      </c>
      <c r="B30" s="102"/>
      <c r="C30" s="183" t="s">
        <v>739</v>
      </c>
      <c r="D30" s="184"/>
      <c r="E30" s="165" t="s">
        <v>762</v>
      </c>
      <c r="F30" s="166"/>
      <c r="G30" s="149">
        <v>0</v>
      </c>
      <c r="H30" s="150"/>
      <c r="I30" s="149">
        <v>5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843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405</v>
      </c>
      <c r="D37" s="162"/>
      <c r="E37" s="163" t="s">
        <v>279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56</v>
      </c>
      <c r="M37" s="78">
        <v>11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441</v>
      </c>
      <c r="F38" s="155"/>
      <c r="G38" s="149" t="s">
        <v>829</v>
      </c>
      <c r="H38" s="150"/>
      <c r="I38" s="149">
        <v>0</v>
      </c>
      <c r="J38" s="150"/>
      <c r="K38" s="52">
        <v>0</v>
      </c>
      <c r="L38" s="79">
        <v>5</v>
      </c>
      <c r="M38" s="79">
        <v>2</v>
      </c>
    </row>
    <row r="39" spans="1:13" x14ac:dyDescent="0.3">
      <c r="A39" s="147" t="s">
        <v>14</v>
      </c>
      <c r="B39" s="148"/>
      <c r="C39" s="149" t="s">
        <v>841</v>
      </c>
      <c r="D39" s="150"/>
      <c r="E39" s="154" t="s">
        <v>664</v>
      </c>
      <c r="F39" s="155"/>
      <c r="G39" s="149" t="s">
        <v>844</v>
      </c>
      <c r="H39" s="150"/>
      <c r="I39" s="149" t="s">
        <v>631</v>
      </c>
      <c r="J39" s="150"/>
      <c r="K39" s="52">
        <v>15</v>
      </c>
      <c r="L39" s="79">
        <v>22</v>
      </c>
      <c r="M39" s="79">
        <v>6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834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830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>
        <v>0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>
        <v>0</v>
      </c>
      <c r="D43" s="153"/>
      <c r="E43" s="149" t="s">
        <v>845</v>
      </c>
      <c r="F43" s="150"/>
      <c r="G43" s="149">
        <v>0</v>
      </c>
      <c r="H43" s="150"/>
      <c r="I43" s="149" t="s">
        <v>748</v>
      </c>
      <c r="J43" s="150"/>
      <c r="K43" s="52">
        <v>0</v>
      </c>
      <c r="L43" s="79">
        <v>6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820</v>
      </c>
      <c r="D49" s="146"/>
      <c r="E49" s="145" t="s">
        <v>826</v>
      </c>
      <c r="F49" s="146"/>
      <c r="G49" s="145" t="s">
        <v>836</v>
      </c>
      <c r="H49" s="146"/>
      <c r="I49" s="145" t="s">
        <v>843</v>
      </c>
      <c r="J49" s="146"/>
    </row>
    <row r="50" spans="1:10" x14ac:dyDescent="0.3">
      <c r="A50" s="120" t="s">
        <v>30</v>
      </c>
      <c r="B50" s="121"/>
      <c r="C50" s="136">
        <v>9834</v>
      </c>
      <c r="D50" s="137"/>
      <c r="E50" s="136">
        <v>9765</v>
      </c>
      <c r="F50" s="137"/>
      <c r="G50" s="136">
        <v>9697</v>
      </c>
      <c r="H50" s="137"/>
      <c r="I50" s="136">
        <v>9654</v>
      </c>
      <c r="J50" s="137"/>
    </row>
    <row r="51" spans="1:10" x14ac:dyDescent="0.3">
      <c r="A51" s="120" t="s">
        <v>31</v>
      </c>
      <c r="B51" s="121"/>
      <c r="C51" s="136">
        <v>11222</v>
      </c>
      <c r="D51" s="137"/>
      <c r="E51" s="136">
        <v>11208</v>
      </c>
      <c r="F51" s="137"/>
      <c r="G51" s="136">
        <v>11179</v>
      </c>
      <c r="H51" s="137"/>
      <c r="I51" s="136">
        <v>11178</v>
      </c>
      <c r="J51" s="137"/>
    </row>
    <row r="52" spans="1:10" x14ac:dyDescent="0.3">
      <c r="A52" s="120" t="s">
        <v>32</v>
      </c>
      <c r="B52" s="121"/>
      <c r="C52" s="136">
        <v>110105</v>
      </c>
      <c r="D52" s="137"/>
      <c r="E52" s="136">
        <v>110056</v>
      </c>
      <c r="F52" s="137"/>
      <c r="G52" s="136">
        <v>110004</v>
      </c>
      <c r="H52" s="137"/>
      <c r="I52" s="136">
        <v>109951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48736</v>
      </c>
      <c r="D54" s="137"/>
      <c r="E54" s="136">
        <v>48691</v>
      </c>
      <c r="F54" s="137"/>
      <c r="G54" s="136">
        <v>48693</v>
      </c>
      <c r="H54" s="137"/>
      <c r="I54" s="136">
        <v>48672</v>
      </c>
      <c r="J54" s="137"/>
    </row>
    <row r="55" spans="1:10" x14ac:dyDescent="0.3">
      <c r="A55" s="120" t="s">
        <v>53</v>
      </c>
      <c r="B55" s="121"/>
      <c r="C55" s="138">
        <v>5723</v>
      </c>
      <c r="D55" s="139"/>
      <c r="E55" s="138">
        <v>5758</v>
      </c>
      <c r="F55" s="139"/>
      <c r="G55" s="138">
        <v>5782</v>
      </c>
      <c r="H55" s="139"/>
      <c r="I55" s="138">
        <v>5795</v>
      </c>
      <c r="J55" s="139"/>
    </row>
    <row r="56" spans="1:10" x14ac:dyDescent="0.3">
      <c r="A56" s="120" t="s">
        <v>49</v>
      </c>
      <c r="B56" s="121"/>
      <c r="C56" s="136">
        <v>24931</v>
      </c>
      <c r="D56" s="137"/>
      <c r="E56" s="136">
        <v>25154</v>
      </c>
      <c r="F56" s="137"/>
      <c r="G56" s="136">
        <v>25386</v>
      </c>
      <c r="H56" s="137"/>
      <c r="I56" s="136">
        <v>25609</v>
      </c>
      <c r="J56" s="137"/>
    </row>
    <row r="57" spans="1:10" x14ac:dyDescent="0.3">
      <c r="A57" s="120" t="s">
        <v>35</v>
      </c>
      <c r="B57" s="121"/>
      <c r="C57" s="138">
        <v>3937</v>
      </c>
      <c r="D57" s="139"/>
      <c r="E57" s="138">
        <v>3930</v>
      </c>
      <c r="F57" s="139"/>
      <c r="G57" s="138">
        <v>3925</v>
      </c>
      <c r="H57" s="139"/>
      <c r="I57" s="138">
        <v>3933</v>
      </c>
      <c r="J57" s="139"/>
    </row>
    <row r="58" spans="1:10" x14ac:dyDescent="0.3">
      <c r="A58" s="120" t="s">
        <v>36</v>
      </c>
      <c r="B58" s="121"/>
      <c r="C58" s="122">
        <f>SUM(C50:D57)</f>
        <v>214724</v>
      </c>
      <c r="D58" s="123"/>
      <c r="E58" s="122">
        <f>SUM(E50:F57)</f>
        <v>214798</v>
      </c>
      <c r="F58" s="123"/>
      <c r="G58" s="122">
        <f>SUM(G50:H57)</f>
        <v>214902</v>
      </c>
      <c r="H58" s="123"/>
      <c r="I58" s="122">
        <f>SUM(I50:J57)</f>
        <v>215028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820</v>
      </c>
      <c r="D60" s="131"/>
      <c r="E60" s="130" t="s">
        <v>826</v>
      </c>
      <c r="F60" s="131"/>
      <c r="G60" s="130" t="s">
        <v>836</v>
      </c>
      <c r="H60" s="131"/>
      <c r="I60" s="130" t="s">
        <v>843</v>
      </c>
      <c r="J60" s="131"/>
    </row>
    <row r="61" spans="1:10" x14ac:dyDescent="0.3">
      <c r="A61" s="126"/>
      <c r="B61" s="127"/>
      <c r="C61" s="132">
        <v>141450</v>
      </c>
      <c r="D61" s="133"/>
      <c r="E61" s="132">
        <v>141487</v>
      </c>
      <c r="F61" s="133"/>
      <c r="G61" s="132">
        <v>141580</v>
      </c>
      <c r="H61" s="133"/>
      <c r="I61" s="132">
        <v>141679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760</v>
      </c>
      <c r="D66" s="115"/>
      <c r="E66" s="114" t="s">
        <v>776</v>
      </c>
      <c r="F66" s="115"/>
      <c r="G66" s="114" t="s">
        <v>801</v>
      </c>
      <c r="H66" s="115"/>
      <c r="I66" s="114" t="s">
        <v>825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33056</v>
      </c>
      <c r="D69" s="104"/>
      <c r="E69" s="103">
        <v>32925</v>
      </c>
      <c r="F69" s="104"/>
      <c r="G69" s="103">
        <v>33221</v>
      </c>
      <c r="H69" s="104"/>
      <c r="I69" s="103">
        <v>33534</v>
      </c>
      <c r="J69" s="104"/>
    </row>
    <row r="70" spans="1:10" x14ac:dyDescent="0.3">
      <c r="A70" s="101" t="s">
        <v>13</v>
      </c>
      <c r="B70" s="102"/>
      <c r="C70" s="103">
        <v>7380</v>
      </c>
      <c r="D70" s="104"/>
      <c r="E70" s="103">
        <v>7455</v>
      </c>
      <c r="F70" s="104"/>
      <c r="G70" s="103">
        <v>7510</v>
      </c>
      <c r="H70" s="104"/>
      <c r="I70" s="103">
        <v>7563</v>
      </c>
      <c r="J70" s="104"/>
    </row>
    <row r="71" spans="1:10" x14ac:dyDescent="0.3">
      <c r="A71" s="107" t="s">
        <v>14</v>
      </c>
      <c r="B71" s="108"/>
      <c r="C71" s="103">
        <v>6610</v>
      </c>
      <c r="D71" s="104"/>
      <c r="E71" s="103">
        <v>6681</v>
      </c>
      <c r="F71" s="104"/>
      <c r="G71" s="103">
        <v>6761</v>
      </c>
      <c r="H71" s="104"/>
      <c r="I71" s="103">
        <v>6817</v>
      </c>
      <c r="J71" s="104"/>
    </row>
    <row r="72" spans="1:10" x14ac:dyDescent="0.3">
      <c r="A72" s="107" t="s">
        <v>41</v>
      </c>
      <c r="B72" s="108"/>
      <c r="C72" s="103">
        <v>1653</v>
      </c>
      <c r="D72" s="104"/>
      <c r="E72" s="103">
        <v>1688</v>
      </c>
      <c r="F72" s="104"/>
      <c r="G72" s="103">
        <v>1705</v>
      </c>
      <c r="H72" s="104"/>
      <c r="I72" s="103">
        <v>1728</v>
      </c>
      <c r="J72" s="104"/>
    </row>
    <row r="73" spans="1:10" x14ac:dyDescent="0.3">
      <c r="A73" s="101" t="s">
        <v>15</v>
      </c>
      <c r="B73" s="102"/>
      <c r="C73" s="103">
        <v>5163</v>
      </c>
      <c r="D73" s="104"/>
      <c r="E73" s="103">
        <v>5228</v>
      </c>
      <c r="F73" s="104"/>
      <c r="G73" s="103">
        <v>5304</v>
      </c>
      <c r="H73" s="104"/>
      <c r="I73" s="103">
        <v>5368</v>
      </c>
      <c r="J73" s="104"/>
    </row>
    <row r="74" spans="1:10" x14ac:dyDescent="0.3">
      <c r="A74" s="107" t="s">
        <v>16</v>
      </c>
      <c r="B74" s="108"/>
      <c r="C74" s="103">
        <v>5103</v>
      </c>
      <c r="D74" s="104"/>
      <c r="E74" s="103">
        <v>5115</v>
      </c>
      <c r="F74" s="104"/>
      <c r="G74" s="103">
        <v>5147</v>
      </c>
      <c r="H74" s="104"/>
      <c r="I74" s="103">
        <v>5162</v>
      </c>
      <c r="J74" s="104"/>
    </row>
    <row r="75" spans="1:10" x14ac:dyDescent="0.3">
      <c r="A75" s="101" t="s">
        <v>17</v>
      </c>
      <c r="B75" s="102"/>
      <c r="C75" s="103">
        <v>8230</v>
      </c>
      <c r="D75" s="104"/>
      <c r="E75" s="103">
        <v>8315</v>
      </c>
      <c r="F75" s="104"/>
      <c r="G75" s="103">
        <v>8392</v>
      </c>
      <c r="H75" s="104"/>
      <c r="I75" s="103">
        <v>8545</v>
      </c>
      <c r="J75" s="104"/>
    </row>
    <row r="76" spans="1:10" x14ac:dyDescent="0.3">
      <c r="A76" s="107" t="s">
        <v>18</v>
      </c>
      <c r="B76" s="108"/>
      <c r="C76" s="103">
        <v>1683</v>
      </c>
      <c r="D76" s="104"/>
      <c r="E76" s="103">
        <v>1686</v>
      </c>
      <c r="F76" s="104"/>
      <c r="G76" s="103">
        <v>1697</v>
      </c>
      <c r="H76" s="104"/>
      <c r="I76" s="103">
        <v>1709</v>
      </c>
      <c r="J76" s="104"/>
    </row>
    <row r="77" spans="1:10" x14ac:dyDescent="0.3">
      <c r="A77" s="101" t="s">
        <v>19</v>
      </c>
      <c r="B77" s="102"/>
      <c r="C77" s="103">
        <v>6449</v>
      </c>
      <c r="D77" s="104"/>
      <c r="E77" s="103">
        <v>6545</v>
      </c>
      <c r="F77" s="104"/>
      <c r="G77" s="103">
        <v>6619</v>
      </c>
      <c r="H77" s="104"/>
      <c r="I77" s="103">
        <v>6659</v>
      </c>
      <c r="J77" s="104"/>
    </row>
    <row r="78" spans="1:10" x14ac:dyDescent="0.3">
      <c r="A78" s="105" t="s">
        <v>42</v>
      </c>
      <c r="B78" s="106"/>
      <c r="C78" s="103">
        <f>SUM(C69:C77)</f>
        <v>75327</v>
      </c>
      <c r="D78" s="104"/>
      <c r="E78" s="103">
        <f>SUM(E69:E77)</f>
        <v>75638</v>
      </c>
      <c r="F78" s="104"/>
      <c r="G78" s="103">
        <f>SUM(G69:G77)</f>
        <v>76356</v>
      </c>
      <c r="H78" s="104"/>
      <c r="I78" s="103">
        <f>SUM(I69:I77)</f>
        <v>77085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DDA5-1350-413A-9BE3-5EF6EB955D9C}">
  <dimension ref="A1:S78"/>
  <sheetViews>
    <sheetView workbookViewId="0">
      <selection sqref="A1:XFD1048576"/>
    </sheetView>
  </sheetViews>
  <sheetFormatPr defaultRowHeight="14.4" x14ac:dyDescent="0.3"/>
  <cols>
    <col min="2" max="2" width="18.33203125" customWidth="1"/>
    <col min="13" max="13" width="10.88671875" customWidth="1"/>
  </cols>
  <sheetData>
    <row r="1" spans="1:19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9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9" ht="27.7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9" x14ac:dyDescent="0.3">
      <c r="A4" s="105" t="s">
        <v>9</v>
      </c>
      <c r="B4" s="106"/>
      <c r="C4" s="221" t="s">
        <v>848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9" x14ac:dyDescent="0.3">
      <c r="A5" s="211" t="s">
        <v>10</v>
      </c>
      <c r="B5" s="212"/>
      <c r="C5" s="215">
        <v>7976</v>
      </c>
      <c r="D5" s="215"/>
      <c r="E5" s="215">
        <v>0</v>
      </c>
      <c r="F5" s="215"/>
      <c r="G5" s="215">
        <v>136</v>
      </c>
      <c r="H5" s="215"/>
      <c r="I5" s="213">
        <v>10</v>
      </c>
      <c r="J5" s="214"/>
      <c r="K5" s="216">
        <v>10</v>
      </c>
      <c r="L5" s="217"/>
      <c r="M5" s="56">
        <v>1210</v>
      </c>
      <c r="N5" s="53">
        <v>470</v>
      </c>
      <c r="O5" s="89">
        <v>22680</v>
      </c>
      <c r="P5" s="89">
        <v>16917</v>
      </c>
      <c r="Q5" s="53">
        <v>14673</v>
      </c>
    </row>
    <row r="6" spans="1:19" x14ac:dyDescent="0.3">
      <c r="A6" s="211" t="s">
        <v>11</v>
      </c>
      <c r="B6" s="212"/>
      <c r="C6" s="213">
        <v>220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9" x14ac:dyDescent="0.3">
      <c r="A7" s="101" t="s">
        <v>12</v>
      </c>
      <c r="B7" s="102"/>
      <c r="C7" s="210">
        <v>345</v>
      </c>
      <c r="D7" s="210"/>
      <c r="E7" s="210">
        <v>68</v>
      </c>
      <c r="F7" s="210"/>
      <c r="G7" s="210">
        <v>395</v>
      </c>
      <c r="H7" s="210"/>
      <c r="I7" s="149">
        <v>221</v>
      </c>
      <c r="J7" s="150"/>
      <c r="K7" s="149">
        <v>104</v>
      </c>
      <c r="L7" s="150"/>
      <c r="M7" s="52">
        <v>434</v>
      </c>
      <c r="N7" s="52">
        <v>71</v>
      </c>
      <c r="O7" s="52">
        <v>0</v>
      </c>
      <c r="P7" s="52">
        <v>0</v>
      </c>
      <c r="Q7" s="52">
        <v>0</v>
      </c>
    </row>
    <row r="8" spans="1:19" x14ac:dyDescent="0.3">
      <c r="A8" s="101" t="s">
        <v>13</v>
      </c>
      <c r="B8" s="102"/>
      <c r="C8" s="210">
        <v>434</v>
      </c>
      <c r="D8" s="210"/>
      <c r="E8" s="210">
        <v>0</v>
      </c>
      <c r="F8" s="210"/>
      <c r="G8" s="210">
        <v>2</v>
      </c>
      <c r="H8" s="210"/>
      <c r="I8" s="149">
        <v>33</v>
      </c>
      <c r="J8" s="150"/>
      <c r="K8" s="149">
        <v>0</v>
      </c>
      <c r="L8" s="150"/>
      <c r="M8" s="52">
        <v>406</v>
      </c>
      <c r="N8" s="52">
        <v>12</v>
      </c>
      <c r="O8" s="52">
        <v>0</v>
      </c>
      <c r="P8" s="52">
        <v>0</v>
      </c>
      <c r="Q8" s="52">
        <v>2</v>
      </c>
      <c r="S8" s="100"/>
    </row>
    <row r="9" spans="1:19" x14ac:dyDescent="0.3">
      <c r="A9" s="101" t="s">
        <v>14</v>
      </c>
      <c r="B9" s="102"/>
      <c r="C9" s="210">
        <v>58</v>
      </c>
      <c r="D9" s="210"/>
      <c r="E9" s="210">
        <v>14</v>
      </c>
      <c r="F9" s="210"/>
      <c r="G9" s="210">
        <v>5</v>
      </c>
      <c r="H9" s="210"/>
      <c r="I9" s="149">
        <v>53</v>
      </c>
      <c r="J9" s="150"/>
      <c r="K9" s="149">
        <v>26</v>
      </c>
      <c r="L9" s="150"/>
      <c r="M9" s="52">
        <v>453</v>
      </c>
      <c r="N9" s="52">
        <v>15</v>
      </c>
      <c r="O9" s="52">
        <v>2</v>
      </c>
      <c r="P9" s="52">
        <v>12</v>
      </c>
      <c r="Q9" s="52">
        <v>2</v>
      </c>
    </row>
    <row r="10" spans="1:19" x14ac:dyDescent="0.3">
      <c r="A10" s="101" t="s">
        <v>15</v>
      </c>
      <c r="B10" s="102"/>
      <c r="C10" s="210">
        <v>375</v>
      </c>
      <c r="D10" s="210"/>
      <c r="E10" s="210">
        <v>0</v>
      </c>
      <c r="F10" s="210"/>
      <c r="G10" s="210">
        <v>1</v>
      </c>
      <c r="H10" s="210"/>
      <c r="I10" s="149">
        <v>173</v>
      </c>
      <c r="J10" s="150"/>
      <c r="K10" s="149">
        <v>85</v>
      </c>
      <c r="L10" s="150"/>
      <c r="M10" s="52">
        <v>635</v>
      </c>
      <c r="N10" s="52">
        <v>260</v>
      </c>
      <c r="O10" s="52">
        <v>0</v>
      </c>
      <c r="P10" s="52">
        <v>0</v>
      </c>
      <c r="Q10" s="52">
        <v>0</v>
      </c>
    </row>
    <row r="11" spans="1:19" x14ac:dyDescent="0.3">
      <c r="A11" s="101" t="s">
        <v>16</v>
      </c>
      <c r="B11" s="102"/>
      <c r="C11" s="209">
        <v>109</v>
      </c>
      <c r="D11" s="209"/>
      <c r="E11" s="210">
        <v>5</v>
      </c>
      <c r="F11" s="210"/>
      <c r="G11" s="210">
        <v>8</v>
      </c>
      <c r="H11" s="210"/>
      <c r="I11" s="149">
        <v>154</v>
      </c>
      <c r="J11" s="150"/>
      <c r="K11" s="149">
        <v>51</v>
      </c>
      <c r="L11" s="150"/>
      <c r="M11" s="52">
        <v>281</v>
      </c>
      <c r="N11" s="52">
        <v>475</v>
      </c>
      <c r="O11" s="52">
        <v>82</v>
      </c>
      <c r="P11" s="52">
        <v>14</v>
      </c>
      <c r="Q11" s="52">
        <v>0</v>
      </c>
    </row>
    <row r="12" spans="1:19" x14ac:dyDescent="0.3">
      <c r="A12" s="101" t="s">
        <v>17</v>
      </c>
      <c r="B12" s="102"/>
      <c r="C12" s="209">
        <v>39</v>
      </c>
      <c r="D12" s="209"/>
      <c r="E12" s="210">
        <v>55</v>
      </c>
      <c r="F12" s="210"/>
      <c r="G12" s="210">
        <v>0</v>
      </c>
      <c r="H12" s="210"/>
      <c r="I12" s="149">
        <v>67</v>
      </c>
      <c r="J12" s="150"/>
      <c r="K12" s="149">
        <v>0</v>
      </c>
      <c r="L12" s="150"/>
      <c r="M12" s="52">
        <v>143</v>
      </c>
      <c r="N12" s="52">
        <v>49</v>
      </c>
      <c r="O12" s="52">
        <v>0</v>
      </c>
      <c r="P12" s="52">
        <v>16</v>
      </c>
      <c r="Q12" s="52">
        <v>5</v>
      </c>
    </row>
    <row r="13" spans="1:19" x14ac:dyDescent="0.3">
      <c r="A13" s="101" t="s">
        <v>18</v>
      </c>
      <c r="B13" s="102"/>
      <c r="C13" s="149">
        <v>179</v>
      </c>
      <c r="D13" s="150"/>
      <c r="E13" s="149">
        <v>5</v>
      </c>
      <c r="F13" s="150"/>
      <c r="G13" s="149">
        <v>1</v>
      </c>
      <c r="H13" s="150"/>
      <c r="I13" s="149">
        <v>143</v>
      </c>
      <c r="J13" s="150"/>
      <c r="K13" s="149">
        <v>4</v>
      </c>
      <c r="L13" s="150"/>
      <c r="M13" s="52">
        <v>240</v>
      </c>
      <c r="N13" s="52">
        <v>64</v>
      </c>
      <c r="O13" s="52">
        <v>0</v>
      </c>
      <c r="P13" s="52">
        <v>0</v>
      </c>
      <c r="Q13" s="52">
        <v>0</v>
      </c>
    </row>
    <row r="14" spans="1:19" x14ac:dyDescent="0.3">
      <c r="A14" s="207" t="s">
        <v>19</v>
      </c>
      <c r="B14" s="208"/>
      <c r="C14" s="205">
        <v>270</v>
      </c>
      <c r="D14" s="206"/>
      <c r="E14" s="205">
        <v>4</v>
      </c>
      <c r="F14" s="206"/>
      <c r="G14" s="205">
        <v>50</v>
      </c>
      <c r="H14" s="206"/>
      <c r="I14" s="149">
        <v>230</v>
      </c>
      <c r="J14" s="150"/>
      <c r="K14" s="205">
        <v>2</v>
      </c>
      <c r="L14" s="206"/>
      <c r="M14" s="59">
        <v>481</v>
      </c>
      <c r="N14" s="59">
        <v>10</v>
      </c>
      <c r="O14" s="52">
        <v>0</v>
      </c>
      <c r="P14" s="52">
        <v>0</v>
      </c>
      <c r="Q14" s="52">
        <v>0</v>
      </c>
    </row>
    <row r="15" spans="1:19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91">
        <v>2626</v>
      </c>
      <c r="P15" s="59">
        <v>2706</v>
      </c>
      <c r="Q15" s="98">
        <v>2749</v>
      </c>
    </row>
    <row r="16" spans="1:19" ht="15" thickBot="1" x14ac:dyDescent="0.35">
      <c r="A16" s="199" t="s">
        <v>20</v>
      </c>
      <c r="B16" s="200"/>
      <c r="C16" s="201">
        <f>SUM(C5:D15)</f>
        <v>10005</v>
      </c>
      <c r="D16" s="202"/>
      <c r="E16" s="201">
        <f>SUM(E5:F15)</f>
        <v>151</v>
      </c>
      <c r="F16" s="202"/>
      <c r="G16" s="201">
        <f>SUM(G5:H15)</f>
        <v>598</v>
      </c>
      <c r="H16" s="202"/>
      <c r="I16" s="201">
        <f>SUM(I5:J15)</f>
        <v>1084</v>
      </c>
      <c r="J16" s="202"/>
      <c r="K16" s="201">
        <f>SUM(K5:L15)</f>
        <v>282</v>
      </c>
      <c r="L16" s="202"/>
      <c r="M16" s="4">
        <f>SUM(M5:M15)</f>
        <v>4283</v>
      </c>
      <c r="N16" s="97">
        <f>SUM(N5:N15)</f>
        <v>1426</v>
      </c>
      <c r="O16" s="99">
        <f>SUM(O5:O15)</f>
        <v>25390</v>
      </c>
      <c r="P16" s="4">
        <f>SUM(P5:P15)</f>
        <v>19665</v>
      </c>
      <c r="Q16" s="5">
        <f>SUM(Q5:Q15)</f>
        <v>17431</v>
      </c>
    </row>
    <row r="17" spans="1:17" x14ac:dyDescent="0.3">
      <c r="A17" s="190" t="s">
        <v>21</v>
      </c>
      <c r="B17" s="191"/>
      <c r="C17" s="192">
        <v>7626</v>
      </c>
      <c r="D17" s="192"/>
      <c r="E17" s="193">
        <v>0</v>
      </c>
      <c r="F17" s="194"/>
      <c r="G17" s="195">
        <v>136</v>
      </c>
      <c r="H17" s="196"/>
      <c r="I17" s="195">
        <v>10</v>
      </c>
      <c r="J17" s="196"/>
      <c r="K17" s="197">
        <v>10</v>
      </c>
      <c r="L17" s="198"/>
      <c r="M17" s="36">
        <v>1210</v>
      </c>
      <c r="N17" s="96">
        <v>470</v>
      </c>
      <c r="O17" s="94">
        <v>22680</v>
      </c>
      <c r="P17" s="34">
        <v>16917</v>
      </c>
      <c r="Q17" s="95">
        <v>14673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848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226</v>
      </c>
      <c r="D24" s="162"/>
      <c r="E24" s="185" t="s">
        <v>327</v>
      </c>
      <c r="F24" s="186"/>
      <c r="G24" s="161">
        <v>0</v>
      </c>
      <c r="H24" s="162"/>
      <c r="I24" s="161">
        <v>26</v>
      </c>
      <c r="J24" s="162"/>
      <c r="K24" s="70">
        <v>0</v>
      </c>
      <c r="L24" s="78">
        <v>19</v>
      </c>
      <c r="M24" s="78">
        <v>9</v>
      </c>
    </row>
    <row r="25" spans="1:17" x14ac:dyDescent="0.3">
      <c r="A25" s="101" t="s">
        <v>13</v>
      </c>
      <c r="B25" s="102"/>
      <c r="C25" s="149">
        <v>76</v>
      </c>
      <c r="D25" s="150"/>
      <c r="E25" s="165" t="s">
        <v>850</v>
      </c>
      <c r="F25" s="166"/>
      <c r="G25" s="149">
        <v>0</v>
      </c>
      <c r="H25" s="150"/>
      <c r="I25" s="149">
        <v>150</v>
      </c>
      <c r="J25" s="150"/>
      <c r="K25" s="52">
        <v>0</v>
      </c>
      <c r="L25" s="79">
        <v>0</v>
      </c>
      <c r="M25" s="79">
        <v>0</v>
      </c>
    </row>
    <row r="26" spans="1:17" x14ac:dyDescent="0.3">
      <c r="A26" s="101" t="s">
        <v>14</v>
      </c>
      <c r="B26" s="102"/>
      <c r="C26" s="149">
        <v>106</v>
      </c>
      <c r="D26" s="150"/>
      <c r="E26" s="165" t="s">
        <v>846</v>
      </c>
      <c r="F26" s="166"/>
      <c r="G26" s="149">
        <v>22</v>
      </c>
      <c r="H26" s="150"/>
      <c r="I26" s="149">
        <v>69</v>
      </c>
      <c r="J26" s="150"/>
      <c r="K26" s="52">
        <v>4</v>
      </c>
      <c r="L26" s="79">
        <v>20</v>
      </c>
      <c r="M26" s="79">
        <v>4</v>
      </c>
    </row>
    <row r="27" spans="1:17" x14ac:dyDescent="0.3">
      <c r="A27" s="101" t="s">
        <v>15</v>
      </c>
      <c r="B27" s="102"/>
      <c r="C27" s="165" t="s">
        <v>847</v>
      </c>
      <c r="D27" s="166"/>
      <c r="E27" s="165" t="s">
        <v>853</v>
      </c>
      <c r="F27" s="166"/>
      <c r="G27" s="149">
        <v>0</v>
      </c>
      <c r="H27" s="150"/>
      <c r="I27" s="149">
        <v>29</v>
      </c>
      <c r="J27" s="150"/>
      <c r="K27" s="52">
        <v>0</v>
      </c>
      <c r="L27" s="81">
        <v>40</v>
      </c>
      <c r="M27" s="79">
        <v>2</v>
      </c>
    </row>
    <row r="28" spans="1:17" x14ac:dyDescent="0.3">
      <c r="A28" s="101" t="s">
        <v>16</v>
      </c>
      <c r="B28" s="102"/>
      <c r="C28" s="183" t="s">
        <v>696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2</v>
      </c>
      <c r="M28" s="79">
        <v>1</v>
      </c>
    </row>
    <row r="29" spans="1:17" x14ac:dyDescent="0.3">
      <c r="A29" s="101" t="s">
        <v>17</v>
      </c>
      <c r="B29" s="102"/>
      <c r="C29" s="152">
        <v>62</v>
      </c>
      <c r="D29" s="153"/>
      <c r="E29" s="165" t="s">
        <v>25</v>
      </c>
      <c r="F29" s="166"/>
      <c r="G29" s="149">
        <v>0</v>
      </c>
      <c r="H29" s="150"/>
      <c r="I29" s="149">
        <v>10</v>
      </c>
      <c r="J29" s="150"/>
      <c r="K29" s="52">
        <v>0</v>
      </c>
      <c r="L29" s="79">
        <v>0</v>
      </c>
      <c r="M29" s="79">
        <v>0</v>
      </c>
    </row>
    <row r="30" spans="1:17" x14ac:dyDescent="0.3">
      <c r="A30" s="101" t="s">
        <v>18</v>
      </c>
      <c r="B30" s="102"/>
      <c r="C30" s="183" t="s">
        <v>839</v>
      </c>
      <c r="D30" s="184"/>
      <c r="E30" s="165" t="s">
        <v>762</v>
      </c>
      <c r="F30" s="166"/>
      <c r="G30" s="149">
        <v>0</v>
      </c>
      <c r="H30" s="150"/>
      <c r="I30" s="149">
        <v>5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848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405</v>
      </c>
      <c r="D37" s="162"/>
      <c r="E37" s="163" t="s">
        <v>279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50</v>
      </c>
      <c r="M37" s="78">
        <v>14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851</v>
      </c>
      <c r="F38" s="155"/>
      <c r="G38" s="149" t="s">
        <v>829</v>
      </c>
      <c r="H38" s="150"/>
      <c r="I38" s="149">
        <v>0</v>
      </c>
      <c r="J38" s="150"/>
      <c r="K38" s="52">
        <v>0</v>
      </c>
      <c r="L38" s="79">
        <v>5</v>
      </c>
      <c r="M38" s="79">
        <v>2</v>
      </c>
    </row>
    <row r="39" spans="1:13" x14ac:dyDescent="0.3">
      <c r="A39" s="147" t="s">
        <v>14</v>
      </c>
      <c r="B39" s="148"/>
      <c r="C39" s="149" t="s">
        <v>841</v>
      </c>
      <c r="D39" s="150"/>
      <c r="E39" s="154" t="s">
        <v>664</v>
      </c>
      <c r="F39" s="155"/>
      <c r="G39" s="149" t="s">
        <v>844</v>
      </c>
      <c r="H39" s="150"/>
      <c r="I39" s="149" t="s">
        <v>631</v>
      </c>
      <c r="J39" s="150"/>
      <c r="K39" s="52">
        <v>15</v>
      </c>
      <c r="L39" s="79">
        <v>22</v>
      </c>
      <c r="M39" s="79">
        <v>6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834</v>
      </c>
      <c r="F40" s="155"/>
      <c r="G40" s="149">
        <v>10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830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4</v>
      </c>
      <c r="M41" s="79">
        <v>1</v>
      </c>
    </row>
    <row r="42" spans="1:13" x14ac:dyDescent="0.3">
      <c r="A42" s="147" t="s">
        <v>17</v>
      </c>
      <c r="B42" s="148"/>
      <c r="C42" s="152">
        <v>0</v>
      </c>
      <c r="D42" s="153"/>
      <c r="E42" s="149">
        <v>0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>
        <v>0</v>
      </c>
      <c r="D43" s="153"/>
      <c r="E43" s="149" t="s">
        <v>852</v>
      </c>
      <c r="F43" s="150"/>
      <c r="G43" s="149">
        <v>0</v>
      </c>
      <c r="H43" s="150"/>
      <c r="I43" s="149" t="s">
        <v>517</v>
      </c>
      <c r="J43" s="150"/>
      <c r="K43" s="52">
        <v>0</v>
      </c>
      <c r="L43" s="79">
        <v>1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826</v>
      </c>
      <c r="D49" s="146"/>
      <c r="E49" s="145" t="s">
        <v>836</v>
      </c>
      <c r="F49" s="146"/>
      <c r="G49" s="145" t="s">
        <v>843</v>
      </c>
      <c r="H49" s="146"/>
      <c r="I49" s="145" t="s">
        <v>848</v>
      </c>
      <c r="J49" s="146"/>
    </row>
    <row r="50" spans="1:10" x14ac:dyDescent="0.3">
      <c r="A50" s="120" t="s">
        <v>30</v>
      </c>
      <c r="B50" s="121"/>
      <c r="C50" s="136">
        <v>9765</v>
      </c>
      <c r="D50" s="137"/>
      <c r="E50" s="136">
        <v>9697</v>
      </c>
      <c r="F50" s="137"/>
      <c r="G50" s="136">
        <v>9654</v>
      </c>
      <c r="H50" s="137"/>
      <c r="I50" s="136">
        <v>9633</v>
      </c>
      <c r="J50" s="137"/>
    </row>
    <row r="51" spans="1:10" x14ac:dyDescent="0.3">
      <c r="A51" s="120" t="s">
        <v>31</v>
      </c>
      <c r="B51" s="121"/>
      <c r="C51" s="136">
        <v>11208</v>
      </c>
      <c r="D51" s="137"/>
      <c r="E51" s="136">
        <v>11179</v>
      </c>
      <c r="F51" s="137"/>
      <c r="G51" s="136">
        <v>11178</v>
      </c>
      <c r="H51" s="137"/>
      <c r="I51" s="136">
        <v>11176</v>
      </c>
      <c r="J51" s="137"/>
    </row>
    <row r="52" spans="1:10" x14ac:dyDescent="0.3">
      <c r="A52" s="120" t="s">
        <v>32</v>
      </c>
      <c r="B52" s="121"/>
      <c r="C52" s="136">
        <v>110056</v>
      </c>
      <c r="D52" s="137"/>
      <c r="E52" s="136">
        <v>110004</v>
      </c>
      <c r="F52" s="137"/>
      <c r="G52" s="136">
        <v>109951</v>
      </c>
      <c r="H52" s="137"/>
      <c r="I52" s="136">
        <v>109846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48691</v>
      </c>
      <c r="D54" s="137"/>
      <c r="E54" s="136">
        <v>48693</v>
      </c>
      <c r="F54" s="137"/>
      <c r="G54" s="136">
        <v>48672</v>
      </c>
      <c r="H54" s="137"/>
      <c r="I54" s="136">
        <v>48638</v>
      </c>
      <c r="J54" s="137"/>
    </row>
    <row r="55" spans="1:10" x14ac:dyDescent="0.3">
      <c r="A55" s="120" t="s">
        <v>53</v>
      </c>
      <c r="B55" s="121"/>
      <c r="C55" s="138">
        <v>5758</v>
      </c>
      <c r="D55" s="139"/>
      <c r="E55" s="138">
        <v>5782</v>
      </c>
      <c r="F55" s="139"/>
      <c r="G55" s="138">
        <v>5795</v>
      </c>
      <c r="H55" s="139"/>
      <c r="I55" s="138">
        <v>5809</v>
      </c>
      <c r="J55" s="139"/>
    </row>
    <row r="56" spans="1:10" x14ac:dyDescent="0.3">
      <c r="A56" s="120" t="s">
        <v>49</v>
      </c>
      <c r="B56" s="121"/>
      <c r="C56" s="136">
        <v>25154</v>
      </c>
      <c r="D56" s="137"/>
      <c r="E56" s="136">
        <v>25386</v>
      </c>
      <c r="F56" s="137"/>
      <c r="G56" s="136">
        <v>25609</v>
      </c>
      <c r="H56" s="137"/>
      <c r="I56" s="136">
        <v>25790</v>
      </c>
      <c r="J56" s="137"/>
    </row>
    <row r="57" spans="1:10" x14ac:dyDescent="0.3">
      <c r="A57" s="120" t="s">
        <v>35</v>
      </c>
      <c r="B57" s="121"/>
      <c r="C57" s="138">
        <v>3930</v>
      </c>
      <c r="D57" s="139"/>
      <c r="E57" s="138">
        <v>3925</v>
      </c>
      <c r="F57" s="139"/>
      <c r="G57" s="138">
        <v>3933</v>
      </c>
      <c r="H57" s="139"/>
      <c r="I57" s="138">
        <v>3939</v>
      </c>
      <c r="J57" s="139"/>
    </row>
    <row r="58" spans="1:10" x14ac:dyDescent="0.3">
      <c r="A58" s="120" t="s">
        <v>36</v>
      </c>
      <c r="B58" s="121"/>
      <c r="C58" s="122">
        <f>SUM(C50:D57)</f>
        <v>214798</v>
      </c>
      <c r="D58" s="123"/>
      <c r="E58" s="122">
        <f>SUM(E50:F57)</f>
        <v>214902</v>
      </c>
      <c r="F58" s="123"/>
      <c r="G58" s="122">
        <f>SUM(G50:H57)</f>
        <v>215028</v>
      </c>
      <c r="H58" s="123"/>
      <c r="I58" s="122">
        <f>SUM(I50:J57)</f>
        <v>215067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826</v>
      </c>
      <c r="D60" s="131"/>
      <c r="E60" s="130" t="s">
        <v>836</v>
      </c>
      <c r="F60" s="131"/>
      <c r="G60" s="130" t="s">
        <v>843</v>
      </c>
      <c r="H60" s="131"/>
      <c r="I60" s="130" t="s">
        <v>848</v>
      </c>
      <c r="J60" s="131"/>
    </row>
    <row r="61" spans="1:10" x14ac:dyDescent="0.3">
      <c r="A61" s="126"/>
      <c r="B61" s="127"/>
      <c r="C61" s="132">
        <v>141487</v>
      </c>
      <c r="D61" s="133"/>
      <c r="E61" s="132">
        <v>141580</v>
      </c>
      <c r="F61" s="133"/>
      <c r="G61" s="132">
        <v>141679</v>
      </c>
      <c r="H61" s="133"/>
      <c r="I61" s="132">
        <v>141707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776</v>
      </c>
      <c r="D66" s="115"/>
      <c r="E66" s="114" t="s">
        <v>801</v>
      </c>
      <c r="F66" s="115"/>
      <c r="G66" s="114" t="s">
        <v>825</v>
      </c>
      <c r="H66" s="115"/>
      <c r="I66" s="114" t="s">
        <v>849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32925</v>
      </c>
      <c r="D69" s="104"/>
      <c r="E69" s="103">
        <v>33221</v>
      </c>
      <c r="F69" s="104"/>
      <c r="G69" s="103">
        <v>33534</v>
      </c>
      <c r="H69" s="104"/>
      <c r="I69" s="103">
        <v>34028</v>
      </c>
      <c r="J69" s="104"/>
    </row>
    <row r="70" spans="1:10" x14ac:dyDescent="0.3">
      <c r="A70" s="101" t="s">
        <v>13</v>
      </c>
      <c r="B70" s="102"/>
      <c r="C70" s="103">
        <v>7455</v>
      </c>
      <c r="D70" s="104"/>
      <c r="E70" s="103">
        <v>7510</v>
      </c>
      <c r="F70" s="104"/>
      <c r="G70" s="103">
        <v>7563</v>
      </c>
      <c r="H70" s="104"/>
      <c r="I70" s="103">
        <v>7675</v>
      </c>
      <c r="J70" s="104"/>
    </row>
    <row r="71" spans="1:10" x14ac:dyDescent="0.3">
      <c r="A71" s="107" t="s">
        <v>14</v>
      </c>
      <c r="B71" s="108"/>
      <c r="C71" s="103">
        <v>6681</v>
      </c>
      <c r="D71" s="104"/>
      <c r="E71" s="103">
        <v>6761</v>
      </c>
      <c r="F71" s="104"/>
      <c r="G71" s="103">
        <v>6817</v>
      </c>
      <c r="H71" s="104"/>
      <c r="I71" s="103">
        <v>6925</v>
      </c>
      <c r="J71" s="104"/>
    </row>
    <row r="72" spans="1:10" x14ac:dyDescent="0.3">
      <c r="A72" s="107" t="s">
        <v>41</v>
      </c>
      <c r="B72" s="108"/>
      <c r="C72" s="103">
        <v>1688</v>
      </c>
      <c r="D72" s="104"/>
      <c r="E72" s="103">
        <v>1705</v>
      </c>
      <c r="F72" s="104"/>
      <c r="G72" s="103">
        <v>1728</v>
      </c>
      <c r="H72" s="104"/>
      <c r="I72" s="103">
        <v>1815</v>
      </c>
      <c r="J72" s="104"/>
    </row>
    <row r="73" spans="1:10" x14ac:dyDescent="0.3">
      <c r="A73" s="101" t="s">
        <v>15</v>
      </c>
      <c r="B73" s="102"/>
      <c r="C73" s="103">
        <v>5228</v>
      </c>
      <c r="D73" s="104"/>
      <c r="E73" s="103">
        <v>5304</v>
      </c>
      <c r="F73" s="104"/>
      <c r="G73" s="103">
        <v>5368</v>
      </c>
      <c r="H73" s="104"/>
      <c r="I73" s="103">
        <v>5548</v>
      </c>
      <c r="J73" s="104"/>
    </row>
    <row r="74" spans="1:10" x14ac:dyDescent="0.3">
      <c r="A74" s="107" t="s">
        <v>16</v>
      </c>
      <c r="B74" s="108"/>
      <c r="C74" s="103">
        <v>5115</v>
      </c>
      <c r="D74" s="104"/>
      <c r="E74" s="103">
        <v>5147</v>
      </c>
      <c r="F74" s="104"/>
      <c r="G74" s="103">
        <v>5162</v>
      </c>
      <c r="H74" s="104"/>
      <c r="I74" s="103">
        <v>5179</v>
      </c>
      <c r="J74" s="104"/>
    </row>
    <row r="75" spans="1:10" x14ac:dyDescent="0.3">
      <c r="A75" s="101" t="s">
        <v>17</v>
      </c>
      <c r="B75" s="102"/>
      <c r="C75" s="103">
        <v>8315</v>
      </c>
      <c r="D75" s="104"/>
      <c r="E75" s="103">
        <v>8392</v>
      </c>
      <c r="F75" s="104"/>
      <c r="G75" s="103">
        <v>8545</v>
      </c>
      <c r="H75" s="104"/>
      <c r="I75" s="103">
        <v>8698</v>
      </c>
      <c r="J75" s="104"/>
    </row>
    <row r="76" spans="1:10" x14ac:dyDescent="0.3">
      <c r="A76" s="107" t="s">
        <v>18</v>
      </c>
      <c r="B76" s="108"/>
      <c r="C76" s="103">
        <v>1686</v>
      </c>
      <c r="D76" s="104"/>
      <c r="E76" s="103">
        <v>1697</v>
      </c>
      <c r="F76" s="104"/>
      <c r="G76" s="103">
        <v>1709</v>
      </c>
      <c r="H76" s="104"/>
      <c r="I76" s="103">
        <v>1738</v>
      </c>
      <c r="J76" s="104"/>
    </row>
    <row r="77" spans="1:10" x14ac:dyDescent="0.3">
      <c r="A77" s="101" t="s">
        <v>19</v>
      </c>
      <c r="B77" s="102"/>
      <c r="C77" s="103">
        <v>6545</v>
      </c>
      <c r="D77" s="104"/>
      <c r="E77" s="103">
        <v>6619</v>
      </c>
      <c r="F77" s="104"/>
      <c r="G77" s="103">
        <v>6659</v>
      </c>
      <c r="H77" s="104"/>
      <c r="I77" s="103">
        <v>6742</v>
      </c>
      <c r="J77" s="104"/>
    </row>
    <row r="78" spans="1:10" x14ac:dyDescent="0.3">
      <c r="A78" s="105" t="s">
        <v>42</v>
      </c>
      <c r="B78" s="106"/>
      <c r="C78" s="103">
        <f>SUM(C69:C77)</f>
        <v>75638</v>
      </c>
      <c r="D78" s="104"/>
      <c r="E78" s="103">
        <f>SUM(E69:E77)</f>
        <v>76356</v>
      </c>
      <c r="F78" s="104"/>
      <c r="G78" s="103">
        <f>SUM(G69:G77)</f>
        <v>77085</v>
      </c>
      <c r="H78" s="104"/>
      <c r="I78" s="103">
        <f>SUM(I69:I77)</f>
        <v>78348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C3E5-E13C-4A9D-A349-04A96ACB5BBC}">
  <dimension ref="A1:S78"/>
  <sheetViews>
    <sheetView workbookViewId="0">
      <selection activeCell="A21" sqref="A21:B22"/>
    </sheetView>
  </sheetViews>
  <sheetFormatPr defaultRowHeight="14.4" x14ac:dyDescent="0.3"/>
  <cols>
    <col min="2" max="2" width="18.33203125" customWidth="1"/>
    <col min="13" max="13" width="10.88671875" customWidth="1"/>
  </cols>
  <sheetData>
    <row r="1" spans="1:19" x14ac:dyDescent="0.3">
      <c r="A1" s="42"/>
      <c r="B1" s="42"/>
      <c r="C1" s="43"/>
      <c r="D1" s="42"/>
      <c r="E1" s="42"/>
      <c r="F1" s="42"/>
      <c r="G1" s="43"/>
      <c r="H1" s="42"/>
      <c r="I1" s="42"/>
      <c r="J1" s="42"/>
      <c r="K1" s="42"/>
      <c r="L1" s="42"/>
      <c r="M1" s="44"/>
      <c r="N1" s="43"/>
      <c r="O1" s="80"/>
      <c r="P1" s="43"/>
      <c r="Q1" s="43"/>
    </row>
    <row r="2" spans="1:19" x14ac:dyDescent="0.3">
      <c r="A2" s="167" t="s">
        <v>0</v>
      </c>
      <c r="B2" s="168"/>
      <c r="C2" s="171" t="s">
        <v>479</v>
      </c>
      <c r="D2" s="172"/>
      <c r="E2" s="175" t="s">
        <v>480</v>
      </c>
      <c r="F2" s="176"/>
      <c r="G2" s="175" t="s">
        <v>481</v>
      </c>
      <c r="H2" s="176"/>
      <c r="I2" s="175" t="s">
        <v>482</v>
      </c>
      <c r="J2" s="176"/>
      <c r="K2" s="175" t="s">
        <v>483</v>
      </c>
      <c r="L2" s="176"/>
      <c r="M2" s="156" t="s">
        <v>484</v>
      </c>
      <c r="N2" s="156" t="s">
        <v>485</v>
      </c>
      <c r="O2" s="219" t="s">
        <v>6</v>
      </c>
      <c r="P2" s="220" t="s">
        <v>7</v>
      </c>
      <c r="Q2" s="220" t="s">
        <v>8</v>
      </c>
    </row>
    <row r="3" spans="1:19" ht="27.75" customHeight="1" x14ac:dyDescent="0.3">
      <c r="A3" s="169"/>
      <c r="B3" s="170"/>
      <c r="C3" s="225"/>
      <c r="D3" s="226"/>
      <c r="E3" s="227"/>
      <c r="F3" s="228"/>
      <c r="G3" s="227"/>
      <c r="H3" s="228"/>
      <c r="I3" s="227"/>
      <c r="J3" s="228"/>
      <c r="K3" s="227"/>
      <c r="L3" s="228"/>
      <c r="M3" s="218"/>
      <c r="N3" s="218"/>
      <c r="O3" s="219"/>
      <c r="P3" s="220"/>
      <c r="Q3" s="220"/>
    </row>
    <row r="4" spans="1:19" x14ac:dyDescent="0.3">
      <c r="A4" s="105" t="s">
        <v>9</v>
      </c>
      <c r="B4" s="106"/>
      <c r="C4" s="221" t="s">
        <v>854</v>
      </c>
      <c r="D4" s="222"/>
      <c r="E4" s="222"/>
      <c r="F4" s="222"/>
      <c r="G4" s="222"/>
      <c r="H4" s="222"/>
      <c r="I4" s="223"/>
      <c r="J4" s="223"/>
      <c r="K4" s="223"/>
      <c r="L4" s="223"/>
      <c r="M4" s="223"/>
      <c r="N4" s="223"/>
      <c r="O4" s="223"/>
      <c r="P4" s="223"/>
      <c r="Q4" s="224"/>
    </row>
    <row r="5" spans="1:19" x14ac:dyDescent="0.3">
      <c r="A5" s="211" t="s">
        <v>10</v>
      </c>
      <c r="B5" s="212"/>
      <c r="C5" s="215">
        <v>7976</v>
      </c>
      <c r="D5" s="215"/>
      <c r="E5" s="215">
        <v>10</v>
      </c>
      <c r="F5" s="215"/>
      <c r="G5" s="215">
        <v>136</v>
      </c>
      <c r="H5" s="215"/>
      <c r="I5" s="213">
        <v>10</v>
      </c>
      <c r="J5" s="214"/>
      <c r="K5" s="216">
        <v>10</v>
      </c>
      <c r="L5" s="217"/>
      <c r="M5" s="56">
        <v>1210</v>
      </c>
      <c r="N5" s="53">
        <v>470</v>
      </c>
      <c r="O5" s="89">
        <v>22230</v>
      </c>
      <c r="P5" s="40">
        <v>16567</v>
      </c>
      <c r="Q5" s="53">
        <v>14413</v>
      </c>
    </row>
    <row r="6" spans="1:19" x14ac:dyDescent="0.3">
      <c r="A6" s="211" t="s">
        <v>11</v>
      </c>
      <c r="B6" s="212"/>
      <c r="C6" s="213">
        <v>220</v>
      </c>
      <c r="D6" s="214"/>
      <c r="E6" s="213">
        <v>0</v>
      </c>
      <c r="F6" s="214"/>
      <c r="G6" s="213">
        <v>0</v>
      </c>
      <c r="H6" s="214"/>
      <c r="I6" s="213">
        <v>0</v>
      </c>
      <c r="J6" s="214"/>
      <c r="K6" s="213">
        <v>0</v>
      </c>
      <c r="L6" s="214"/>
      <c r="M6" s="53">
        <v>0</v>
      </c>
      <c r="N6" s="53">
        <v>0</v>
      </c>
      <c r="O6" s="53">
        <v>0</v>
      </c>
      <c r="P6" s="53">
        <v>0</v>
      </c>
      <c r="Q6" s="53">
        <v>0</v>
      </c>
    </row>
    <row r="7" spans="1:19" x14ac:dyDescent="0.3">
      <c r="A7" s="101" t="s">
        <v>12</v>
      </c>
      <c r="B7" s="102"/>
      <c r="C7" s="210">
        <v>285</v>
      </c>
      <c r="D7" s="210"/>
      <c r="E7" s="210">
        <v>67</v>
      </c>
      <c r="F7" s="210"/>
      <c r="G7" s="210">
        <v>346</v>
      </c>
      <c r="H7" s="210"/>
      <c r="I7" s="149">
        <v>179</v>
      </c>
      <c r="J7" s="150"/>
      <c r="K7" s="149">
        <v>101</v>
      </c>
      <c r="L7" s="150"/>
      <c r="M7" s="52">
        <v>200</v>
      </c>
      <c r="N7" s="52">
        <v>66</v>
      </c>
      <c r="O7" s="52">
        <v>0</v>
      </c>
      <c r="P7" s="52">
        <v>0</v>
      </c>
      <c r="Q7" s="52">
        <v>0</v>
      </c>
    </row>
    <row r="8" spans="1:19" x14ac:dyDescent="0.3">
      <c r="A8" s="101" t="s">
        <v>13</v>
      </c>
      <c r="B8" s="102"/>
      <c r="C8" s="210">
        <v>422</v>
      </c>
      <c r="D8" s="210"/>
      <c r="E8" s="210">
        <v>0</v>
      </c>
      <c r="F8" s="210"/>
      <c r="G8" s="210">
        <v>2</v>
      </c>
      <c r="H8" s="210"/>
      <c r="I8" s="149">
        <v>25</v>
      </c>
      <c r="J8" s="150"/>
      <c r="K8" s="149">
        <v>0</v>
      </c>
      <c r="L8" s="150"/>
      <c r="M8" s="52">
        <v>380</v>
      </c>
      <c r="N8" s="52">
        <v>12</v>
      </c>
      <c r="O8" s="52">
        <v>0</v>
      </c>
      <c r="P8" s="52">
        <v>0</v>
      </c>
      <c r="Q8" s="52">
        <v>2</v>
      </c>
      <c r="S8" s="100"/>
    </row>
    <row r="9" spans="1:19" x14ac:dyDescent="0.3">
      <c r="A9" s="101" t="s">
        <v>14</v>
      </c>
      <c r="B9" s="102"/>
      <c r="C9" s="210">
        <v>36</v>
      </c>
      <c r="D9" s="210"/>
      <c r="E9" s="210">
        <v>12</v>
      </c>
      <c r="F9" s="210"/>
      <c r="G9" s="210">
        <v>2</v>
      </c>
      <c r="H9" s="210"/>
      <c r="I9" s="149">
        <v>43</v>
      </c>
      <c r="J9" s="150"/>
      <c r="K9" s="149">
        <v>25</v>
      </c>
      <c r="L9" s="150"/>
      <c r="M9" s="52">
        <v>365</v>
      </c>
      <c r="N9" s="52">
        <v>14</v>
      </c>
      <c r="O9" s="52">
        <v>2</v>
      </c>
      <c r="P9" s="52">
        <v>12</v>
      </c>
      <c r="Q9" s="52">
        <v>1</v>
      </c>
    </row>
    <row r="10" spans="1:19" x14ac:dyDescent="0.3">
      <c r="A10" s="101" t="s">
        <v>15</v>
      </c>
      <c r="B10" s="102"/>
      <c r="C10" s="210">
        <v>346</v>
      </c>
      <c r="D10" s="210"/>
      <c r="E10" s="210">
        <v>0</v>
      </c>
      <c r="F10" s="210"/>
      <c r="G10" s="210">
        <v>1</v>
      </c>
      <c r="H10" s="210"/>
      <c r="I10" s="149">
        <v>173</v>
      </c>
      <c r="J10" s="150"/>
      <c r="K10" s="149">
        <v>62</v>
      </c>
      <c r="L10" s="150"/>
      <c r="M10" s="52">
        <v>600</v>
      </c>
      <c r="N10" s="52">
        <v>220</v>
      </c>
      <c r="O10" s="52">
        <v>0</v>
      </c>
      <c r="P10" s="52">
        <v>0</v>
      </c>
      <c r="Q10" s="52">
        <v>0</v>
      </c>
    </row>
    <row r="11" spans="1:19" x14ac:dyDescent="0.3">
      <c r="A11" s="101" t="s">
        <v>16</v>
      </c>
      <c r="B11" s="102"/>
      <c r="C11" s="209">
        <v>87</v>
      </c>
      <c r="D11" s="209"/>
      <c r="E11" s="210">
        <v>5</v>
      </c>
      <c r="F11" s="210"/>
      <c r="G11" s="210">
        <v>8</v>
      </c>
      <c r="H11" s="210"/>
      <c r="I11" s="149">
        <v>124</v>
      </c>
      <c r="J11" s="150"/>
      <c r="K11" s="149">
        <v>44</v>
      </c>
      <c r="L11" s="150"/>
      <c r="M11" s="52">
        <v>271</v>
      </c>
      <c r="N11" s="52">
        <v>463</v>
      </c>
      <c r="O11" s="52">
        <v>82</v>
      </c>
      <c r="P11" s="52">
        <v>14</v>
      </c>
      <c r="Q11" s="52">
        <v>0</v>
      </c>
    </row>
    <row r="12" spans="1:19" x14ac:dyDescent="0.3">
      <c r="A12" s="101" t="s">
        <v>17</v>
      </c>
      <c r="B12" s="102"/>
      <c r="C12" s="209">
        <v>31</v>
      </c>
      <c r="D12" s="209"/>
      <c r="E12" s="210">
        <v>40</v>
      </c>
      <c r="F12" s="210"/>
      <c r="G12" s="210">
        <v>0</v>
      </c>
      <c r="H12" s="210"/>
      <c r="I12" s="149">
        <v>57</v>
      </c>
      <c r="J12" s="150"/>
      <c r="K12" s="149">
        <v>0</v>
      </c>
      <c r="L12" s="150"/>
      <c r="M12" s="52">
        <v>120</v>
      </c>
      <c r="N12" s="52">
        <v>48</v>
      </c>
      <c r="O12" s="52">
        <v>0</v>
      </c>
      <c r="P12" s="52">
        <v>16</v>
      </c>
      <c r="Q12" s="52">
        <v>5</v>
      </c>
    </row>
    <row r="13" spans="1:19" x14ac:dyDescent="0.3">
      <c r="A13" s="101" t="s">
        <v>18</v>
      </c>
      <c r="B13" s="102"/>
      <c r="C13" s="149">
        <v>360</v>
      </c>
      <c r="D13" s="150"/>
      <c r="E13" s="149">
        <v>5</v>
      </c>
      <c r="F13" s="150"/>
      <c r="G13" s="149">
        <v>1</v>
      </c>
      <c r="H13" s="150"/>
      <c r="I13" s="149">
        <v>126</v>
      </c>
      <c r="J13" s="150"/>
      <c r="K13" s="149">
        <v>4</v>
      </c>
      <c r="L13" s="150"/>
      <c r="M13" s="52">
        <v>233</v>
      </c>
      <c r="N13" s="52">
        <v>52</v>
      </c>
      <c r="O13" s="52">
        <v>0</v>
      </c>
      <c r="P13" s="52">
        <v>0</v>
      </c>
      <c r="Q13" s="52">
        <v>0</v>
      </c>
    </row>
    <row r="14" spans="1:19" x14ac:dyDescent="0.3">
      <c r="A14" s="207" t="s">
        <v>19</v>
      </c>
      <c r="B14" s="208"/>
      <c r="C14" s="205">
        <v>251</v>
      </c>
      <c r="D14" s="206"/>
      <c r="E14" s="205">
        <v>4</v>
      </c>
      <c r="F14" s="206"/>
      <c r="G14" s="205">
        <v>49</v>
      </c>
      <c r="H14" s="206"/>
      <c r="I14" s="149">
        <v>218</v>
      </c>
      <c r="J14" s="150"/>
      <c r="K14" s="205">
        <v>2</v>
      </c>
      <c r="L14" s="206"/>
      <c r="M14" s="59">
        <v>459</v>
      </c>
      <c r="N14" s="59">
        <v>10</v>
      </c>
      <c r="O14" s="52">
        <v>0</v>
      </c>
      <c r="P14" s="52">
        <v>0</v>
      </c>
      <c r="Q14" s="52">
        <v>0</v>
      </c>
    </row>
    <row r="15" spans="1:19" ht="15" thickBot="1" x14ac:dyDescent="0.35">
      <c r="A15" s="203" t="s">
        <v>51</v>
      </c>
      <c r="B15" s="204"/>
      <c r="C15" s="205">
        <v>0</v>
      </c>
      <c r="D15" s="206"/>
      <c r="E15" s="205">
        <v>0</v>
      </c>
      <c r="F15" s="206"/>
      <c r="G15" s="205">
        <v>0</v>
      </c>
      <c r="H15" s="206"/>
      <c r="I15" s="205">
        <v>0</v>
      </c>
      <c r="J15" s="206"/>
      <c r="K15" s="205">
        <v>0</v>
      </c>
      <c r="L15" s="206"/>
      <c r="M15" s="59">
        <v>0</v>
      </c>
      <c r="N15" s="59">
        <v>0</v>
      </c>
      <c r="O15" s="91">
        <v>2691</v>
      </c>
      <c r="P15" s="59">
        <v>2840</v>
      </c>
      <c r="Q15" s="98">
        <v>2730</v>
      </c>
    </row>
    <row r="16" spans="1:19" ht="15" thickBot="1" x14ac:dyDescent="0.35">
      <c r="A16" s="199" t="s">
        <v>20</v>
      </c>
      <c r="B16" s="200"/>
      <c r="C16" s="201">
        <f>SUM(C5:D15)</f>
        <v>10014</v>
      </c>
      <c r="D16" s="202"/>
      <c r="E16" s="201">
        <f>SUM(E5:F15)</f>
        <v>143</v>
      </c>
      <c r="F16" s="202"/>
      <c r="G16" s="201">
        <f>SUM(G5:H15)</f>
        <v>545</v>
      </c>
      <c r="H16" s="202"/>
      <c r="I16" s="201">
        <f>SUM(I5:J15)</f>
        <v>955</v>
      </c>
      <c r="J16" s="202"/>
      <c r="K16" s="201">
        <f>SUM(K5:L15)</f>
        <v>248</v>
      </c>
      <c r="L16" s="202"/>
      <c r="M16" s="4">
        <f>SUM(M5:M15)</f>
        <v>3838</v>
      </c>
      <c r="N16" s="97">
        <f>SUM(N5:N15)</f>
        <v>1355</v>
      </c>
      <c r="O16" s="99">
        <f>SUM(O5:O15)</f>
        <v>25005</v>
      </c>
      <c r="P16" s="4">
        <f>SUM(P5:P15)</f>
        <v>19449</v>
      </c>
      <c r="Q16" s="5">
        <f>SUM(Q5:Q15)</f>
        <v>17151</v>
      </c>
    </row>
    <row r="17" spans="1:17" x14ac:dyDescent="0.3">
      <c r="A17" s="190" t="s">
        <v>21</v>
      </c>
      <c r="B17" s="191"/>
      <c r="C17" s="192">
        <v>7626</v>
      </c>
      <c r="D17" s="192"/>
      <c r="E17" s="193">
        <v>10</v>
      </c>
      <c r="F17" s="194"/>
      <c r="G17" s="195">
        <v>136</v>
      </c>
      <c r="H17" s="196"/>
      <c r="I17" s="195">
        <v>10</v>
      </c>
      <c r="J17" s="196"/>
      <c r="K17" s="197">
        <v>10</v>
      </c>
      <c r="L17" s="198"/>
      <c r="M17" s="36">
        <v>1210</v>
      </c>
      <c r="N17" s="96">
        <v>470</v>
      </c>
      <c r="O17" s="94">
        <v>22230</v>
      </c>
      <c r="P17" s="34">
        <v>16567</v>
      </c>
      <c r="Q17" s="95">
        <v>14413</v>
      </c>
    </row>
    <row r="18" spans="1:17" x14ac:dyDescent="0.3">
      <c r="A18" s="187" t="s">
        <v>22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8"/>
      <c r="O18" s="187"/>
      <c r="P18" s="187"/>
      <c r="Q18" s="187"/>
    </row>
    <row r="19" spans="1:17" x14ac:dyDescent="0.3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7" x14ac:dyDescent="0.3">
      <c r="A21" s="167" t="s">
        <v>486</v>
      </c>
      <c r="B21" s="168"/>
      <c r="C21" s="171" t="s">
        <v>479</v>
      </c>
      <c r="D21" s="172"/>
      <c r="E21" s="175" t="s">
        <v>487</v>
      </c>
      <c r="F21" s="176"/>
      <c r="G21" s="175" t="s">
        <v>481</v>
      </c>
      <c r="H21" s="176"/>
      <c r="I21" s="179" t="s">
        <v>488</v>
      </c>
      <c r="J21" s="180"/>
      <c r="K21" s="189" t="s">
        <v>485</v>
      </c>
      <c r="L21" s="73"/>
      <c r="M21" s="74"/>
    </row>
    <row r="22" spans="1:17" ht="57.6" x14ac:dyDescent="0.3">
      <c r="A22" s="169"/>
      <c r="B22" s="170"/>
      <c r="C22" s="173"/>
      <c r="D22" s="174"/>
      <c r="E22" s="177"/>
      <c r="F22" s="178"/>
      <c r="G22" s="177"/>
      <c r="H22" s="178"/>
      <c r="I22" s="181"/>
      <c r="J22" s="182"/>
      <c r="K22" s="156"/>
      <c r="L22" s="75" t="s">
        <v>575</v>
      </c>
      <c r="M22" s="76" t="s">
        <v>574</v>
      </c>
    </row>
    <row r="23" spans="1:17" x14ac:dyDescent="0.3">
      <c r="A23" s="105" t="s">
        <v>9</v>
      </c>
      <c r="B23" s="158"/>
      <c r="C23" s="159" t="s">
        <v>854</v>
      </c>
      <c r="D23" s="160"/>
      <c r="E23" s="160"/>
      <c r="F23" s="160"/>
      <c r="G23" s="160"/>
      <c r="H23" s="160"/>
      <c r="I23" s="160"/>
      <c r="J23" s="160"/>
      <c r="K23" s="160"/>
      <c r="L23" s="71"/>
      <c r="M23" s="72"/>
    </row>
    <row r="24" spans="1:17" x14ac:dyDescent="0.3">
      <c r="A24" s="101" t="s">
        <v>12</v>
      </c>
      <c r="B24" s="102"/>
      <c r="C24" s="161">
        <v>209</v>
      </c>
      <c r="D24" s="162"/>
      <c r="E24" s="185" t="s">
        <v>644</v>
      </c>
      <c r="F24" s="186"/>
      <c r="G24" s="161">
        <v>0</v>
      </c>
      <c r="H24" s="162"/>
      <c r="I24" s="161">
        <v>19</v>
      </c>
      <c r="J24" s="162"/>
      <c r="K24" s="70">
        <v>0</v>
      </c>
      <c r="L24" s="78">
        <v>57</v>
      </c>
      <c r="M24" s="78">
        <v>22</v>
      </c>
    </row>
    <row r="25" spans="1:17" x14ac:dyDescent="0.3">
      <c r="A25" s="101" t="s">
        <v>13</v>
      </c>
      <c r="B25" s="102"/>
      <c r="C25" s="149">
        <v>80</v>
      </c>
      <c r="D25" s="150"/>
      <c r="E25" s="165" t="s">
        <v>855</v>
      </c>
      <c r="F25" s="166"/>
      <c r="G25" s="149">
        <v>0</v>
      </c>
      <c r="H25" s="150"/>
      <c r="I25" s="149">
        <v>150</v>
      </c>
      <c r="J25" s="150"/>
      <c r="K25" s="52">
        <v>0</v>
      </c>
      <c r="L25" s="79">
        <v>5</v>
      </c>
      <c r="M25" s="79">
        <v>2</v>
      </c>
    </row>
    <row r="26" spans="1:17" x14ac:dyDescent="0.3">
      <c r="A26" s="101" t="s">
        <v>14</v>
      </c>
      <c r="B26" s="102"/>
      <c r="C26" s="149">
        <v>130</v>
      </c>
      <c r="D26" s="150"/>
      <c r="E26" s="165" t="s">
        <v>858</v>
      </c>
      <c r="F26" s="166"/>
      <c r="G26" s="149">
        <v>22</v>
      </c>
      <c r="H26" s="150"/>
      <c r="I26" s="149">
        <v>70</v>
      </c>
      <c r="J26" s="150"/>
      <c r="K26" s="52">
        <v>4</v>
      </c>
      <c r="L26" s="79">
        <v>17</v>
      </c>
      <c r="M26" s="79">
        <v>3</v>
      </c>
    </row>
    <row r="27" spans="1:17" x14ac:dyDescent="0.3">
      <c r="A27" s="101" t="s">
        <v>15</v>
      </c>
      <c r="B27" s="102"/>
      <c r="C27" s="165" t="s">
        <v>388</v>
      </c>
      <c r="D27" s="166"/>
      <c r="E27" s="165" t="s">
        <v>573</v>
      </c>
      <c r="F27" s="166"/>
      <c r="G27" s="149">
        <v>0</v>
      </c>
      <c r="H27" s="150"/>
      <c r="I27" s="149">
        <v>23</v>
      </c>
      <c r="J27" s="150"/>
      <c r="K27" s="52">
        <v>36</v>
      </c>
      <c r="L27" s="81">
        <v>40</v>
      </c>
      <c r="M27" s="79">
        <v>2</v>
      </c>
    </row>
    <row r="28" spans="1:17" x14ac:dyDescent="0.3">
      <c r="A28" s="101" t="s">
        <v>16</v>
      </c>
      <c r="B28" s="102"/>
      <c r="C28" s="183" t="s">
        <v>696</v>
      </c>
      <c r="D28" s="184"/>
      <c r="E28" s="165" t="s">
        <v>25</v>
      </c>
      <c r="F28" s="166"/>
      <c r="G28" s="149">
        <v>0</v>
      </c>
      <c r="H28" s="150"/>
      <c r="I28" s="149">
        <v>15</v>
      </c>
      <c r="J28" s="150"/>
      <c r="K28" s="52">
        <v>4</v>
      </c>
      <c r="L28" s="79">
        <v>5</v>
      </c>
      <c r="M28" s="79">
        <v>5</v>
      </c>
    </row>
    <row r="29" spans="1:17" x14ac:dyDescent="0.3">
      <c r="A29" s="101" t="s">
        <v>17</v>
      </c>
      <c r="B29" s="102"/>
      <c r="C29" s="152">
        <v>65</v>
      </c>
      <c r="D29" s="153"/>
      <c r="E29" s="165" t="s">
        <v>25</v>
      </c>
      <c r="F29" s="166"/>
      <c r="G29" s="149">
        <v>0</v>
      </c>
      <c r="H29" s="150"/>
      <c r="I29" s="149">
        <v>7</v>
      </c>
      <c r="J29" s="150"/>
      <c r="K29" s="52">
        <v>0</v>
      </c>
      <c r="L29" s="79">
        <v>0</v>
      </c>
      <c r="M29" s="79">
        <v>0</v>
      </c>
    </row>
    <row r="30" spans="1:17" x14ac:dyDescent="0.3">
      <c r="A30" s="101" t="s">
        <v>18</v>
      </c>
      <c r="B30" s="102"/>
      <c r="C30" s="183" t="s">
        <v>839</v>
      </c>
      <c r="D30" s="184"/>
      <c r="E30" s="165" t="s">
        <v>762</v>
      </c>
      <c r="F30" s="166"/>
      <c r="G30" s="149">
        <v>0</v>
      </c>
      <c r="H30" s="150"/>
      <c r="I30" s="149">
        <v>12</v>
      </c>
      <c r="J30" s="150"/>
      <c r="K30" s="52">
        <v>0</v>
      </c>
      <c r="L30" s="79">
        <v>0</v>
      </c>
      <c r="M30" s="79">
        <v>0</v>
      </c>
    </row>
    <row r="31" spans="1:17" x14ac:dyDescent="0.3">
      <c r="A31" s="101" t="s">
        <v>19</v>
      </c>
      <c r="B31" s="102"/>
      <c r="C31" s="149">
        <v>0</v>
      </c>
      <c r="D31" s="150"/>
      <c r="E31" s="165" t="s">
        <v>25</v>
      </c>
      <c r="F31" s="166"/>
      <c r="G31" s="149">
        <v>0</v>
      </c>
      <c r="H31" s="150"/>
      <c r="I31" s="149">
        <v>0</v>
      </c>
      <c r="J31" s="150"/>
      <c r="K31" s="52">
        <v>0</v>
      </c>
      <c r="L31" s="79">
        <v>0</v>
      </c>
      <c r="M31" s="79">
        <v>0</v>
      </c>
    </row>
    <row r="33" spans="1:13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x14ac:dyDescent="0.3">
      <c r="A34" s="167" t="s">
        <v>489</v>
      </c>
      <c r="B34" s="168"/>
      <c r="C34" s="171" t="s">
        <v>479</v>
      </c>
      <c r="D34" s="172"/>
      <c r="E34" s="175" t="s">
        <v>487</v>
      </c>
      <c r="F34" s="176"/>
      <c r="G34" s="175" t="s">
        <v>481</v>
      </c>
      <c r="H34" s="176"/>
      <c r="I34" s="179" t="s">
        <v>488</v>
      </c>
      <c r="J34" s="180"/>
      <c r="K34" s="156" t="s">
        <v>485</v>
      </c>
      <c r="L34" s="73"/>
      <c r="M34" s="74"/>
    </row>
    <row r="35" spans="1:13" ht="57.6" x14ac:dyDescent="0.3">
      <c r="A35" s="169"/>
      <c r="B35" s="170"/>
      <c r="C35" s="173"/>
      <c r="D35" s="174"/>
      <c r="E35" s="177"/>
      <c r="F35" s="178"/>
      <c r="G35" s="177"/>
      <c r="H35" s="178"/>
      <c r="I35" s="181"/>
      <c r="J35" s="182"/>
      <c r="K35" s="157"/>
      <c r="L35" s="75" t="s">
        <v>575</v>
      </c>
      <c r="M35" s="76" t="s">
        <v>574</v>
      </c>
    </row>
    <row r="36" spans="1:13" x14ac:dyDescent="0.3">
      <c r="A36" s="105" t="s">
        <v>9</v>
      </c>
      <c r="B36" s="158"/>
      <c r="C36" s="159" t="s">
        <v>854</v>
      </c>
      <c r="D36" s="160"/>
      <c r="E36" s="160"/>
      <c r="F36" s="160"/>
      <c r="G36" s="160"/>
      <c r="H36" s="160"/>
      <c r="I36" s="160"/>
      <c r="J36" s="160"/>
      <c r="K36" s="160"/>
      <c r="L36" s="71"/>
      <c r="M36" s="72"/>
    </row>
    <row r="37" spans="1:13" x14ac:dyDescent="0.3">
      <c r="A37" s="147" t="s">
        <v>12</v>
      </c>
      <c r="B37" s="148"/>
      <c r="C37" s="161" t="s">
        <v>405</v>
      </c>
      <c r="D37" s="162"/>
      <c r="E37" s="163" t="s">
        <v>279</v>
      </c>
      <c r="F37" s="164"/>
      <c r="G37" s="161" t="s">
        <v>811</v>
      </c>
      <c r="H37" s="162"/>
      <c r="I37" s="161" t="s">
        <v>517</v>
      </c>
      <c r="J37" s="162"/>
      <c r="K37" s="70">
        <v>0</v>
      </c>
      <c r="L37" s="78">
        <v>11</v>
      </c>
      <c r="M37" s="78">
        <v>2</v>
      </c>
    </row>
    <row r="38" spans="1:13" x14ac:dyDescent="0.3">
      <c r="A38" s="147" t="s">
        <v>13</v>
      </c>
      <c r="B38" s="148"/>
      <c r="C38" s="149">
        <v>0</v>
      </c>
      <c r="D38" s="150"/>
      <c r="E38" s="154" t="s">
        <v>856</v>
      </c>
      <c r="F38" s="155"/>
      <c r="G38" s="149" t="s">
        <v>829</v>
      </c>
      <c r="H38" s="150"/>
      <c r="I38" s="149">
        <v>0</v>
      </c>
      <c r="J38" s="150"/>
      <c r="K38" s="52">
        <v>0</v>
      </c>
      <c r="L38" s="79">
        <v>0</v>
      </c>
      <c r="M38" s="79">
        <v>0</v>
      </c>
    </row>
    <row r="39" spans="1:13" x14ac:dyDescent="0.3">
      <c r="A39" s="147" t="s">
        <v>14</v>
      </c>
      <c r="B39" s="148"/>
      <c r="C39" s="149" t="s">
        <v>859</v>
      </c>
      <c r="D39" s="150"/>
      <c r="E39" s="154" t="s">
        <v>860</v>
      </c>
      <c r="F39" s="155"/>
      <c r="G39" s="149" t="s">
        <v>358</v>
      </c>
      <c r="H39" s="150"/>
      <c r="I39" s="149" t="s">
        <v>792</v>
      </c>
      <c r="J39" s="150"/>
      <c r="K39" s="52">
        <v>15</v>
      </c>
      <c r="L39" s="79">
        <v>24</v>
      </c>
      <c r="M39" s="79">
        <v>7</v>
      </c>
    </row>
    <row r="40" spans="1:13" x14ac:dyDescent="0.3">
      <c r="A40" s="147" t="s">
        <v>15</v>
      </c>
      <c r="B40" s="148"/>
      <c r="C40" s="152">
        <v>0</v>
      </c>
      <c r="D40" s="153"/>
      <c r="E40" s="154" t="s">
        <v>861</v>
      </c>
      <c r="F40" s="155"/>
      <c r="G40" s="149">
        <v>8</v>
      </c>
      <c r="H40" s="150"/>
      <c r="I40" s="149">
        <v>0</v>
      </c>
      <c r="J40" s="150"/>
      <c r="K40" s="52">
        <v>0</v>
      </c>
      <c r="L40" s="79">
        <v>0</v>
      </c>
      <c r="M40" s="79">
        <v>0</v>
      </c>
    </row>
    <row r="41" spans="1:13" x14ac:dyDescent="0.3">
      <c r="A41" s="147" t="s">
        <v>16</v>
      </c>
      <c r="B41" s="148"/>
      <c r="C41" s="152" t="s">
        <v>830</v>
      </c>
      <c r="D41" s="153"/>
      <c r="E41" s="154" t="s">
        <v>705</v>
      </c>
      <c r="F41" s="155"/>
      <c r="G41" s="149">
        <v>0</v>
      </c>
      <c r="H41" s="150"/>
      <c r="I41" s="149" t="s">
        <v>354</v>
      </c>
      <c r="J41" s="150"/>
      <c r="K41" s="52" t="s">
        <v>475</v>
      </c>
      <c r="L41" s="79">
        <v>0</v>
      </c>
      <c r="M41" s="79">
        <v>0</v>
      </c>
    </row>
    <row r="42" spans="1:13" x14ac:dyDescent="0.3">
      <c r="A42" s="147" t="s">
        <v>17</v>
      </c>
      <c r="B42" s="148"/>
      <c r="C42" s="152">
        <v>0</v>
      </c>
      <c r="D42" s="153"/>
      <c r="E42" s="149">
        <v>0</v>
      </c>
      <c r="F42" s="150"/>
      <c r="G42" s="149">
        <v>0</v>
      </c>
      <c r="H42" s="150"/>
      <c r="I42" s="149">
        <v>0</v>
      </c>
      <c r="J42" s="150"/>
      <c r="K42" s="52">
        <v>0</v>
      </c>
      <c r="L42" s="79">
        <v>0</v>
      </c>
      <c r="M42" s="79">
        <v>0</v>
      </c>
    </row>
    <row r="43" spans="1:13" x14ac:dyDescent="0.3">
      <c r="A43" s="147" t="s">
        <v>18</v>
      </c>
      <c r="B43" s="148"/>
      <c r="C43" s="152">
        <v>5</v>
      </c>
      <c r="D43" s="153"/>
      <c r="E43" s="149" t="s">
        <v>857</v>
      </c>
      <c r="F43" s="150"/>
      <c r="G43" s="149">
        <v>0</v>
      </c>
      <c r="H43" s="150"/>
      <c r="I43" s="149" t="s">
        <v>571</v>
      </c>
      <c r="J43" s="150"/>
      <c r="K43" s="52">
        <v>0</v>
      </c>
      <c r="L43" s="79">
        <v>0</v>
      </c>
      <c r="M43" s="79">
        <v>0</v>
      </c>
    </row>
    <row r="44" spans="1:13" x14ac:dyDescent="0.3">
      <c r="A44" s="147" t="s">
        <v>19</v>
      </c>
      <c r="B44" s="148"/>
      <c r="C44" s="149">
        <v>0</v>
      </c>
      <c r="D44" s="150"/>
      <c r="E44" s="149">
        <v>0</v>
      </c>
      <c r="F44" s="150"/>
      <c r="G44" s="149">
        <v>0</v>
      </c>
      <c r="H44" s="150"/>
      <c r="I44" s="149">
        <v>0</v>
      </c>
      <c r="J44" s="150"/>
      <c r="K44" s="52">
        <v>0</v>
      </c>
      <c r="L44" s="79">
        <v>0</v>
      </c>
      <c r="M44" s="79">
        <v>0</v>
      </c>
    </row>
    <row r="45" spans="1:13" x14ac:dyDescent="0.3">
      <c r="A45" s="151" t="s">
        <v>490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7" spans="1:13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3" x14ac:dyDescent="0.3">
      <c r="A48" s="140" t="s">
        <v>28</v>
      </c>
      <c r="B48" s="141"/>
      <c r="C48" s="141"/>
      <c r="D48" s="141"/>
      <c r="E48" s="141"/>
      <c r="F48" s="141"/>
      <c r="G48" s="141"/>
      <c r="H48" s="141"/>
      <c r="I48" s="141"/>
      <c r="J48" s="142"/>
    </row>
    <row r="49" spans="1:10" x14ac:dyDescent="0.3">
      <c r="A49" s="143" t="s">
        <v>29</v>
      </c>
      <c r="B49" s="144"/>
      <c r="C49" s="145" t="s">
        <v>836</v>
      </c>
      <c r="D49" s="146"/>
      <c r="E49" s="145" t="s">
        <v>843</v>
      </c>
      <c r="F49" s="146"/>
      <c r="G49" s="145" t="s">
        <v>848</v>
      </c>
      <c r="H49" s="146"/>
      <c r="I49" s="145" t="s">
        <v>854</v>
      </c>
      <c r="J49" s="146"/>
    </row>
    <row r="50" spans="1:10" x14ac:dyDescent="0.3">
      <c r="A50" s="120" t="s">
        <v>30</v>
      </c>
      <c r="B50" s="121"/>
      <c r="C50" s="136">
        <v>9697</v>
      </c>
      <c r="D50" s="137"/>
      <c r="E50" s="136">
        <v>9654</v>
      </c>
      <c r="F50" s="137"/>
      <c r="G50" s="136">
        <v>9633</v>
      </c>
      <c r="H50" s="137"/>
      <c r="I50" s="136">
        <v>9604</v>
      </c>
      <c r="J50" s="137"/>
    </row>
    <row r="51" spans="1:10" x14ac:dyDescent="0.3">
      <c r="A51" s="120" t="s">
        <v>31</v>
      </c>
      <c r="B51" s="121"/>
      <c r="C51" s="136">
        <v>11179</v>
      </c>
      <c r="D51" s="137"/>
      <c r="E51" s="136">
        <v>11178</v>
      </c>
      <c r="F51" s="137"/>
      <c r="G51" s="136">
        <v>11176</v>
      </c>
      <c r="H51" s="137"/>
      <c r="I51" s="136">
        <v>11182</v>
      </c>
      <c r="J51" s="137"/>
    </row>
    <row r="52" spans="1:10" x14ac:dyDescent="0.3">
      <c r="A52" s="120" t="s">
        <v>32</v>
      </c>
      <c r="B52" s="121"/>
      <c r="C52" s="136">
        <v>110004</v>
      </c>
      <c r="D52" s="137"/>
      <c r="E52" s="136">
        <v>109951</v>
      </c>
      <c r="F52" s="137"/>
      <c r="G52" s="136">
        <v>109846</v>
      </c>
      <c r="H52" s="137"/>
      <c r="I52" s="136">
        <v>109788</v>
      </c>
      <c r="J52" s="137"/>
    </row>
    <row r="53" spans="1:10" x14ac:dyDescent="0.3">
      <c r="A53" s="120" t="s">
        <v>33</v>
      </c>
      <c r="B53" s="121"/>
      <c r="C53" s="138">
        <v>236</v>
      </c>
      <c r="D53" s="139"/>
      <c r="E53" s="138">
        <v>236</v>
      </c>
      <c r="F53" s="139"/>
      <c r="G53" s="138">
        <v>236</v>
      </c>
      <c r="H53" s="139"/>
      <c r="I53" s="138">
        <v>236</v>
      </c>
      <c r="J53" s="139"/>
    </row>
    <row r="54" spans="1:10" x14ac:dyDescent="0.3">
      <c r="A54" s="120" t="s">
        <v>34</v>
      </c>
      <c r="B54" s="121"/>
      <c r="C54" s="136">
        <v>48693</v>
      </c>
      <c r="D54" s="137"/>
      <c r="E54" s="136">
        <v>48672</v>
      </c>
      <c r="F54" s="137"/>
      <c r="G54" s="136">
        <v>48638</v>
      </c>
      <c r="H54" s="137"/>
      <c r="I54" s="136">
        <v>48636</v>
      </c>
      <c r="J54" s="137"/>
    </row>
    <row r="55" spans="1:10" x14ac:dyDescent="0.3">
      <c r="A55" s="120" t="s">
        <v>53</v>
      </c>
      <c r="B55" s="121"/>
      <c r="C55" s="138">
        <v>5782</v>
      </c>
      <c r="D55" s="139"/>
      <c r="E55" s="138">
        <v>5795</v>
      </c>
      <c r="F55" s="139"/>
      <c r="G55" s="138">
        <v>5809</v>
      </c>
      <c r="H55" s="139"/>
      <c r="I55" s="138">
        <v>5802</v>
      </c>
      <c r="J55" s="139"/>
    </row>
    <row r="56" spans="1:10" x14ac:dyDescent="0.3">
      <c r="A56" s="120" t="s">
        <v>49</v>
      </c>
      <c r="B56" s="121"/>
      <c r="C56" s="136">
        <v>25386</v>
      </c>
      <c r="D56" s="137"/>
      <c r="E56" s="136">
        <v>25609</v>
      </c>
      <c r="F56" s="137"/>
      <c r="G56" s="136">
        <v>25790</v>
      </c>
      <c r="H56" s="137"/>
      <c r="I56" s="136">
        <v>25923</v>
      </c>
      <c r="J56" s="137"/>
    </row>
    <row r="57" spans="1:10" x14ac:dyDescent="0.3">
      <c r="A57" s="120" t="s">
        <v>35</v>
      </c>
      <c r="B57" s="121"/>
      <c r="C57" s="138">
        <v>3925</v>
      </c>
      <c r="D57" s="139"/>
      <c r="E57" s="138">
        <v>3933</v>
      </c>
      <c r="F57" s="139"/>
      <c r="G57" s="138">
        <v>3939</v>
      </c>
      <c r="H57" s="139"/>
      <c r="I57" s="138">
        <v>3964</v>
      </c>
      <c r="J57" s="139"/>
    </row>
    <row r="58" spans="1:10" x14ac:dyDescent="0.3">
      <c r="A58" s="120" t="s">
        <v>36</v>
      </c>
      <c r="B58" s="121"/>
      <c r="C58" s="122">
        <f>SUM(C50:D57)</f>
        <v>214902</v>
      </c>
      <c r="D58" s="123"/>
      <c r="E58" s="122">
        <f>SUM(E50:F57)</f>
        <v>215028</v>
      </c>
      <c r="F58" s="123"/>
      <c r="G58" s="122">
        <f>SUM(G50:H57)</f>
        <v>215067</v>
      </c>
      <c r="H58" s="123"/>
      <c r="I58" s="122">
        <f>SUM(I50:J57)</f>
        <v>215135</v>
      </c>
      <c r="J58" s="123"/>
    </row>
    <row r="59" spans="1:10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</row>
    <row r="60" spans="1:10" x14ac:dyDescent="0.3">
      <c r="A60" s="124" t="s">
        <v>37</v>
      </c>
      <c r="B60" s="125"/>
      <c r="C60" s="130" t="s">
        <v>836</v>
      </c>
      <c r="D60" s="131"/>
      <c r="E60" s="130" t="s">
        <v>843</v>
      </c>
      <c r="F60" s="131"/>
      <c r="G60" s="130" t="s">
        <v>848</v>
      </c>
      <c r="H60" s="131"/>
      <c r="I60" s="130" t="s">
        <v>854</v>
      </c>
      <c r="J60" s="131"/>
    </row>
    <row r="61" spans="1:10" x14ac:dyDescent="0.3">
      <c r="A61" s="126"/>
      <c r="B61" s="127"/>
      <c r="C61" s="132">
        <v>141580</v>
      </c>
      <c r="D61" s="133"/>
      <c r="E61" s="132">
        <v>141679</v>
      </c>
      <c r="F61" s="133"/>
      <c r="G61" s="132">
        <v>141707</v>
      </c>
      <c r="H61" s="133"/>
      <c r="I61" s="132">
        <v>141781</v>
      </c>
      <c r="J61" s="133"/>
    </row>
    <row r="62" spans="1:10" x14ac:dyDescent="0.3">
      <c r="A62" s="128"/>
      <c r="B62" s="129"/>
      <c r="C62" s="134"/>
      <c r="D62" s="135"/>
      <c r="E62" s="134"/>
      <c r="F62" s="135"/>
      <c r="G62" s="134"/>
      <c r="H62" s="135"/>
      <c r="I62" s="134"/>
      <c r="J62" s="135"/>
    </row>
    <row r="64" spans="1:10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3">
      <c r="A65" s="109" t="s">
        <v>38</v>
      </c>
      <c r="B65" s="110"/>
      <c r="C65" s="110"/>
      <c r="D65" s="110"/>
      <c r="E65" s="110"/>
      <c r="F65" s="110"/>
      <c r="G65" s="110"/>
      <c r="H65" s="110"/>
      <c r="I65" s="110"/>
      <c r="J65" s="111"/>
    </row>
    <row r="66" spans="1:10" x14ac:dyDescent="0.3">
      <c r="A66" s="112" t="s">
        <v>9</v>
      </c>
      <c r="B66" s="113"/>
      <c r="C66" s="114" t="s">
        <v>776</v>
      </c>
      <c r="D66" s="115"/>
      <c r="E66" s="114" t="s">
        <v>801</v>
      </c>
      <c r="F66" s="115"/>
      <c r="G66" s="114" t="s">
        <v>825</v>
      </c>
      <c r="H66" s="115"/>
      <c r="I66" s="114" t="s">
        <v>849</v>
      </c>
      <c r="J66" s="115"/>
    </row>
    <row r="67" spans="1:10" x14ac:dyDescent="0.3">
      <c r="A67" s="116" t="s">
        <v>39</v>
      </c>
      <c r="B67" s="117"/>
      <c r="C67" s="116" t="s">
        <v>40</v>
      </c>
      <c r="D67" s="117"/>
      <c r="E67" s="116" t="s">
        <v>40</v>
      </c>
      <c r="F67" s="117"/>
      <c r="G67" s="116" t="s">
        <v>40</v>
      </c>
      <c r="H67" s="117"/>
      <c r="I67" s="116" t="s">
        <v>40</v>
      </c>
      <c r="J67" s="117"/>
    </row>
    <row r="68" spans="1:10" x14ac:dyDescent="0.3">
      <c r="A68" s="118"/>
      <c r="B68" s="119"/>
      <c r="C68" s="118"/>
      <c r="D68" s="119"/>
      <c r="E68" s="118"/>
      <c r="F68" s="119"/>
      <c r="G68" s="118"/>
      <c r="H68" s="119"/>
      <c r="I68" s="118"/>
      <c r="J68" s="119"/>
    </row>
    <row r="69" spans="1:10" x14ac:dyDescent="0.3">
      <c r="A69" s="107" t="s">
        <v>12</v>
      </c>
      <c r="B69" s="108"/>
      <c r="C69" s="103">
        <v>32925</v>
      </c>
      <c r="D69" s="104"/>
      <c r="E69" s="103">
        <v>33221</v>
      </c>
      <c r="F69" s="104"/>
      <c r="G69" s="103">
        <v>33534</v>
      </c>
      <c r="H69" s="104"/>
      <c r="I69" s="103">
        <v>34028</v>
      </c>
      <c r="J69" s="104"/>
    </row>
    <row r="70" spans="1:10" x14ac:dyDescent="0.3">
      <c r="A70" s="101" t="s">
        <v>13</v>
      </c>
      <c r="B70" s="102"/>
      <c r="C70" s="103">
        <v>7455</v>
      </c>
      <c r="D70" s="104"/>
      <c r="E70" s="103">
        <v>7510</v>
      </c>
      <c r="F70" s="104"/>
      <c r="G70" s="103">
        <v>7563</v>
      </c>
      <c r="H70" s="104"/>
      <c r="I70" s="103">
        <v>7675</v>
      </c>
      <c r="J70" s="104"/>
    </row>
    <row r="71" spans="1:10" x14ac:dyDescent="0.3">
      <c r="A71" s="107" t="s">
        <v>14</v>
      </c>
      <c r="B71" s="108"/>
      <c r="C71" s="103">
        <v>6681</v>
      </c>
      <c r="D71" s="104"/>
      <c r="E71" s="103">
        <v>6761</v>
      </c>
      <c r="F71" s="104"/>
      <c r="G71" s="103">
        <v>6817</v>
      </c>
      <c r="H71" s="104"/>
      <c r="I71" s="103">
        <v>6925</v>
      </c>
      <c r="J71" s="104"/>
    </row>
    <row r="72" spans="1:10" x14ac:dyDescent="0.3">
      <c r="A72" s="107" t="s">
        <v>41</v>
      </c>
      <c r="B72" s="108"/>
      <c r="C72" s="103">
        <v>1688</v>
      </c>
      <c r="D72" s="104"/>
      <c r="E72" s="103">
        <v>1705</v>
      </c>
      <c r="F72" s="104"/>
      <c r="G72" s="103">
        <v>1728</v>
      </c>
      <c r="H72" s="104"/>
      <c r="I72" s="103">
        <v>1815</v>
      </c>
      <c r="J72" s="104"/>
    </row>
    <row r="73" spans="1:10" x14ac:dyDescent="0.3">
      <c r="A73" s="101" t="s">
        <v>15</v>
      </c>
      <c r="B73" s="102"/>
      <c r="C73" s="103">
        <v>5228</v>
      </c>
      <c r="D73" s="104"/>
      <c r="E73" s="103">
        <v>5304</v>
      </c>
      <c r="F73" s="104"/>
      <c r="G73" s="103">
        <v>5368</v>
      </c>
      <c r="H73" s="104"/>
      <c r="I73" s="103">
        <v>5548</v>
      </c>
      <c r="J73" s="104"/>
    </row>
    <row r="74" spans="1:10" x14ac:dyDescent="0.3">
      <c r="A74" s="107" t="s">
        <v>16</v>
      </c>
      <c r="B74" s="108"/>
      <c r="C74" s="103">
        <v>5115</v>
      </c>
      <c r="D74" s="104"/>
      <c r="E74" s="103">
        <v>5147</v>
      </c>
      <c r="F74" s="104"/>
      <c r="G74" s="103">
        <v>5162</v>
      </c>
      <c r="H74" s="104"/>
      <c r="I74" s="103">
        <v>5179</v>
      </c>
      <c r="J74" s="104"/>
    </row>
    <row r="75" spans="1:10" x14ac:dyDescent="0.3">
      <c r="A75" s="101" t="s">
        <v>17</v>
      </c>
      <c r="B75" s="102"/>
      <c r="C75" s="103">
        <v>8315</v>
      </c>
      <c r="D75" s="104"/>
      <c r="E75" s="103">
        <v>8392</v>
      </c>
      <c r="F75" s="104"/>
      <c r="G75" s="103">
        <v>8545</v>
      </c>
      <c r="H75" s="104"/>
      <c r="I75" s="103">
        <v>8698</v>
      </c>
      <c r="J75" s="104"/>
    </row>
    <row r="76" spans="1:10" x14ac:dyDescent="0.3">
      <c r="A76" s="107" t="s">
        <v>18</v>
      </c>
      <c r="B76" s="108"/>
      <c r="C76" s="103">
        <v>1686</v>
      </c>
      <c r="D76" s="104"/>
      <c r="E76" s="103">
        <v>1697</v>
      </c>
      <c r="F76" s="104"/>
      <c r="G76" s="103">
        <v>1709</v>
      </c>
      <c r="H76" s="104"/>
      <c r="I76" s="103">
        <v>1738</v>
      </c>
      <c r="J76" s="104"/>
    </row>
    <row r="77" spans="1:10" x14ac:dyDescent="0.3">
      <c r="A77" s="101" t="s">
        <v>19</v>
      </c>
      <c r="B77" s="102"/>
      <c r="C77" s="103">
        <v>6545</v>
      </c>
      <c r="D77" s="104"/>
      <c r="E77" s="103">
        <v>6619</v>
      </c>
      <c r="F77" s="104"/>
      <c r="G77" s="103">
        <v>6659</v>
      </c>
      <c r="H77" s="104"/>
      <c r="I77" s="103">
        <v>6742</v>
      </c>
      <c r="J77" s="104"/>
    </row>
    <row r="78" spans="1:10" x14ac:dyDescent="0.3">
      <c r="A78" s="105" t="s">
        <v>42</v>
      </c>
      <c r="B78" s="106"/>
      <c r="C78" s="103">
        <f>SUM(C69:C77)</f>
        <v>75638</v>
      </c>
      <c r="D78" s="104"/>
      <c r="E78" s="103">
        <f>SUM(E69:E77)</f>
        <v>76356</v>
      </c>
      <c r="F78" s="104"/>
      <c r="G78" s="103">
        <f>SUM(G69:G77)</f>
        <v>77085</v>
      </c>
      <c r="H78" s="104"/>
      <c r="I78" s="103">
        <f>SUM(I69:I77)</f>
        <v>78348</v>
      </c>
      <c r="J78" s="104"/>
    </row>
  </sheetData>
  <mergeCells count="310">
    <mergeCell ref="A75:B75"/>
    <mergeCell ref="C75:D75"/>
    <mergeCell ref="E75:F75"/>
    <mergeCell ref="G75:H75"/>
    <mergeCell ref="I75:J75"/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5:J65"/>
    <mergeCell ref="A66:B66"/>
    <mergeCell ref="C66:D66"/>
    <mergeCell ref="E66:F66"/>
    <mergeCell ref="G66:H66"/>
    <mergeCell ref="I66:J66"/>
    <mergeCell ref="A67:B68"/>
    <mergeCell ref="C67:D68"/>
    <mergeCell ref="E67:F68"/>
    <mergeCell ref="G67:H68"/>
    <mergeCell ref="I67:J68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C61:D62"/>
    <mergeCell ref="E61:F62"/>
    <mergeCell ref="G61:H62"/>
    <mergeCell ref="I61:J62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4:B44"/>
    <mergeCell ref="C44:D44"/>
    <mergeCell ref="E44:F44"/>
    <mergeCell ref="G44:H44"/>
    <mergeCell ref="I44:J44"/>
    <mergeCell ref="A45:K45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K34:K35"/>
    <mergeCell ref="A36:B36"/>
    <mergeCell ref="C36:K36"/>
    <mergeCell ref="A37:B37"/>
    <mergeCell ref="C37:D37"/>
    <mergeCell ref="E37:F37"/>
    <mergeCell ref="G37:H37"/>
    <mergeCell ref="I37:J37"/>
    <mergeCell ref="A31:B31"/>
    <mergeCell ref="C31:D31"/>
    <mergeCell ref="E31:F31"/>
    <mergeCell ref="G31:H31"/>
    <mergeCell ref="I31:J31"/>
    <mergeCell ref="A34:B35"/>
    <mergeCell ref="C34:D35"/>
    <mergeCell ref="E34:F35"/>
    <mergeCell ref="G34:H35"/>
    <mergeCell ref="I34:J35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K23"/>
    <mergeCell ref="A24:B24"/>
    <mergeCell ref="C24:D24"/>
    <mergeCell ref="E24:F24"/>
    <mergeCell ref="G24:H24"/>
    <mergeCell ref="I24:J24"/>
    <mergeCell ref="A18:Q19"/>
    <mergeCell ref="A21:B22"/>
    <mergeCell ref="C21:D22"/>
    <mergeCell ref="E21:F22"/>
    <mergeCell ref="G21:H22"/>
    <mergeCell ref="I21:J22"/>
    <mergeCell ref="K21:K22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23.12.2022.</vt:lpstr>
      <vt:lpstr>30.12.2022</vt:lpstr>
      <vt:lpstr>13.01.2023.</vt:lpstr>
      <vt:lpstr>20.01.2023.</vt:lpstr>
      <vt:lpstr>27.01.2023.</vt:lpstr>
      <vt:lpstr>03.02.2023.</vt:lpstr>
      <vt:lpstr>10.02.2023.</vt:lpstr>
      <vt:lpstr>17.02.2023.</vt:lpstr>
      <vt:lpstr>24.02.2023.</vt:lpstr>
      <vt:lpstr>03.03.2023.</vt:lpstr>
      <vt:lpstr>10.03.2023.</vt:lpstr>
      <vt:lpstr>17.03.2023.</vt:lpstr>
      <vt:lpstr>24.03.2023.</vt:lpstr>
      <vt:lpstr>31.03.2023.</vt:lpstr>
      <vt:lpstr>07.04.2023.</vt:lpstr>
      <vt:lpstr>21.04.2023.</vt:lpstr>
      <vt:lpstr>28.04.2023.</vt:lpstr>
      <vt:lpstr>05.05.2023.</vt:lpstr>
      <vt:lpstr>12.05.2023.</vt:lpstr>
      <vt:lpstr>19.05.2023.</vt:lpstr>
      <vt:lpstr>26.05.2023.</vt:lpstr>
      <vt:lpstr>02.06.2023.</vt:lpstr>
      <vt:lpstr>09.06.2023.</vt:lpstr>
      <vt:lpstr>16.06.2023.</vt:lpstr>
      <vt:lpstr>23.06.2023.</vt:lpstr>
      <vt:lpstr>30.06.2023.</vt:lpstr>
      <vt:lpstr>07.07.2023.</vt:lpstr>
      <vt:lpstr>14.07.2023.</vt:lpstr>
      <vt:lpstr>21.07.2023.</vt:lpstr>
      <vt:lpstr>28.07.2023.</vt:lpstr>
      <vt:lpstr>04.08.2023.</vt:lpstr>
      <vt:lpstr>11.08.2023.</vt:lpstr>
      <vt:lpstr>18.08.2023.</vt:lpstr>
      <vt:lpstr>25.08.2023.</vt:lpstr>
      <vt:lpstr>01.09.2023.</vt:lpstr>
      <vt:lpstr>08.09.2023.</vt:lpstr>
      <vt:lpstr>15.09.2023.</vt:lpstr>
      <vt:lpstr>22.09.2023.</vt:lpstr>
      <vt:lpstr>29.09.2023.</vt:lpstr>
      <vt:lpstr>06.10.2023.</vt:lpstr>
      <vt:lpstr>13.10.2023.</vt:lpstr>
      <vt:lpstr>20.10.2023.</vt:lpstr>
      <vt:lpstr>27.10.2023.</vt:lpstr>
      <vt:lpstr>03.11.2023.</vt:lpstr>
      <vt:lpstr>10.11.2023.</vt:lpstr>
      <vt:lpstr>17.11.2023.</vt:lpstr>
      <vt:lpstr>24.11.2023.</vt:lpstr>
      <vt:lpstr>01.12.2023.</vt:lpstr>
      <vt:lpstr>08.12.2023.</vt:lpstr>
      <vt:lpstr>15.12.2023.</vt:lpstr>
      <vt:lpstr>22.12.2023.</vt:lpstr>
      <vt:lpstr>29.12.2023.</vt:lpstr>
      <vt:lpstr>05.01.2024.</vt:lpstr>
      <vt:lpstr>12.01.2024.</vt:lpstr>
      <vt:lpstr>19.01.2024.</vt:lpstr>
      <vt:lpstr>26.01.2024.</vt:lpstr>
      <vt:lpstr>02.02.2024.</vt:lpstr>
      <vt:lpstr>09.02.2024.</vt:lpstr>
      <vt:lpstr>16.02.2024.</vt:lpstr>
      <vt:lpstr>23.02.2024.</vt:lpstr>
      <vt:lpstr>01.03.2024.</vt:lpstr>
      <vt:lpstr>08.03.2024.</vt:lpstr>
      <vt:lpstr>15.03.2024.</vt:lpstr>
      <vt:lpstr>22.03.2024.</vt:lpstr>
      <vt:lpstr>29.03.2024.</vt:lpstr>
      <vt:lpstr>05.04.2024.</vt:lpstr>
      <vt:lpstr>12.04.2024.</vt:lpstr>
      <vt:lpstr>19.04.2024.</vt:lpstr>
      <vt:lpstr>26.04.2024.</vt:lpstr>
      <vt:lpstr>10.05.2024.</vt:lpstr>
      <vt:lpstr>17.05.2024.</vt:lpstr>
      <vt:lpstr>24.05.2024.</vt:lpstr>
      <vt:lpstr>31.05.2024.</vt:lpstr>
      <vt:lpstr>07.06.2024.</vt:lpstr>
      <vt:lpstr>14.06.2024.</vt:lpstr>
      <vt:lpstr>21.06.2024.</vt:lpstr>
      <vt:lpstr>28.06.2024.</vt:lpstr>
      <vt:lpstr>05.07.2024.</vt:lpstr>
      <vt:lpstr>12.07.2024.</vt:lpstr>
      <vt:lpstr>19.07.2024.</vt:lpstr>
      <vt:lpstr>26.07.2024.</vt:lpstr>
      <vt:lpstr>02.08.2024.</vt:lpstr>
      <vt:lpstr>09.08.2024.</vt:lpstr>
      <vt:lpstr>16.08.2024.</vt:lpstr>
      <vt:lpstr>23.08.2024.</vt:lpstr>
      <vt:lpstr>30.08.2024.</vt:lpstr>
      <vt:lpstr>06.09.2024.</vt:lpstr>
      <vt:lpstr>13.09.2024.</vt:lpstr>
      <vt:lpstr>20.09.2024.</vt:lpstr>
      <vt:lpstr>27.09.2024.</vt:lpstr>
      <vt:lpstr>04.10.2024.</vt:lpstr>
      <vt:lpstr>11.10.2024.</vt:lpstr>
      <vt:lpstr>18.10.2024.</vt:lpstr>
      <vt:lpstr>25.10.2024.</vt:lpstr>
      <vt:lpstr>01.11.2024.</vt:lpstr>
      <vt:lpstr>08.11.2024.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Milana Gluvić</dc:creator>
  <cp:lastModifiedBy>Zoran Dašić</cp:lastModifiedBy>
  <dcterms:created xsi:type="dcterms:W3CDTF">2022-01-13T14:31:43Z</dcterms:created>
  <dcterms:modified xsi:type="dcterms:W3CDTF">2026-05-11T15:00:05Z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eea617f5-57eb-4a4e-af68-fa0669bef112</vt:lpwstr>
  </property>
  <property fmtid="{D5CDD505-2E9C-101B-9397-08002B2CF9AE}" pid="3" name="MSIP_Label_d642c8a0-bfc0-4da4-80ec-310dc1a49565_Enabled">
    <vt:lpwstr>true</vt:lpwstr>
  </property>
  <property fmtid="{D5CDD505-2E9C-101B-9397-08002B2CF9AE}" pid="4" name="MSIP_Label_d642c8a0-bfc0-4da4-80ec-310dc1a49565_SetDate">
    <vt:lpwstr>2022-03-24T12:12:31Z</vt:lpwstr>
  </property>
  <property fmtid="{D5CDD505-2E9C-101B-9397-08002B2CF9AE}" pid="5" name="MSIP_Label_d642c8a0-bfc0-4da4-80ec-310dc1a49565_Method">
    <vt:lpwstr>Privileged</vt:lpwstr>
  </property>
  <property fmtid="{D5CDD505-2E9C-101B-9397-08002B2CF9AE}" pid="6" name="MSIP_Label_d642c8a0-bfc0-4da4-80ec-310dc1a49565_Name">
    <vt:lpwstr>d642c8a0-bfc0-4da4-80ec-310dc1a49565</vt:lpwstr>
  </property>
  <property fmtid="{D5CDD505-2E9C-101B-9397-08002B2CF9AE}" pid="7" name="MSIP_Label_d642c8a0-bfc0-4da4-80ec-310dc1a49565_SiteId">
    <vt:lpwstr>3443867a-5529-464d-aabc-c7a9ce7e9a52</vt:lpwstr>
  </property>
  <property fmtid="{D5CDD505-2E9C-101B-9397-08002B2CF9AE}" pid="8" name="MSIP_Label_d642c8a0-bfc0-4da4-80ec-310dc1a49565_ActionId">
    <vt:lpwstr>f0043ac1-e0c6-4d5b-a310-cf700ca8c5e7</vt:lpwstr>
  </property>
  <property fmtid="{D5CDD505-2E9C-101B-9397-08002B2CF9AE}" pid="9" name="MSIP_Label_d642c8a0-bfc0-4da4-80ec-310dc1a49565_ContentBits">
    <vt:lpwstr>0</vt:lpwstr>
  </property>
</Properties>
</file>